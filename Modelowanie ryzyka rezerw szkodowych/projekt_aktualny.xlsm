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wutwaw-my.sharepoint.com/personal/01151655_pw_edu_pl/Documents/projekt zru/"/>
    </mc:Choice>
  </mc:AlternateContent>
  <xr:revisionPtr revIDLastSave="890" documentId="8_{77682FDF-5093-4C6C-B2EC-57581B377A24}" xr6:coauthVersionLast="47" xr6:coauthVersionMax="47" xr10:uidLastSave="{B5DA5B85-FE06-4859-98F2-049C33B510B1}"/>
  <bookViews>
    <workbookView xWindow="22932" yWindow="-108" windowWidth="23256" windowHeight="12456" activeTab="3" xr2:uid="{00000000-000D-0000-FFFF-FFFF00000000}"/>
  </bookViews>
  <sheets>
    <sheet name="Dane" sheetId="1" r:id="rId1"/>
    <sheet name="Trójkąty wzrostowe" sheetId="2" r:id="rId2"/>
    <sheet name="Trójkąty skumulowane" sheetId="5" r:id="rId3"/>
    <sheet name="Chain-Ladder" sheetId="11" r:id="rId4"/>
    <sheet name="Munich Chain-Ladder" sheetId="10" r:id="rId5"/>
    <sheet name="Bornhuetter-Ferguson" sheetId="7" r:id="rId6"/>
    <sheet name="Cape-Cod" sheetId="6" r:id="rId7"/>
    <sheet name="Bootstrap_GTPL" sheetId="13" r:id="rId8"/>
    <sheet name="Bootstrap_MH" sheetId="14" r:id="rId9"/>
    <sheet name="Bootstrap_MTPL" sheetId="15" r:id="rId10"/>
    <sheet name="Wyniki" sheetId="8" r:id="rId11"/>
    <sheet name="Stopy" sheetId="9" r:id="rId12"/>
  </sheets>
  <definedNames>
    <definedName name="_xlnm._FilterDatabase" localSheetId="0" hidden="1">Dane!$A$3:$I$2463</definedName>
    <definedName name="_xlchart.v1.0" hidden="1">Bootstrap_GTPL!$AM$259:$AM$358</definedName>
    <definedName name="_xlchart.v1.1" hidden="1">Bootstrap_MH!$AM$259:$AM$358</definedName>
    <definedName name="_xlchart.v1.2" hidden="1">Bootstrap_MTPL!$AM$259:$AM$358</definedName>
    <definedName name="bsnum">#REF!</definedName>
    <definedName name="Corner">#REF!</definedName>
    <definedName name="Corr">#REF!</definedName>
    <definedName name="Covar">#REF!</definedName>
    <definedName name="data">#REF!</definedName>
    <definedName name="Input1">#REF!</definedName>
    <definedName name="saveres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5" i="8" l="1"/>
  <c r="V17" i="10"/>
  <c r="U17" i="10"/>
  <c r="T17" i="10"/>
  <c r="S17" i="10"/>
  <c r="R17" i="10"/>
  <c r="Q17" i="10"/>
  <c r="P17" i="10"/>
  <c r="O17" i="10"/>
  <c r="N17" i="10"/>
  <c r="L43" i="10"/>
  <c r="C32" i="10"/>
  <c r="D31" i="10"/>
  <c r="E50" i="10"/>
  <c r="E30" i="10"/>
  <c r="F29" i="10"/>
  <c r="G28" i="10"/>
  <c r="H27" i="10"/>
  <c r="I26" i="10"/>
  <c r="J25" i="10"/>
  <c r="K24" i="10"/>
  <c r="DH49" i="10"/>
  <c r="CR47" i="10"/>
  <c r="CD51" i="10"/>
  <c r="CD50" i="10"/>
  <c r="CE50" i="10"/>
  <c r="CD49" i="10"/>
  <c r="CE49" i="10"/>
  <c r="CF49" i="10"/>
  <c r="CD48" i="10"/>
  <c r="CE48" i="10"/>
  <c r="CF48" i="10"/>
  <c r="CG48" i="10"/>
  <c r="CD47" i="10"/>
  <c r="CE47" i="10"/>
  <c r="CF47" i="10"/>
  <c r="CG47" i="10"/>
  <c r="CH47" i="10"/>
  <c r="CD46" i="10"/>
  <c r="CE46" i="10"/>
  <c r="CF46" i="10"/>
  <c r="CG46" i="10"/>
  <c r="CH46" i="10"/>
  <c r="CI46" i="10"/>
  <c r="CD45" i="10"/>
  <c r="CE45" i="10"/>
  <c r="CF45" i="10"/>
  <c r="CG45" i="10"/>
  <c r="CH45" i="10"/>
  <c r="CI45" i="10"/>
  <c r="CJ45" i="10"/>
  <c r="CD44" i="10"/>
  <c r="CE44" i="10"/>
  <c r="CF44" i="10"/>
  <c r="CG44" i="10"/>
  <c r="CH44" i="10"/>
  <c r="CI44" i="10"/>
  <c r="CJ44" i="10"/>
  <c r="CK44" i="10"/>
  <c r="CC44" i="10"/>
  <c r="CC45" i="10"/>
  <c r="CC46" i="10"/>
  <c r="CC47" i="10"/>
  <c r="CC48" i="10"/>
  <c r="CC49" i="10"/>
  <c r="CC50" i="10"/>
  <c r="CC51" i="10"/>
  <c r="CC52" i="10"/>
  <c r="CD43" i="10"/>
  <c r="CE43" i="10"/>
  <c r="CF43" i="10"/>
  <c r="CG43" i="10"/>
  <c r="CH43" i="10"/>
  <c r="CI43" i="10"/>
  <c r="CJ43" i="10"/>
  <c r="CK43" i="10"/>
  <c r="Z44" i="6"/>
  <c r="Z29" i="6"/>
  <c r="Z14" i="6"/>
  <c r="CC43" i="10"/>
  <c r="BR51" i="10"/>
  <c r="BR50" i="10"/>
  <c r="BS50" i="10"/>
  <c r="BR49" i="10"/>
  <c r="BS49" i="10"/>
  <c r="BT49" i="10"/>
  <c r="BR48" i="10"/>
  <c r="BS48" i="10"/>
  <c r="BT48" i="10"/>
  <c r="BU48" i="10"/>
  <c r="BR47" i="10"/>
  <c r="BS47" i="10"/>
  <c r="BT47" i="10"/>
  <c r="BU47" i="10"/>
  <c r="BV47" i="10"/>
  <c r="BR46" i="10"/>
  <c r="BS46" i="10"/>
  <c r="BT46" i="10"/>
  <c r="BU46" i="10"/>
  <c r="BV46" i="10"/>
  <c r="BW46" i="10"/>
  <c r="BR45" i="10"/>
  <c r="BS45" i="10"/>
  <c r="BT45" i="10"/>
  <c r="BU45" i="10"/>
  <c r="BV45" i="10"/>
  <c r="BW45" i="10"/>
  <c r="BX45" i="10"/>
  <c r="BR44" i="10"/>
  <c r="BS44" i="10"/>
  <c r="BT44" i="10"/>
  <c r="BU44" i="10"/>
  <c r="BV44" i="10"/>
  <c r="BW44" i="10"/>
  <c r="BX44" i="10"/>
  <c r="BY44" i="10"/>
  <c r="BR43" i="10"/>
  <c r="BS43" i="10"/>
  <c r="BT43" i="10"/>
  <c r="BU43" i="10"/>
  <c r="BV43" i="10"/>
  <c r="BW43" i="10"/>
  <c r="BX43" i="10"/>
  <c r="BY43" i="10"/>
  <c r="BQ44" i="10"/>
  <c r="BQ45" i="10"/>
  <c r="BQ46" i="10"/>
  <c r="BQ47" i="10"/>
  <c r="BQ48" i="10"/>
  <c r="BQ49" i="10"/>
  <c r="BQ50" i="10"/>
  <c r="BQ51" i="10"/>
  <c r="BQ52" i="10"/>
  <c r="X26" i="7"/>
  <c r="BQ43" i="10"/>
  <c r="BF50" i="10"/>
  <c r="BF49" i="10"/>
  <c r="BG49" i="10"/>
  <c r="BF48" i="10"/>
  <c r="BG48" i="10"/>
  <c r="BH48" i="10"/>
  <c r="BF47" i="10"/>
  <c r="BG47" i="10"/>
  <c r="BH47" i="10"/>
  <c r="BI47" i="10"/>
  <c r="BF46" i="10"/>
  <c r="BG46" i="10"/>
  <c r="BH46" i="10"/>
  <c r="BI46" i="10"/>
  <c r="BJ46" i="10"/>
  <c r="BF45" i="10"/>
  <c r="BG45" i="10"/>
  <c r="BH45" i="10"/>
  <c r="BI45" i="10"/>
  <c r="BJ45" i="10"/>
  <c r="BK45" i="10"/>
  <c r="BF44" i="10"/>
  <c r="BG44" i="10"/>
  <c r="BH44" i="10"/>
  <c r="BI44" i="10"/>
  <c r="BJ44" i="10"/>
  <c r="BK44" i="10"/>
  <c r="BL44" i="10"/>
  <c r="BE44" i="10"/>
  <c r="BE45" i="10"/>
  <c r="BE46" i="10"/>
  <c r="BE47" i="10"/>
  <c r="BE48" i="10"/>
  <c r="BE49" i="10"/>
  <c r="BE50" i="10"/>
  <c r="BE51" i="10"/>
  <c r="BF43" i="10"/>
  <c r="BG43" i="10"/>
  <c r="BH43" i="10"/>
  <c r="BI43" i="10"/>
  <c r="BJ43" i="10"/>
  <c r="BK43" i="10"/>
  <c r="BL43" i="10"/>
  <c r="BM43" i="10"/>
  <c r="BE43" i="10"/>
  <c r="BE23" i="10"/>
  <c r="AU45" i="10"/>
  <c r="AT50" i="10"/>
  <c r="AT49" i="10"/>
  <c r="AU49" i="10"/>
  <c r="AT48" i="10"/>
  <c r="AU48" i="10"/>
  <c r="AV48" i="10"/>
  <c r="AT47" i="10"/>
  <c r="AU47" i="10"/>
  <c r="AV47" i="10"/>
  <c r="AW47" i="10"/>
  <c r="AT46" i="10"/>
  <c r="AU46" i="10"/>
  <c r="AV46" i="10"/>
  <c r="AW46" i="10"/>
  <c r="AX46" i="10"/>
  <c r="AT45" i="10"/>
  <c r="AV45" i="10"/>
  <c r="AW45" i="10"/>
  <c r="AX45" i="10"/>
  <c r="AY45" i="10"/>
  <c r="AT44" i="10"/>
  <c r="AU44" i="10"/>
  <c r="AV44" i="10"/>
  <c r="AW44" i="10"/>
  <c r="AX44" i="10"/>
  <c r="AY44" i="10"/>
  <c r="AZ44" i="10"/>
  <c r="AS44" i="10"/>
  <c r="AS45" i="10"/>
  <c r="AS46" i="10"/>
  <c r="AS47" i="10"/>
  <c r="AS48" i="10"/>
  <c r="AS49" i="10"/>
  <c r="AS50" i="10"/>
  <c r="AS51" i="10"/>
  <c r="AT43" i="10"/>
  <c r="AU43" i="10"/>
  <c r="AV43" i="10"/>
  <c r="AW43" i="10"/>
  <c r="AX43" i="10"/>
  <c r="AY43" i="10"/>
  <c r="AZ43" i="10"/>
  <c r="BA43" i="10"/>
  <c r="AS43" i="10"/>
  <c r="AS23" i="10"/>
  <c r="L23" i="10"/>
  <c r="H43" i="8"/>
  <c r="H42" i="8"/>
  <c r="H41" i="8"/>
  <c r="H40" i="8"/>
  <c r="H39" i="8"/>
  <c r="H38" i="8"/>
  <c r="H37" i="8"/>
  <c r="H36" i="8"/>
  <c r="H35" i="8"/>
  <c r="H28" i="8"/>
  <c r="H27" i="8"/>
  <c r="H26" i="8"/>
  <c r="H25" i="8"/>
  <c r="H24" i="8"/>
  <c r="H23" i="8"/>
  <c r="H22" i="8"/>
  <c r="H21" i="8"/>
  <c r="H20" i="8"/>
  <c r="H13" i="8"/>
  <c r="H12" i="8"/>
  <c r="H11" i="8"/>
  <c r="H10" i="8"/>
  <c r="H9" i="8"/>
  <c r="H8" i="8"/>
  <c r="H7" i="8"/>
  <c r="H6" i="8"/>
  <c r="H5" i="8"/>
  <c r="AD320" i="13"/>
  <c r="K5" i="10"/>
  <c r="CC32" i="10"/>
  <c r="CD31" i="10"/>
  <c r="CD30" i="10"/>
  <c r="CE30" i="10"/>
  <c r="CD29" i="10"/>
  <c r="CE29" i="10"/>
  <c r="CF29" i="10"/>
  <c r="CD28" i="10"/>
  <c r="CE28" i="10"/>
  <c r="CF28" i="10"/>
  <c r="CG28" i="10"/>
  <c r="CD27" i="10"/>
  <c r="CE27" i="10"/>
  <c r="CF27" i="10"/>
  <c r="CG27" i="10"/>
  <c r="CH27" i="10"/>
  <c r="CD26" i="10"/>
  <c r="CE26" i="10"/>
  <c r="CF26" i="10"/>
  <c r="CG26" i="10"/>
  <c r="CH26" i="10"/>
  <c r="CI26" i="10"/>
  <c r="CD25" i="10"/>
  <c r="CE25" i="10"/>
  <c r="CF25" i="10"/>
  <c r="CG25" i="10"/>
  <c r="CH25" i="10"/>
  <c r="CI25" i="10"/>
  <c r="CJ25" i="10"/>
  <c r="CD24" i="10"/>
  <c r="CE24" i="10"/>
  <c r="CF24" i="10"/>
  <c r="CG24" i="10"/>
  <c r="CH24" i="10"/>
  <c r="CI24" i="10"/>
  <c r="CJ24" i="10"/>
  <c r="CK24" i="10"/>
  <c r="CD23" i="10"/>
  <c r="CE23" i="10"/>
  <c r="CF23" i="10"/>
  <c r="CG23" i="10"/>
  <c r="CH23" i="10"/>
  <c r="CI23" i="10"/>
  <c r="CJ23" i="10"/>
  <c r="CC24" i="10"/>
  <c r="CC25" i="10"/>
  <c r="CC26" i="10"/>
  <c r="CC27" i="10"/>
  <c r="CC28" i="10"/>
  <c r="CC29" i="10"/>
  <c r="CC30" i="10"/>
  <c r="CC31" i="10"/>
  <c r="CC23" i="10"/>
  <c r="BR31" i="10"/>
  <c r="BR30" i="10"/>
  <c r="BS30" i="10"/>
  <c r="BR29" i="10"/>
  <c r="BS29" i="10"/>
  <c r="BT29" i="10"/>
  <c r="BR28" i="10"/>
  <c r="BS28" i="10"/>
  <c r="BT28" i="10"/>
  <c r="BU28" i="10"/>
  <c r="BR27" i="10"/>
  <c r="BS27" i="10"/>
  <c r="BT27" i="10"/>
  <c r="BU27" i="10"/>
  <c r="BV27" i="10"/>
  <c r="BR26" i="10"/>
  <c r="BS26" i="10"/>
  <c r="BT26" i="10"/>
  <c r="BU26" i="10"/>
  <c r="BV26" i="10"/>
  <c r="BW26" i="10"/>
  <c r="BR25" i="10"/>
  <c r="BS25" i="10"/>
  <c r="BT25" i="10"/>
  <c r="BU25" i="10"/>
  <c r="BV25" i="10"/>
  <c r="BW25" i="10"/>
  <c r="BX25" i="10"/>
  <c r="BR24" i="10"/>
  <c r="BS24" i="10"/>
  <c r="BT24" i="10"/>
  <c r="BU24" i="10"/>
  <c r="BV24" i="10"/>
  <c r="BW24" i="10"/>
  <c r="BX24" i="10"/>
  <c r="BY24" i="10"/>
  <c r="BR23" i="10"/>
  <c r="BS23" i="10"/>
  <c r="BT23" i="10"/>
  <c r="BU23" i="10"/>
  <c r="BV23" i="10"/>
  <c r="BW23" i="10"/>
  <c r="BX23" i="10"/>
  <c r="BY23" i="10"/>
  <c r="BQ24" i="10"/>
  <c r="BQ25" i="10"/>
  <c r="BQ26" i="10"/>
  <c r="BQ27" i="10"/>
  <c r="BQ28" i="10"/>
  <c r="BQ29" i="10"/>
  <c r="BQ30" i="10"/>
  <c r="BQ31" i="10"/>
  <c r="BQ32" i="10"/>
  <c r="BQ23" i="10"/>
  <c r="BF30" i="10"/>
  <c r="BF29" i="10"/>
  <c r="BG29" i="10"/>
  <c r="BF28" i="10"/>
  <c r="BG28" i="10"/>
  <c r="BH28" i="10"/>
  <c r="BF27" i="10"/>
  <c r="BG27" i="10"/>
  <c r="BH27" i="10"/>
  <c r="BI27" i="10"/>
  <c r="BF26" i="10"/>
  <c r="BG26" i="10"/>
  <c r="BH26" i="10"/>
  <c r="BI26" i="10"/>
  <c r="BJ26" i="10"/>
  <c r="BF25" i="10"/>
  <c r="BG25" i="10"/>
  <c r="BH25" i="10"/>
  <c r="BI25" i="10"/>
  <c r="BJ25" i="10"/>
  <c r="BK25" i="10"/>
  <c r="BF24" i="10"/>
  <c r="BG24" i="10"/>
  <c r="BH24" i="10"/>
  <c r="BI24" i="10"/>
  <c r="BJ24" i="10"/>
  <c r="BK24" i="10"/>
  <c r="BL24" i="10"/>
  <c r="BE31" i="10"/>
  <c r="BE12" i="10"/>
  <c r="BE24" i="10"/>
  <c r="BE25" i="10"/>
  <c r="BE26" i="10"/>
  <c r="BE27" i="10"/>
  <c r="BE28" i="10"/>
  <c r="BE29" i="10"/>
  <c r="BE30" i="10"/>
  <c r="BM4" i="10"/>
  <c r="BM23" i="10"/>
  <c r="BL23" i="10"/>
  <c r="BF23" i="10"/>
  <c r="BG23" i="10"/>
  <c r="BH23" i="10"/>
  <c r="BI23" i="10"/>
  <c r="BJ23" i="10"/>
  <c r="BK23" i="10"/>
  <c r="AT30" i="10"/>
  <c r="AT29" i="10"/>
  <c r="AU29" i="10"/>
  <c r="AT28" i="10"/>
  <c r="AU28" i="10"/>
  <c r="AV28" i="10"/>
  <c r="AT27" i="10"/>
  <c r="AU27" i="10"/>
  <c r="AV27" i="10"/>
  <c r="AW27" i="10"/>
  <c r="AT26" i="10"/>
  <c r="AU26" i="10"/>
  <c r="AV26" i="10"/>
  <c r="AW26" i="10"/>
  <c r="AX26" i="10"/>
  <c r="AT25" i="10"/>
  <c r="AU25" i="10"/>
  <c r="AV25" i="10"/>
  <c r="AW25" i="10"/>
  <c r="AX25" i="10"/>
  <c r="AY25" i="10"/>
  <c r="AT24" i="10"/>
  <c r="AU24" i="10"/>
  <c r="AV24" i="10"/>
  <c r="AW24" i="10"/>
  <c r="AX24" i="10"/>
  <c r="AY24" i="10"/>
  <c r="AZ24" i="10"/>
  <c r="AS24" i="10"/>
  <c r="AS25" i="10"/>
  <c r="AS26" i="10"/>
  <c r="AS27" i="10"/>
  <c r="AS28" i="10"/>
  <c r="AS29" i="10"/>
  <c r="AS30" i="10"/>
  <c r="AS31" i="10"/>
  <c r="AS9" i="10"/>
  <c r="AS10" i="10"/>
  <c r="AS5" i="10"/>
  <c r="AU23" i="10"/>
  <c r="AV23" i="10"/>
  <c r="AW23" i="10"/>
  <c r="AX23" i="10"/>
  <c r="AY23" i="10"/>
  <c r="AZ23" i="10"/>
  <c r="BA23" i="10"/>
  <c r="AT23" i="10"/>
  <c r="BT34" i="10"/>
  <c r="AC46" i="10"/>
  <c r="AB44" i="10"/>
  <c r="DJ52" i="10"/>
  <c r="DI52" i="10"/>
  <c r="DH52" i="10"/>
  <c r="DG52" i="10"/>
  <c r="DF52" i="10"/>
  <c r="DE52" i="10"/>
  <c r="DD52" i="10"/>
  <c r="DC52" i="10"/>
  <c r="DB52" i="10"/>
  <c r="CW52" i="10"/>
  <c r="CV52" i="10"/>
  <c r="CU52" i="10"/>
  <c r="CT52" i="10"/>
  <c r="CS52" i="10"/>
  <c r="CR52" i="10"/>
  <c r="CQ52" i="10"/>
  <c r="CP52" i="10"/>
  <c r="CO52" i="10"/>
  <c r="DA52" i="10"/>
  <c r="DJ51" i="10"/>
  <c r="DI51" i="10"/>
  <c r="DH51" i="10"/>
  <c r="DG51" i="10"/>
  <c r="DF51" i="10"/>
  <c r="DE51" i="10"/>
  <c r="DD51" i="10"/>
  <c r="DC51" i="10"/>
  <c r="CW51" i="10"/>
  <c r="CV51" i="10"/>
  <c r="CU51" i="10"/>
  <c r="CT51" i="10"/>
  <c r="CS51" i="10"/>
  <c r="CR51" i="10"/>
  <c r="CQ51" i="10"/>
  <c r="CP51" i="10"/>
  <c r="DB51" i="10"/>
  <c r="DA51" i="10"/>
  <c r="CO51" i="10"/>
  <c r="DJ50" i="10"/>
  <c r="DI50" i="10"/>
  <c r="DH50" i="10"/>
  <c r="DG50" i="10"/>
  <c r="DF50" i="10"/>
  <c r="DE50" i="10"/>
  <c r="DD50" i="10"/>
  <c r="CW50" i="10"/>
  <c r="CV50" i="10"/>
  <c r="CU50" i="10"/>
  <c r="CT50" i="10"/>
  <c r="CS50" i="10"/>
  <c r="CR50" i="10"/>
  <c r="CQ50" i="10"/>
  <c r="DC50" i="10"/>
  <c r="DB50" i="10"/>
  <c r="DA50" i="10"/>
  <c r="CP50" i="10"/>
  <c r="CO50" i="10"/>
  <c r="DJ49" i="10"/>
  <c r="DI49" i="10"/>
  <c r="DG49" i="10"/>
  <c r="DF49" i="10"/>
  <c r="DE49" i="10"/>
  <c r="CW49" i="10"/>
  <c r="CV49" i="10"/>
  <c r="CU49" i="10"/>
  <c r="CT49" i="10"/>
  <c r="CS49" i="10"/>
  <c r="CR49" i="10"/>
  <c r="DD49" i="10"/>
  <c r="DC49" i="10"/>
  <c r="DB49" i="10"/>
  <c r="DA49" i="10"/>
  <c r="CQ49" i="10"/>
  <c r="CP49" i="10"/>
  <c r="CO49" i="10"/>
  <c r="DJ48" i="10"/>
  <c r="DI48" i="10"/>
  <c r="DH48" i="10"/>
  <c r="DG48" i="10"/>
  <c r="DF48" i="10"/>
  <c r="CW48" i="10"/>
  <c r="CV48" i="10"/>
  <c r="CU48" i="10"/>
  <c r="CT48" i="10"/>
  <c r="CS48" i="10"/>
  <c r="DE48" i="10"/>
  <c r="DD48" i="10"/>
  <c r="DC48" i="10"/>
  <c r="DB48" i="10"/>
  <c r="DA48" i="10"/>
  <c r="CR48" i="10"/>
  <c r="CQ48" i="10"/>
  <c r="CP48" i="10"/>
  <c r="CO48" i="10"/>
  <c r="DJ47" i="10"/>
  <c r="DI47" i="10"/>
  <c r="DH47" i="10"/>
  <c r="DG47" i="10"/>
  <c r="CW47" i="10"/>
  <c r="CV47" i="10"/>
  <c r="CU47" i="10"/>
  <c r="CT47" i="10"/>
  <c r="DF47" i="10"/>
  <c r="DE47" i="10"/>
  <c r="DD47" i="10"/>
  <c r="DC47" i="10"/>
  <c r="DB47" i="10"/>
  <c r="DA47" i="10"/>
  <c r="CS47" i="10"/>
  <c r="CQ47" i="10"/>
  <c r="CP47" i="10"/>
  <c r="CO47" i="10"/>
  <c r="AI47" i="10"/>
  <c r="AH47" i="10"/>
  <c r="AG47" i="10"/>
  <c r="AF47" i="10"/>
  <c r="AE47" i="10"/>
  <c r="AD47" i="10"/>
  <c r="AC47" i="10"/>
  <c r="AB47" i="10"/>
  <c r="DJ46" i="10"/>
  <c r="DI46" i="10"/>
  <c r="DH46" i="10"/>
  <c r="CW46" i="10"/>
  <c r="CV46" i="10"/>
  <c r="CU46" i="10"/>
  <c r="DG46" i="10"/>
  <c r="DF46" i="10"/>
  <c r="DE46" i="10"/>
  <c r="DD46" i="10"/>
  <c r="DC46" i="10"/>
  <c r="DB46" i="10"/>
  <c r="DA46" i="10"/>
  <c r="CT46" i="10"/>
  <c r="CS46" i="10"/>
  <c r="CR46" i="10"/>
  <c r="CQ46" i="10"/>
  <c r="CP46" i="10"/>
  <c r="CO46" i="10"/>
  <c r="AI46" i="10"/>
  <c r="AH46" i="10"/>
  <c r="AG46" i="10"/>
  <c r="AF46" i="10"/>
  <c r="AE46" i="10"/>
  <c r="AD46" i="10"/>
  <c r="AB46" i="10"/>
  <c r="DJ45" i="10"/>
  <c r="DI45" i="10"/>
  <c r="CW45" i="10"/>
  <c r="CV45" i="10"/>
  <c r="DH45" i="10"/>
  <c r="DG45" i="10"/>
  <c r="DF45" i="10"/>
  <c r="DE45" i="10"/>
  <c r="DD45" i="10"/>
  <c r="DC45" i="10"/>
  <c r="DB45" i="10"/>
  <c r="DA45" i="10"/>
  <c r="CU45" i="10"/>
  <c r="CT45" i="10"/>
  <c r="CS45" i="10"/>
  <c r="CR45" i="10"/>
  <c r="CQ45" i="10"/>
  <c r="CP45" i="10"/>
  <c r="CO45" i="10"/>
  <c r="DJ44" i="10"/>
  <c r="CW44" i="10"/>
  <c r="DI44" i="10"/>
  <c r="DH44" i="10"/>
  <c r="DG44" i="10"/>
  <c r="DF44" i="10"/>
  <c r="DE44" i="10"/>
  <c r="DD44" i="10"/>
  <c r="DC44" i="10"/>
  <c r="DB44" i="10"/>
  <c r="DA44" i="10"/>
  <c r="CV44" i="10"/>
  <c r="CU44" i="10"/>
  <c r="CT44" i="10"/>
  <c r="CS44" i="10"/>
  <c r="CR44" i="10"/>
  <c r="CQ44" i="10"/>
  <c r="CP44" i="10"/>
  <c r="CO44" i="10"/>
  <c r="AK44" i="10"/>
  <c r="AK45" i="10" s="1"/>
  <c r="AJ44" i="10"/>
  <c r="AI44" i="10"/>
  <c r="AH44" i="10"/>
  <c r="AG44" i="10"/>
  <c r="AF44" i="10"/>
  <c r="AE44" i="10"/>
  <c r="AD44" i="10"/>
  <c r="AC44" i="10"/>
  <c r="DJ43" i="10"/>
  <c r="CF54" i="10"/>
  <c r="BT54" i="10"/>
  <c r="DI43" i="10"/>
  <c r="DH43" i="10"/>
  <c r="DG43" i="10"/>
  <c r="DF43" i="10"/>
  <c r="DE43" i="10"/>
  <c r="DD43" i="10"/>
  <c r="DC43" i="10"/>
  <c r="DB43" i="10"/>
  <c r="DA43" i="10"/>
  <c r="DD54" i="10" s="1"/>
  <c r="DO47" i="10" s="1"/>
  <c r="CW43" i="10"/>
  <c r="CV43" i="10"/>
  <c r="CU43" i="10"/>
  <c r="CT43" i="10"/>
  <c r="CS43" i="10"/>
  <c r="CR43" i="10"/>
  <c r="CQ43" i="10"/>
  <c r="CP43" i="10"/>
  <c r="CO43" i="10"/>
  <c r="CR54" i="10" s="1"/>
  <c r="DO46" i="10" s="1"/>
  <c r="DJ32" i="10"/>
  <c r="DI32" i="10"/>
  <c r="DH32" i="10"/>
  <c r="DG32" i="10"/>
  <c r="DF32" i="10"/>
  <c r="DE32" i="10"/>
  <c r="DD32" i="10"/>
  <c r="DC32" i="10"/>
  <c r="DB32" i="10"/>
  <c r="CW32" i="10"/>
  <c r="CV32" i="10"/>
  <c r="CU32" i="10"/>
  <c r="CT32" i="10"/>
  <c r="CS32" i="10"/>
  <c r="CR32" i="10"/>
  <c r="CQ32" i="10"/>
  <c r="CP32" i="10"/>
  <c r="CO32" i="10"/>
  <c r="DA32" i="10"/>
  <c r="DJ31" i="10"/>
  <c r="DI31" i="10"/>
  <c r="DH31" i="10"/>
  <c r="DG31" i="10"/>
  <c r="DF31" i="10"/>
  <c r="DE31" i="10"/>
  <c r="DD31" i="10"/>
  <c r="DC31" i="10"/>
  <c r="CW31" i="10"/>
  <c r="CV31" i="10"/>
  <c r="CU31" i="10"/>
  <c r="CT31" i="10"/>
  <c r="CS31" i="10"/>
  <c r="CR31" i="10"/>
  <c r="CQ31" i="10"/>
  <c r="CP31" i="10"/>
  <c r="DB31" i="10"/>
  <c r="DA31" i="10"/>
  <c r="CO31" i="10"/>
  <c r="DJ30" i="10"/>
  <c r="DI30" i="10"/>
  <c r="DH30" i="10"/>
  <c r="DG30" i="10"/>
  <c r="DF30" i="10"/>
  <c r="DE30" i="10"/>
  <c r="DD30" i="10"/>
  <c r="CW30" i="10"/>
  <c r="CV30" i="10"/>
  <c r="CU30" i="10"/>
  <c r="CT30" i="10"/>
  <c r="CS30" i="10"/>
  <c r="CR30" i="10"/>
  <c r="CQ30" i="10"/>
  <c r="DC30" i="10"/>
  <c r="DB30" i="10"/>
  <c r="DA30" i="10"/>
  <c r="CP30" i="10"/>
  <c r="CO30" i="10"/>
  <c r="DJ29" i="10"/>
  <c r="DI29" i="10"/>
  <c r="DH29" i="10"/>
  <c r="DG29" i="10"/>
  <c r="DF29" i="10"/>
  <c r="DE29" i="10"/>
  <c r="CW29" i="10"/>
  <c r="CV29" i="10"/>
  <c r="CU29" i="10"/>
  <c r="CT29" i="10"/>
  <c r="CS29" i="10"/>
  <c r="CR29" i="10"/>
  <c r="DD29" i="10"/>
  <c r="DC29" i="10"/>
  <c r="DB29" i="10"/>
  <c r="DA29" i="10"/>
  <c r="CQ29" i="10"/>
  <c r="CP29" i="10"/>
  <c r="CO29" i="10"/>
  <c r="DJ28" i="10"/>
  <c r="DI28" i="10"/>
  <c r="DH28" i="10"/>
  <c r="DG28" i="10"/>
  <c r="DF28" i="10"/>
  <c r="CW28" i="10"/>
  <c r="CV28" i="10"/>
  <c r="CU28" i="10"/>
  <c r="CT28" i="10"/>
  <c r="CS28" i="10"/>
  <c r="DE28" i="10"/>
  <c r="DD28" i="10"/>
  <c r="DC28" i="10"/>
  <c r="DB28" i="10"/>
  <c r="DA28" i="10"/>
  <c r="CR28" i="10"/>
  <c r="CQ28" i="10"/>
  <c r="CP28" i="10"/>
  <c r="CO28" i="10"/>
  <c r="DJ27" i="10"/>
  <c r="DI27" i="10"/>
  <c r="DH27" i="10"/>
  <c r="DG27" i="10"/>
  <c r="CW27" i="10"/>
  <c r="CV27" i="10"/>
  <c r="CU27" i="10"/>
  <c r="CT27" i="10"/>
  <c r="DF27" i="10"/>
  <c r="DE27" i="10"/>
  <c r="DD27" i="10"/>
  <c r="DC27" i="10"/>
  <c r="DB27" i="10"/>
  <c r="DA27" i="10"/>
  <c r="CS27" i="10"/>
  <c r="CR27" i="10"/>
  <c r="CQ27" i="10"/>
  <c r="CP27" i="10"/>
  <c r="CO27" i="10"/>
  <c r="AI27" i="10"/>
  <c r="AH27" i="10"/>
  <c r="AG27" i="10"/>
  <c r="AF27" i="10"/>
  <c r="AE27" i="10"/>
  <c r="AD27" i="10"/>
  <c r="AC27" i="10"/>
  <c r="AB27" i="10"/>
  <c r="DJ26" i="10"/>
  <c r="DI26" i="10"/>
  <c r="DH26" i="10"/>
  <c r="CW26" i="10"/>
  <c r="CV26" i="10"/>
  <c r="CU26" i="10"/>
  <c r="DG26" i="10"/>
  <c r="DF26" i="10"/>
  <c r="DE26" i="10"/>
  <c r="DD26" i="10"/>
  <c r="DC26" i="10"/>
  <c r="DB26" i="10"/>
  <c r="DA26" i="10"/>
  <c r="CT26" i="10"/>
  <c r="CS26" i="10"/>
  <c r="CR26" i="10"/>
  <c r="CQ26" i="10"/>
  <c r="CP26" i="10"/>
  <c r="CO26" i="10"/>
  <c r="AI26" i="10"/>
  <c r="AH26" i="10"/>
  <c r="AG26" i="10"/>
  <c r="AF26" i="10"/>
  <c r="AE26" i="10"/>
  <c r="AD26" i="10"/>
  <c r="AC26" i="10"/>
  <c r="AB26" i="10"/>
  <c r="DJ25" i="10"/>
  <c r="DI25" i="10"/>
  <c r="CW25" i="10"/>
  <c r="CV25" i="10"/>
  <c r="DH25" i="10"/>
  <c r="DG25" i="10"/>
  <c r="DF25" i="10"/>
  <c r="DE25" i="10"/>
  <c r="DD25" i="10"/>
  <c r="DC25" i="10"/>
  <c r="DB25" i="10"/>
  <c r="DA25" i="10"/>
  <c r="CU25" i="10"/>
  <c r="CT25" i="10"/>
  <c r="CS25" i="10"/>
  <c r="CR25" i="10"/>
  <c r="CQ25" i="10"/>
  <c r="CP25" i="10"/>
  <c r="CO25" i="10"/>
  <c r="DJ24" i="10"/>
  <c r="CW24" i="10"/>
  <c r="DI24" i="10"/>
  <c r="DH24" i="10"/>
  <c r="DG24" i="10"/>
  <c r="DF24" i="10"/>
  <c r="DE24" i="10"/>
  <c r="DD24" i="10"/>
  <c r="DC24" i="10"/>
  <c r="DB24" i="10"/>
  <c r="DA24" i="10"/>
  <c r="CV24" i="10"/>
  <c r="CU24" i="10"/>
  <c r="CT24" i="10"/>
  <c r="CS24" i="10"/>
  <c r="CR24" i="10"/>
  <c r="CQ24" i="10"/>
  <c r="CP24" i="10"/>
  <c r="CO24" i="10"/>
  <c r="AK24" i="10"/>
  <c r="AK25" i="10" s="1"/>
  <c r="AJ24" i="10"/>
  <c r="AI24" i="10"/>
  <c r="AH24" i="10"/>
  <c r="AG24" i="10"/>
  <c r="AF24" i="10"/>
  <c r="AE24" i="10"/>
  <c r="AD24" i="10"/>
  <c r="AC24" i="10"/>
  <c r="AB24" i="10"/>
  <c r="DJ23" i="10"/>
  <c r="CF34" i="10"/>
  <c r="DI23" i="10"/>
  <c r="DH23" i="10"/>
  <c r="DG23" i="10"/>
  <c r="DF23" i="10"/>
  <c r="DE23" i="10"/>
  <c r="DD23" i="10"/>
  <c r="DC23" i="10"/>
  <c r="DB23" i="10"/>
  <c r="DA23" i="10"/>
  <c r="DD34" i="10" s="1"/>
  <c r="DO27" i="10" s="1"/>
  <c r="CW23" i="10"/>
  <c r="CV23" i="10"/>
  <c r="CU23" i="10"/>
  <c r="CT23" i="10"/>
  <c r="CS23" i="10"/>
  <c r="CR23" i="10"/>
  <c r="CQ23" i="10"/>
  <c r="CP23" i="10"/>
  <c r="CO23" i="10"/>
  <c r="CR34" i="10" s="1"/>
  <c r="DO26" i="10" s="1"/>
  <c r="L4" i="10"/>
  <c r="X52" i="7"/>
  <c r="X33" i="7"/>
  <c r="X14" i="7"/>
  <c r="W5" i="7"/>
  <c r="X5" i="7"/>
  <c r="W6" i="7"/>
  <c r="X6" i="7"/>
  <c r="W7" i="7"/>
  <c r="X7" i="7"/>
  <c r="W8" i="7"/>
  <c r="X8" i="7"/>
  <c r="W9" i="7"/>
  <c r="X9" i="7"/>
  <c r="W10" i="7"/>
  <c r="X10" i="7"/>
  <c r="W11" i="7"/>
  <c r="X11" i="7"/>
  <c r="W12" i="7"/>
  <c r="X12" i="7"/>
  <c r="W13" i="7"/>
  <c r="X13" i="7"/>
  <c r="H44" i="8"/>
  <c r="BT15" i="10"/>
  <c r="BA4" i="10"/>
  <c r="AS4" i="10"/>
  <c r="AJ10" i="10"/>
  <c r="AI10" i="10"/>
  <c r="AE10" i="10"/>
  <c r="AB10" i="10"/>
  <c r="AJ9" i="10"/>
  <c r="AH9" i="10"/>
  <c r="AC9" i="10"/>
  <c r="AB9" i="10"/>
  <c r="AI8" i="10"/>
  <c r="AH8" i="10"/>
  <c r="AG8" i="10"/>
  <c r="AF8" i="10"/>
  <c r="AE8" i="10"/>
  <c r="AD8" i="10"/>
  <c r="AC8" i="10"/>
  <c r="AC7" i="10"/>
  <c r="AB8" i="10"/>
  <c r="AB7" i="10"/>
  <c r="CU7" i="10"/>
  <c r="AI7" i="10"/>
  <c r="AK5" i="10"/>
  <c r="AJ5" i="10"/>
  <c r="AI5" i="10"/>
  <c r="AH5" i="10"/>
  <c r="AG5" i="10"/>
  <c r="AF5" i="10"/>
  <c r="AE5" i="10"/>
  <c r="AD5" i="10"/>
  <c r="AC5" i="10"/>
  <c r="AB5" i="10"/>
  <c r="L98" i="14"/>
  <c r="K99" i="14"/>
  <c r="K98" i="14"/>
  <c r="J99" i="14"/>
  <c r="J100" i="14"/>
  <c r="J98" i="14"/>
  <c r="I99" i="14"/>
  <c r="I100" i="14"/>
  <c r="I101" i="14"/>
  <c r="I98" i="14"/>
  <c r="H99" i="14"/>
  <c r="H100" i="14"/>
  <c r="H101" i="14"/>
  <c r="H102" i="14"/>
  <c r="H98" i="14"/>
  <c r="G99" i="14"/>
  <c r="G100" i="14"/>
  <c r="G101" i="14"/>
  <c r="G102" i="14"/>
  <c r="G103" i="14"/>
  <c r="G98" i="14"/>
  <c r="AL358" i="15"/>
  <c r="AK358" i="15"/>
  <c r="AJ358" i="15"/>
  <c r="AI358" i="15"/>
  <c r="AH358" i="15"/>
  <c r="AG358" i="15"/>
  <c r="AF358" i="15"/>
  <c r="AE358" i="15"/>
  <c r="AD358" i="15"/>
  <c r="AA358" i="15"/>
  <c r="AL357" i="15"/>
  <c r="AK357" i="15"/>
  <c r="AJ357" i="15"/>
  <c r="AI357" i="15"/>
  <c r="AH357" i="15"/>
  <c r="AG357" i="15"/>
  <c r="AF357" i="15"/>
  <c r="AE357" i="15"/>
  <c r="AD357" i="15"/>
  <c r="AA357" i="15"/>
  <c r="AL356" i="15"/>
  <c r="AK356" i="15"/>
  <c r="AJ356" i="15"/>
  <c r="AI356" i="15"/>
  <c r="AH356" i="15"/>
  <c r="AG356" i="15"/>
  <c r="AF356" i="15"/>
  <c r="AE356" i="15"/>
  <c r="AD356" i="15"/>
  <c r="AA356" i="15"/>
  <c r="AL355" i="15"/>
  <c r="AK355" i="15"/>
  <c r="AJ355" i="15"/>
  <c r="AI355" i="15"/>
  <c r="AH355" i="15"/>
  <c r="AG355" i="15"/>
  <c r="AF355" i="15"/>
  <c r="AE355" i="15"/>
  <c r="AD355" i="15"/>
  <c r="AA355" i="15"/>
  <c r="AL354" i="15"/>
  <c r="AK354" i="15"/>
  <c r="AJ354" i="15"/>
  <c r="AI354" i="15"/>
  <c r="AH354" i="15"/>
  <c r="AG354" i="15"/>
  <c r="AF354" i="15"/>
  <c r="AE354" i="15"/>
  <c r="AD354" i="15"/>
  <c r="AA354" i="15"/>
  <c r="AL353" i="15"/>
  <c r="AK353" i="15"/>
  <c r="AJ353" i="15"/>
  <c r="AI353" i="15"/>
  <c r="AH353" i="15"/>
  <c r="AG353" i="15"/>
  <c r="AF353" i="15"/>
  <c r="AE353" i="15"/>
  <c r="AD353" i="15"/>
  <c r="AA353" i="15"/>
  <c r="AL352" i="15"/>
  <c r="AK352" i="15"/>
  <c r="AJ352" i="15"/>
  <c r="AI352" i="15"/>
  <c r="AH352" i="15"/>
  <c r="AG352" i="15"/>
  <c r="AF352" i="15"/>
  <c r="AE352" i="15"/>
  <c r="AD352" i="15"/>
  <c r="AA352" i="15"/>
  <c r="AL351" i="15"/>
  <c r="AK351" i="15"/>
  <c r="AJ351" i="15"/>
  <c r="AI351" i="15"/>
  <c r="AH351" i="15"/>
  <c r="AG351" i="15"/>
  <c r="AF351" i="15"/>
  <c r="AE351" i="15"/>
  <c r="AD351" i="15"/>
  <c r="AA351" i="15"/>
  <c r="AL350" i="15"/>
  <c r="AK350" i="15"/>
  <c r="AJ350" i="15"/>
  <c r="AI350" i="15"/>
  <c r="AH350" i="15"/>
  <c r="AG350" i="15"/>
  <c r="AF350" i="15"/>
  <c r="AE350" i="15"/>
  <c r="AD350" i="15"/>
  <c r="AM350" i="15" s="1"/>
  <c r="AA350" i="15"/>
  <c r="AL349" i="15"/>
  <c r="AK349" i="15"/>
  <c r="AJ349" i="15"/>
  <c r="AI349" i="15"/>
  <c r="AH349" i="15"/>
  <c r="AG349" i="15"/>
  <c r="AF349" i="15"/>
  <c r="AE349" i="15"/>
  <c r="AD349" i="15"/>
  <c r="AA349" i="15"/>
  <c r="AL348" i="15"/>
  <c r="AK348" i="15"/>
  <c r="AJ348" i="15"/>
  <c r="AI348" i="15"/>
  <c r="AH348" i="15"/>
  <c r="AG348" i="15"/>
  <c r="AF348" i="15"/>
  <c r="AE348" i="15"/>
  <c r="AD348" i="15"/>
  <c r="AA348" i="15"/>
  <c r="AL347" i="15"/>
  <c r="AK347" i="15"/>
  <c r="AJ347" i="15"/>
  <c r="AI347" i="15"/>
  <c r="AH347" i="15"/>
  <c r="AG347" i="15"/>
  <c r="AF347" i="15"/>
  <c r="AE347" i="15"/>
  <c r="AD347" i="15"/>
  <c r="AA347" i="15"/>
  <c r="AL346" i="15"/>
  <c r="AK346" i="15"/>
  <c r="AJ346" i="15"/>
  <c r="AI346" i="15"/>
  <c r="AH346" i="15"/>
  <c r="AG346" i="15"/>
  <c r="AF346" i="15"/>
  <c r="AE346" i="15"/>
  <c r="AD346" i="15"/>
  <c r="AM346" i="15" s="1"/>
  <c r="AA346" i="15"/>
  <c r="AL345" i="15"/>
  <c r="AK345" i="15"/>
  <c r="AJ345" i="15"/>
  <c r="AI345" i="15"/>
  <c r="AH345" i="15"/>
  <c r="AG345" i="15"/>
  <c r="AF345" i="15"/>
  <c r="AE345" i="15"/>
  <c r="AD345" i="15"/>
  <c r="AM345" i="15" s="1"/>
  <c r="AA345" i="15"/>
  <c r="AL344" i="15"/>
  <c r="AK344" i="15"/>
  <c r="AJ344" i="15"/>
  <c r="AI344" i="15"/>
  <c r="AH344" i="15"/>
  <c r="AG344" i="15"/>
  <c r="AF344" i="15"/>
  <c r="AE344" i="15"/>
  <c r="AD344" i="15"/>
  <c r="AM344" i="15" s="1"/>
  <c r="AA344" i="15"/>
  <c r="AL343" i="15"/>
  <c r="AK343" i="15"/>
  <c r="AJ343" i="15"/>
  <c r="AI343" i="15"/>
  <c r="AH343" i="15"/>
  <c r="AG343" i="15"/>
  <c r="AF343" i="15"/>
  <c r="AE343" i="15"/>
  <c r="AD343" i="15"/>
  <c r="AM343" i="15" s="1"/>
  <c r="AA343" i="15"/>
  <c r="AL342" i="15"/>
  <c r="AK342" i="15"/>
  <c r="AJ342" i="15"/>
  <c r="AI342" i="15"/>
  <c r="AH342" i="15"/>
  <c r="AG342" i="15"/>
  <c r="AF342" i="15"/>
  <c r="AE342" i="15"/>
  <c r="AD342" i="15"/>
  <c r="AA342" i="15"/>
  <c r="AL341" i="15"/>
  <c r="AK341" i="15"/>
  <c r="AJ341" i="15"/>
  <c r="AI341" i="15"/>
  <c r="AH341" i="15"/>
  <c r="AG341" i="15"/>
  <c r="AF341" i="15"/>
  <c r="AE341" i="15"/>
  <c r="AD341" i="15"/>
  <c r="AA341" i="15"/>
  <c r="AL340" i="15"/>
  <c r="AK340" i="15"/>
  <c r="AJ340" i="15"/>
  <c r="AI340" i="15"/>
  <c r="AH340" i="15"/>
  <c r="AG340" i="15"/>
  <c r="AF340" i="15"/>
  <c r="AE340" i="15"/>
  <c r="AD340" i="15"/>
  <c r="AA340" i="15"/>
  <c r="AL339" i="15"/>
  <c r="AK339" i="15"/>
  <c r="AJ339" i="15"/>
  <c r="AI339" i="15"/>
  <c r="AH339" i="15"/>
  <c r="AG339" i="15"/>
  <c r="AF339" i="15"/>
  <c r="AE339" i="15"/>
  <c r="AD339" i="15"/>
  <c r="AA339" i="15"/>
  <c r="AL338" i="15"/>
  <c r="AK338" i="15"/>
  <c r="AJ338" i="15"/>
  <c r="AI338" i="15"/>
  <c r="AH338" i="15"/>
  <c r="AG338" i="15"/>
  <c r="AF338" i="15"/>
  <c r="AE338" i="15"/>
  <c r="AD338" i="15"/>
  <c r="AA338" i="15"/>
  <c r="AL337" i="15"/>
  <c r="AK337" i="15"/>
  <c r="AJ337" i="15"/>
  <c r="AI337" i="15"/>
  <c r="AH337" i="15"/>
  <c r="AG337" i="15"/>
  <c r="AF337" i="15"/>
  <c r="AE337" i="15"/>
  <c r="AD337" i="15"/>
  <c r="AM337" i="15" s="1"/>
  <c r="AA337" i="15"/>
  <c r="AL336" i="15"/>
  <c r="AK336" i="15"/>
  <c r="AJ336" i="15"/>
  <c r="AI336" i="15"/>
  <c r="AH336" i="15"/>
  <c r="AG336" i="15"/>
  <c r="AF336" i="15"/>
  <c r="AE336" i="15"/>
  <c r="AD336" i="15"/>
  <c r="AM336" i="15" s="1"/>
  <c r="AA336" i="15"/>
  <c r="AL335" i="15"/>
  <c r="AK335" i="15"/>
  <c r="AJ335" i="15"/>
  <c r="AI335" i="15"/>
  <c r="AH335" i="15"/>
  <c r="AG335" i="15"/>
  <c r="AF335" i="15"/>
  <c r="AE335" i="15"/>
  <c r="AD335" i="15"/>
  <c r="AM335" i="15" s="1"/>
  <c r="AA335" i="15"/>
  <c r="AL334" i="15"/>
  <c r="AK334" i="15"/>
  <c r="AJ334" i="15"/>
  <c r="AI334" i="15"/>
  <c r="AH334" i="15"/>
  <c r="AG334" i="15"/>
  <c r="AF334" i="15"/>
  <c r="AE334" i="15"/>
  <c r="AD334" i="15"/>
  <c r="AA334" i="15"/>
  <c r="AL333" i="15"/>
  <c r="AK333" i="15"/>
  <c r="AJ333" i="15"/>
  <c r="AI333" i="15"/>
  <c r="AH333" i="15"/>
  <c r="AG333" i="15"/>
  <c r="AF333" i="15"/>
  <c r="AE333" i="15"/>
  <c r="AD333" i="15"/>
  <c r="AA333" i="15"/>
  <c r="AL332" i="15"/>
  <c r="AK332" i="15"/>
  <c r="AJ332" i="15"/>
  <c r="AI332" i="15"/>
  <c r="AH332" i="15"/>
  <c r="AG332" i="15"/>
  <c r="AF332" i="15"/>
  <c r="AE332" i="15"/>
  <c r="AD332" i="15"/>
  <c r="AA332" i="15"/>
  <c r="AL331" i="15"/>
  <c r="AK331" i="15"/>
  <c r="AJ331" i="15"/>
  <c r="AI331" i="15"/>
  <c r="AH331" i="15"/>
  <c r="AG331" i="15"/>
  <c r="AF331" i="15"/>
  <c r="AE331" i="15"/>
  <c r="AD331" i="15"/>
  <c r="AA331" i="15"/>
  <c r="AL330" i="15"/>
  <c r="AK330" i="15"/>
  <c r="AJ330" i="15"/>
  <c r="AI330" i="15"/>
  <c r="AH330" i="15"/>
  <c r="AG330" i="15"/>
  <c r="AF330" i="15"/>
  <c r="AE330" i="15"/>
  <c r="AD330" i="15"/>
  <c r="AA330" i="15"/>
  <c r="AL329" i="15"/>
  <c r="AK329" i="15"/>
  <c r="AJ329" i="15"/>
  <c r="AI329" i="15"/>
  <c r="AH329" i="15"/>
  <c r="AG329" i="15"/>
  <c r="AF329" i="15"/>
  <c r="AE329" i="15"/>
  <c r="AD329" i="15"/>
  <c r="AA329" i="15"/>
  <c r="AL328" i="15"/>
  <c r="AK328" i="15"/>
  <c r="AJ328" i="15"/>
  <c r="AI328" i="15"/>
  <c r="AH328" i="15"/>
  <c r="AG328" i="15"/>
  <c r="AF328" i="15"/>
  <c r="AE328" i="15"/>
  <c r="AD328" i="15"/>
  <c r="AA328" i="15"/>
  <c r="AL327" i="15"/>
  <c r="AK327" i="15"/>
  <c r="AJ327" i="15"/>
  <c r="AI327" i="15"/>
  <c r="AH327" i="15"/>
  <c r="AG327" i="15"/>
  <c r="AF327" i="15"/>
  <c r="AE327" i="15"/>
  <c r="AD327" i="15"/>
  <c r="AA327" i="15"/>
  <c r="AL326" i="15"/>
  <c r="AK326" i="15"/>
  <c r="AJ326" i="15"/>
  <c r="AI326" i="15"/>
  <c r="AH326" i="15"/>
  <c r="AG326" i="15"/>
  <c r="AF326" i="15"/>
  <c r="AE326" i="15"/>
  <c r="AD326" i="15"/>
  <c r="AM326" i="15" s="1"/>
  <c r="AA326" i="15"/>
  <c r="E326" i="15"/>
  <c r="AL325" i="15"/>
  <c r="AK325" i="15"/>
  <c r="AJ325" i="15"/>
  <c r="AI325" i="15"/>
  <c r="AH325" i="15"/>
  <c r="AG325" i="15"/>
  <c r="AF325" i="15"/>
  <c r="AE325" i="15"/>
  <c r="AD325" i="15"/>
  <c r="AA325" i="15"/>
  <c r="E325" i="15"/>
  <c r="AL324" i="15"/>
  <c r="AK324" i="15"/>
  <c r="AJ324" i="15"/>
  <c r="AI324" i="15"/>
  <c r="AH324" i="15"/>
  <c r="AG324" i="15"/>
  <c r="AF324" i="15"/>
  <c r="AE324" i="15"/>
  <c r="AD324" i="15"/>
  <c r="AA324" i="15"/>
  <c r="E324" i="15"/>
  <c r="AL323" i="15"/>
  <c r="AK323" i="15"/>
  <c r="AJ323" i="15"/>
  <c r="AI323" i="15"/>
  <c r="AH323" i="15"/>
  <c r="AG323" i="15"/>
  <c r="AF323" i="15"/>
  <c r="AE323" i="15"/>
  <c r="AD323" i="15"/>
  <c r="AA323" i="15"/>
  <c r="E323" i="15"/>
  <c r="AL322" i="15"/>
  <c r="AK322" i="15"/>
  <c r="AJ322" i="15"/>
  <c r="AI322" i="15"/>
  <c r="AH322" i="15"/>
  <c r="AG322" i="15"/>
  <c r="AF322" i="15"/>
  <c r="AE322" i="15"/>
  <c r="AD322" i="15"/>
  <c r="AA322" i="15"/>
  <c r="E322" i="15"/>
  <c r="AL321" i="15"/>
  <c r="AK321" i="15"/>
  <c r="AJ321" i="15"/>
  <c r="AI321" i="15"/>
  <c r="AH321" i="15"/>
  <c r="AG321" i="15"/>
  <c r="AF321" i="15"/>
  <c r="AE321" i="15"/>
  <c r="AD321" i="15"/>
  <c r="AA321" i="15"/>
  <c r="E321" i="15"/>
  <c r="AL320" i="15"/>
  <c r="AK320" i="15"/>
  <c r="AJ320" i="15"/>
  <c r="AI320" i="15"/>
  <c r="AH320" i="15"/>
  <c r="AG320" i="15"/>
  <c r="AF320" i="15"/>
  <c r="AE320" i="15"/>
  <c r="AD320" i="15"/>
  <c r="AA320" i="15"/>
  <c r="E320" i="15"/>
  <c r="AL319" i="15"/>
  <c r="AK319" i="15"/>
  <c r="AJ319" i="15"/>
  <c r="AI319" i="15"/>
  <c r="AH319" i="15"/>
  <c r="AG319" i="15"/>
  <c r="AF319" i="15"/>
  <c r="AE319" i="15"/>
  <c r="AD319" i="15"/>
  <c r="AA319" i="15"/>
  <c r="E319" i="15"/>
  <c r="AL318" i="15"/>
  <c r="AK318" i="15"/>
  <c r="AJ318" i="15"/>
  <c r="AI318" i="15"/>
  <c r="AH318" i="15"/>
  <c r="AG318" i="15"/>
  <c r="AF318" i="15"/>
  <c r="AE318" i="15"/>
  <c r="AD318" i="15"/>
  <c r="AA318" i="15"/>
  <c r="E318" i="15"/>
  <c r="AL317" i="15"/>
  <c r="AK317" i="15"/>
  <c r="AJ317" i="15"/>
  <c r="AI317" i="15"/>
  <c r="AH317" i="15"/>
  <c r="AG317" i="15"/>
  <c r="AF317" i="15"/>
  <c r="AE317" i="15"/>
  <c r="AD317" i="15"/>
  <c r="AA317" i="15"/>
  <c r="E317" i="15"/>
  <c r="AL316" i="15"/>
  <c r="AK316" i="15"/>
  <c r="AJ316" i="15"/>
  <c r="AI316" i="15"/>
  <c r="AH316" i="15"/>
  <c r="AG316" i="15"/>
  <c r="AF316" i="15"/>
  <c r="AE316" i="15"/>
  <c r="AD316" i="15"/>
  <c r="AM316" i="15" s="1"/>
  <c r="AA316" i="15"/>
  <c r="E316" i="15"/>
  <c r="AL315" i="15"/>
  <c r="AK315" i="15"/>
  <c r="AJ315" i="15"/>
  <c r="AI315" i="15"/>
  <c r="AH315" i="15"/>
  <c r="AG315" i="15"/>
  <c r="AF315" i="15"/>
  <c r="AE315" i="15"/>
  <c r="AD315" i="15"/>
  <c r="AM315" i="15" s="1"/>
  <c r="AA315" i="15"/>
  <c r="E315" i="15"/>
  <c r="AL314" i="15"/>
  <c r="AK314" i="15"/>
  <c r="AJ314" i="15"/>
  <c r="AI314" i="15"/>
  <c r="AH314" i="15"/>
  <c r="AG314" i="15"/>
  <c r="AF314" i="15"/>
  <c r="AE314" i="15"/>
  <c r="AD314" i="15"/>
  <c r="AM314" i="15" s="1"/>
  <c r="AA314" i="15"/>
  <c r="E314" i="15"/>
  <c r="AL313" i="15"/>
  <c r="AK313" i="15"/>
  <c r="AJ313" i="15"/>
  <c r="AI313" i="15"/>
  <c r="AH313" i="15"/>
  <c r="AG313" i="15"/>
  <c r="AF313" i="15"/>
  <c r="AE313" i="15"/>
  <c r="AD313" i="15"/>
  <c r="AA313" i="15"/>
  <c r="E313" i="15"/>
  <c r="AL312" i="15"/>
  <c r="AK312" i="15"/>
  <c r="AJ312" i="15"/>
  <c r="AI312" i="15"/>
  <c r="AH312" i="15"/>
  <c r="AG312" i="15"/>
  <c r="AF312" i="15"/>
  <c r="AE312" i="15"/>
  <c r="AD312" i="15"/>
  <c r="AA312" i="15"/>
  <c r="E312" i="15"/>
  <c r="AL311" i="15"/>
  <c r="AK311" i="15"/>
  <c r="AJ311" i="15"/>
  <c r="AI311" i="15"/>
  <c r="AH311" i="15"/>
  <c r="AG311" i="15"/>
  <c r="AF311" i="15"/>
  <c r="AE311" i="15"/>
  <c r="AD311" i="15"/>
  <c r="AA311" i="15"/>
  <c r="E311" i="15"/>
  <c r="AL310" i="15"/>
  <c r="AK310" i="15"/>
  <c r="AJ310" i="15"/>
  <c r="AI310" i="15"/>
  <c r="AH310" i="15"/>
  <c r="AG310" i="15"/>
  <c r="AF310" i="15"/>
  <c r="AE310" i="15"/>
  <c r="AD310" i="15"/>
  <c r="AA310" i="15"/>
  <c r="E310" i="15"/>
  <c r="AL309" i="15"/>
  <c r="AK309" i="15"/>
  <c r="AJ309" i="15"/>
  <c r="AI309" i="15"/>
  <c r="AH309" i="15"/>
  <c r="AG309" i="15"/>
  <c r="AF309" i="15"/>
  <c r="AE309" i="15"/>
  <c r="AD309" i="15"/>
  <c r="AA309" i="15"/>
  <c r="E309" i="15"/>
  <c r="AL308" i="15"/>
  <c r="AK308" i="15"/>
  <c r="AJ308" i="15"/>
  <c r="AI308" i="15"/>
  <c r="AH308" i="15"/>
  <c r="AG308" i="15"/>
  <c r="AF308" i="15"/>
  <c r="AE308" i="15"/>
  <c r="AD308" i="15"/>
  <c r="AA308" i="15"/>
  <c r="E308" i="15"/>
  <c r="AL307" i="15"/>
  <c r="AK307" i="15"/>
  <c r="AJ307" i="15"/>
  <c r="AI307" i="15"/>
  <c r="AH307" i="15"/>
  <c r="AG307" i="15"/>
  <c r="AF307" i="15"/>
  <c r="AE307" i="15"/>
  <c r="AD307" i="15"/>
  <c r="AA307" i="15"/>
  <c r="E307" i="15"/>
  <c r="AL306" i="15"/>
  <c r="AK306" i="15"/>
  <c r="AJ306" i="15"/>
  <c r="AI306" i="15"/>
  <c r="AH306" i="15"/>
  <c r="AG306" i="15"/>
  <c r="AF306" i="15"/>
  <c r="AE306" i="15"/>
  <c r="AD306" i="15"/>
  <c r="AA306" i="15"/>
  <c r="E306" i="15"/>
  <c r="AL305" i="15"/>
  <c r="AK305" i="15"/>
  <c r="AJ305" i="15"/>
  <c r="AI305" i="15"/>
  <c r="AH305" i="15"/>
  <c r="AG305" i="15"/>
  <c r="AF305" i="15"/>
  <c r="AE305" i="15"/>
  <c r="AD305" i="15"/>
  <c r="AM305" i="15" s="1"/>
  <c r="AA305" i="15"/>
  <c r="E305" i="15"/>
  <c r="AL304" i="15"/>
  <c r="AK304" i="15"/>
  <c r="AJ304" i="15"/>
  <c r="AI304" i="15"/>
  <c r="AH304" i="15"/>
  <c r="AG304" i="15"/>
  <c r="AF304" i="15"/>
  <c r="AE304" i="15"/>
  <c r="AD304" i="15"/>
  <c r="AM304" i="15" s="1"/>
  <c r="AA304" i="15"/>
  <c r="E304" i="15"/>
  <c r="AL303" i="15"/>
  <c r="AK303" i="15"/>
  <c r="AJ303" i="15"/>
  <c r="AI303" i="15"/>
  <c r="AH303" i="15"/>
  <c r="AG303" i="15"/>
  <c r="AF303" i="15"/>
  <c r="AE303" i="15"/>
  <c r="AD303" i="15"/>
  <c r="AM303" i="15" s="1"/>
  <c r="AA303" i="15"/>
  <c r="E303" i="15"/>
  <c r="AL302" i="15"/>
  <c r="AK302" i="15"/>
  <c r="AJ302" i="15"/>
  <c r="AI302" i="15"/>
  <c r="AH302" i="15"/>
  <c r="AG302" i="15"/>
  <c r="AF302" i="15"/>
  <c r="AE302" i="15"/>
  <c r="AD302" i="15"/>
  <c r="AM302" i="15" s="1"/>
  <c r="AA302" i="15"/>
  <c r="E302" i="15"/>
  <c r="AL301" i="15"/>
  <c r="AK301" i="15"/>
  <c r="AJ301" i="15"/>
  <c r="AI301" i="15"/>
  <c r="AH301" i="15"/>
  <c r="AG301" i="15"/>
  <c r="AF301" i="15"/>
  <c r="AE301" i="15"/>
  <c r="AD301" i="15"/>
  <c r="AA301" i="15"/>
  <c r="E301" i="15"/>
  <c r="AL300" i="15"/>
  <c r="AK300" i="15"/>
  <c r="AJ300" i="15"/>
  <c r="AI300" i="15"/>
  <c r="AH300" i="15"/>
  <c r="AG300" i="15"/>
  <c r="AF300" i="15"/>
  <c r="AE300" i="15"/>
  <c r="AD300" i="15"/>
  <c r="AA300" i="15"/>
  <c r="E300" i="15"/>
  <c r="AL299" i="15"/>
  <c r="AK299" i="15"/>
  <c r="AJ299" i="15"/>
  <c r="AI299" i="15"/>
  <c r="AH299" i="15"/>
  <c r="AG299" i="15"/>
  <c r="AF299" i="15"/>
  <c r="AE299" i="15"/>
  <c r="AD299" i="15"/>
  <c r="AA299" i="15"/>
  <c r="E299" i="15"/>
  <c r="AL298" i="15"/>
  <c r="AK298" i="15"/>
  <c r="AJ298" i="15"/>
  <c r="AI298" i="15"/>
  <c r="AH298" i="15"/>
  <c r="AG298" i="15"/>
  <c r="AF298" i="15"/>
  <c r="AE298" i="15"/>
  <c r="AD298" i="15"/>
  <c r="AA298" i="15"/>
  <c r="E298" i="15"/>
  <c r="AL297" i="15"/>
  <c r="AK297" i="15"/>
  <c r="AJ297" i="15"/>
  <c r="AI297" i="15"/>
  <c r="AH297" i="15"/>
  <c r="AG297" i="15"/>
  <c r="AF297" i="15"/>
  <c r="AE297" i="15"/>
  <c r="AD297" i="15"/>
  <c r="AA297" i="15"/>
  <c r="E297" i="15"/>
  <c r="AL296" i="15"/>
  <c r="AK296" i="15"/>
  <c r="AJ296" i="15"/>
  <c r="AI296" i="15"/>
  <c r="AH296" i="15"/>
  <c r="AG296" i="15"/>
  <c r="AF296" i="15"/>
  <c r="AE296" i="15"/>
  <c r="AD296" i="15"/>
  <c r="AA296" i="15"/>
  <c r="E296" i="15"/>
  <c r="AL295" i="15"/>
  <c r="AK295" i="15"/>
  <c r="AJ295" i="15"/>
  <c r="AI295" i="15"/>
  <c r="AH295" i="15"/>
  <c r="AG295" i="15"/>
  <c r="AF295" i="15"/>
  <c r="AE295" i="15"/>
  <c r="AD295" i="15"/>
  <c r="AA295" i="15"/>
  <c r="E295" i="15"/>
  <c r="AL294" i="15"/>
  <c r="AK294" i="15"/>
  <c r="AJ294" i="15"/>
  <c r="AI294" i="15"/>
  <c r="AH294" i="15"/>
  <c r="AG294" i="15"/>
  <c r="AF294" i="15"/>
  <c r="AE294" i="15"/>
  <c r="AD294" i="15"/>
  <c r="AM294" i="15" s="1"/>
  <c r="AA294" i="15"/>
  <c r="E294" i="15"/>
  <c r="AL293" i="15"/>
  <c r="AK293" i="15"/>
  <c r="AJ293" i="15"/>
  <c r="AI293" i="15"/>
  <c r="AH293" i="15"/>
  <c r="AG293" i="15"/>
  <c r="AF293" i="15"/>
  <c r="AE293" i="15"/>
  <c r="AD293" i="15"/>
  <c r="AM293" i="15" s="1"/>
  <c r="AA293" i="15"/>
  <c r="E293" i="15"/>
  <c r="AL292" i="15"/>
  <c r="AK292" i="15"/>
  <c r="AJ292" i="15"/>
  <c r="AI292" i="15"/>
  <c r="AH292" i="15"/>
  <c r="AG292" i="15"/>
  <c r="AF292" i="15"/>
  <c r="AE292" i="15"/>
  <c r="AD292" i="15"/>
  <c r="AM292" i="15" s="1"/>
  <c r="AA292" i="15"/>
  <c r="E292" i="15"/>
  <c r="AL291" i="15"/>
  <c r="AK291" i="15"/>
  <c r="AJ291" i="15"/>
  <c r="AI291" i="15"/>
  <c r="AH291" i="15"/>
  <c r="AG291" i="15"/>
  <c r="AF291" i="15"/>
  <c r="AE291" i="15"/>
  <c r="AD291" i="15"/>
  <c r="AA291" i="15"/>
  <c r="E291" i="15"/>
  <c r="AL290" i="15"/>
  <c r="AK290" i="15"/>
  <c r="AJ290" i="15"/>
  <c r="AI290" i="15"/>
  <c r="AH290" i="15"/>
  <c r="AG290" i="15"/>
  <c r="AF290" i="15"/>
  <c r="AE290" i="15"/>
  <c r="AD290" i="15"/>
  <c r="AA290" i="15"/>
  <c r="E290" i="15"/>
  <c r="AL289" i="15"/>
  <c r="AK289" i="15"/>
  <c r="AJ289" i="15"/>
  <c r="AI289" i="15"/>
  <c r="AH289" i="15"/>
  <c r="AG289" i="15"/>
  <c r="AF289" i="15"/>
  <c r="AE289" i="15"/>
  <c r="AD289" i="15"/>
  <c r="AA289" i="15"/>
  <c r="E289" i="15"/>
  <c r="AL288" i="15"/>
  <c r="AK288" i="15"/>
  <c r="AJ288" i="15"/>
  <c r="AI288" i="15"/>
  <c r="AH288" i="15"/>
  <c r="AG288" i="15"/>
  <c r="AF288" i="15"/>
  <c r="AE288" i="15"/>
  <c r="AD288" i="15"/>
  <c r="AA288" i="15"/>
  <c r="E288" i="15"/>
  <c r="AL287" i="15"/>
  <c r="AK287" i="15"/>
  <c r="AJ287" i="15"/>
  <c r="AI287" i="15"/>
  <c r="AH287" i="15"/>
  <c r="AG287" i="15"/>
  <c r="AF287" i="15"/>
  <c r="AE287" i="15"/>
  <c r="AD287" i="15"/>
  <c r="AA287" i="15"/>
  <c r="E287" i="15"/>
  <c r="AL286" i="15"/>
  <c r="AK286" i="15"/>
  <c r="AJ286" i="15"/>
  <c r="AI286" i="15"/>
  <c r="AH286" i="15"/>
  <c r="AG286" i="15"/>
  <c r="AF286" i="15"/>
  <c r="AE286" i="15"/>
  <c r="AD286" i="15"/>
  <c r="AA286" i="15"/>
  <c r="E286" i="15"/>
  <c r="AL285" i="15"/>
  <c r="AK285" i="15"/>
  <c r="AJ285" i="15"/>
  <c r="AI285" i="15"/>
  <c r="AH285" i="15"/>
  <c r="AG285" i="15"/>
  <c r="AF285" i="15"/>
  <c r="AE285" i="15"/>
  <c r="AD285" i="15"/>
  <c r="AA285" i="15"/>
  <c r="E285" i="15"/>
  <c r="AL284" i="15"/>
  <c r="AK284" i="15"/>
  <c r="AJ284" i="15"/>
  <c r="AI284" i="15"/>
  <c r="AH284" i="15"/>
  <c r="AG284" i="15"/>
  <c r="AF284" i="15"/>
  <c r="AE284" i="15"/>
  <c r="AD284" i="15"/>
  <c r="AA284" i="15"/>
  <c r="E284" i="15"/>
  <c r="AL283" i="15"/>
  <c r="AK283" i="15"/>
  <c r="AJ283" i="15"/>
  <c r="AI283" i="15"/>
  <c r="AH283" i="15"/>
  <c r="AG283" i="15"/>
  <c r="AF283" i="15"/>
  <c r="AE283" i="15"/>
  <c r="AD283" i="15"/>
  <c r="AA283" i="15"/>
  <c r="E283" i="15"/>
  <c r="AL282" i="15"/>
  <c r="AK282" i="15"/>
  <c r="AJ282" i="15"/>
  <c r="AI282" i="15"/>
  <c r="AH282" i="15"/>
  <c r="AG282" i="15"/>
  <c r="AF282" i="15"/>
  <c r="AE282" i="15"/>
  <c r="AD282" i="15"/>
  <c r="AA282" i="15"/>
  <c r="E282" i="15"/>
  <c r="AL281" i="15"/>
  <c r="AK281" i="15"/>
  <c r="AJ281" i="15"/>
  <c r="AI281" i="15"/>
  <c r="AH281" i="15"/>
  <c r="AG281" i="15"/>
  <c r="AF281" i="15"/>
  <c r="AE281" i="15"/>
  <c r="AD281" i="15"/>
  <c r="AM281" i="15" s="1"/>
  <c r="AA281" i="15"/>
  <c r="E281" i="15"/>
  <c r="AL280" i="15"/>
  <c r="AK280" i="15"/>
  <c r="AJ280" i="15"/>
  <c r="AI280" i="15"/>
  <c r="AH280" i="15"/>
  <c r="AG280" i="15"/>
  <c r="AF280" i="15"/>
  <c r="AE280" i="15"/>
  <c r="AD280" i="15"/>
  <c r="AA280" i="15"/>
  <c r="E280" i="15"/>
  <c r="AL279" i="15"/>
  <c r="AK279" i="15"/>
  <c r="AJ279" i="15"/>
  <c r="AI279" i="15"/>
  <c r="AH279" i="15"/>
  <c r="AG279" i="15"/>
  <c r="AF279" i="15"/>
  <c r="AE279" i="15"/>
  <c r="AD279" i="15"/>
  <c r="AA279" i="15"/>
  <c r="E279" i="15"/>
  <c r="AL278" i="15"/>
  <c r="AK278" i="15"/>
  <c r="AJ278" i="15"/>
  <c r="AI278" i="15"/>
  <c r="AH278" i="15"/>
  <c r="AG278" i="15"/>
  <c r="AF278" i="15"/>
  <c r="AE278" i="15"/>
  <c r="AD278" i="15"/>
  <c r="AA278" i="15"/>
  <c r="E278" i="15"/>
  <c r="AL277" i="15"/>
  <c r="AK277" i="15"/>
  <c r="AJ277" i="15"/>
  <c r="AI277" i="15"/>
  <c r="AH277" i="15"/>
  <c r="AG277" i="15"/>
  <c r="AF277" i="15"/>
  <c r="AE277" i="15"/>
  <c r="AD277" i="15"/>
  <c r="AA277" i="15"/>
  <c r="E277" i="15"/>
  <c r="AL276" i="15"/>
  <c r="AK276" i="15"/>
  <c r="AJ276" i="15"/>
  <c r="AI276" i="15"/>
  <c r="AH276" i="15"/>
  <c r="AG276" i="15"/>
  <c r="AF276" i="15"/>
  <c r="AE276" i="15"/>
  <c r="AD276" i="15"/>
  <c r="AA276" i="15"/>
  <c r="E276" i="15"/>
  <c r="AL275" i="15"/>
  <c r="AK275" i="15"/>
  <c r="AJ275" i="15"/>
  <c r="AI275" i="15"/>
  <c r="AH275" i="15"/>
  <c r="AG275" i="15"/>
  <c r="AF275" i="15"/>
  <c r="AE275" i="15"/>
  <c r="AD275" i="15"/>
  <c r="AA275" i="15"/>
  <c r="E275" i="15"/>
  <c r="AL274" i="15"/>
  <c r="AK274" i="15"/>
  <c r="AJ274" i="15"/>
  <c r="AI274" i="15"/>
  <c r="AH274" i="15"/>
  <c r="AG274" i="15"/>
  <c r="AF274" i="15"/>
  <c r="AE274" i="15"/>
  <c r="AD274" i="15"/>
  <c r="AA274" i="15"/>
  <c r="E274" i="15"/>
  <c r="AL273" i="15"/>
  <c r="AK273" i="15"/>
  <c r="AJ273" i="15"/>
  <c r="AI273" i="15"/>
  <c r="AH273" i="15"/>
  <c r="AG273" i="15"/>
  <c r="AF273" i="15"/>
  <c r="AE273" i="15"/>
  <c r="AD273" i="15"/>
  <c r="AA273" i="15"/>
  <c r="E273" i="15"/>
  <c r="AL272" i="15"/>
  <c r="AK272" i="15"/>
  <c r="AJ272" i="15"/>
  <c r="AI272" i="15"/>
  <c r="AH272" i="15"/>
  <c r="AG272" i="15"/>
  <c r="AF272" i="15"/>
  <c r="AE272" i="15"/>
  <c r="AD272" i="15"/>
  <c r="AA272" i="15"/>
  <c r="E272" i="15"/>
  <c r="AL271" i="15"/>
  <c r="AK271" i="15"/>
  <c r="AJ271" i="15"/>
  <c r="AI271" i="15"/>
  <c r="AH271" i="15"/>
  <c r="AG271" i="15"/>
  <c r="AF271" i="15"/>
  <c r="AE271" i="15"/>
  <c r="AD271" i="15"/>
  <c r="AA271" i="15"/>
  <c r="AL270" i="15"/>
  <c r="AK270" i="15"/>
  <c r="AJ270" i="15"/>
  <c r="AI270" i="15"/>
  <c r="AH270" i="15"/>
  <c r="AG270" i="15"/>
  <c r="AF270" i="15"/>
  <c r="AE270" i="15"/>
  <c r="AD270" i="15"/>
  <c r="AA270" i="15"/>
  <c r="AL269" i="15"/>
  <c r="AK269" i="15"/>
  <c r="AJ269" i="15"/>
  <c r="AI269" i="15"/>
  <c r="AH269" i="15"/>
  <c r="AG269" i="15"/>
  <c r="AF269" i="15"/>
  <c r="AE269" i="15"/>
  <c r="AD269" i="15"/>
  <c r="AM269" i="15" s="1"/>
  <c r="AA269" i="15"/>
  <c r="AL267" i="15"/>
  <c r="AK267" i="15"/>
  <c r="AJ267" i="15"/>
  <c r="AI267" i="15"/>
  <c r="AH267" i="15"/>
  <c r="AG267" i="15"/>
  <c r="AF267" i="15"/>
  <c r="AE267" i="15"/>
  <c r="AD267" i="15"/>
  <c r="AA267" i="15"/>
  <c r="AL266" i="15"/>
  <c r="AK266" i="15"/>
  <c r="AJ266" i="15"/>
  <c r="AI266" i="15"/>
  <c r="AH266" i="15"/>
  <c r="AG266" i="15"/>
  <c r="AF266" i="15"/>
  <c r="AE266" i="15"/>
  <c r="AD266" i="15"/>
  <c r="AM266" i="15" s="1"/>
  <c r="AA266" i="15"/>
  <c r="AL265" i="15"/>
  <c r="AK265" i="15"/>
  <c r="AJ265" i="15"/>
  <c r="AI265" i="15"/>
  <c r="AH265" i="15"/>
  <c r="AG265" i="15"/>
  <c r="AF265" i="15"/>
  <c r="AE265" i="15"/>
  <c r="AD265" i="15"/>
  <c r="AM265" i="15" s="1"/>
  <c r="AA265" i="15"/>
  <c r="AL264" i="15"/>
  <c r="AK264" i="15"/>
  <c r="AJ264" i="15"/>
  <c r="AI264" i="15"/>
  <c r="AH264" i="15"/>
  <c r="AG264" i="15"/>
  <c r="AF264" i="15"/>
  <c r="AE264" i="15"/>
  <c r="AD264" i="15"/>
  <c r="AA264" i="15"/>
  <c r="AL263" i="15"/>
  <c r="AK263" i="15"/>
  <c r="AJ263" i="15"/>
  <c r="AI263" i="15"/>
  <c r="AH263" i="15"/>
  <c r="AG263" i="15"/>
  <c r="AF263" i="15"/>
  <c r="AE263" i="15"/>
  <c r="AD263" i="15"/>
  <c r="AM263" i="15" s="1"/>
  <c r="AA263" i="15"/>
  <c r="AL262" i="15"/>
  <c r="AK262" i="15"/>
  <c r="AJ262" i="15"/>
  <c r="AI262" i="15"/>
  <c r="AH262" i="15"/>
  <c r="AG262" i="15"/>
  <c r="AF262" i="15"/>
  <c r="AE262" i="15"/>
  <c r="AD262" i="15"/>
  <c r="AM262" i="15" s="1"/>
  <c r="AA262" i="15"/>
  <c r="AL261" i="15"/>
  <c r="AK261" i="15"/>
  <c r="AJ261" i="15"/>
  <c r="AI261" i="15"/>
  <c r="AH261" i="15"/>
  <c r="AG261" i="15"/>
  <c r="AF261" i="15"/>
  <c r="AE261" i="15"/>
  <c r="AD261" i="15"/>
  <c r="AA261" i="15"/>
  <c r="AL260" i="15"/>
  <c r="AK260" i="15"/>
  <c r="AJ260" i="15"/>
  <c r="AI260" i="15"/>
  <c r="AH260" i="15"/>
  <c r="AG260" i="15"/>
  <c r="AF260" i="15"/>
  <c r="AE260" i="15"/>
  <c r="AD260" i="15"/>
  <c r="AA260" i="15"/>
  <c r="C54" i="15"/>
  <c r="C73" i="15" s="1"/>
  <c r="C53" i="15"/>
  <c r="D53" i="15" s="1"/>
  <c r="D72" i="15" s="1"/>
  <c r="C48" i="15"/>
  <c r="D48" i="15" s="1"/>
  <c r="E48" i="15" s="1"/>
  <c r="F48" i="15" s="1"/>
  <c r="G48" i="15" s="1"/>
  <c r="C40" i="15"/>
  <c r="D39" i="15"/>
  <c r="C39" i="15"/>
  <c r="E38" i="15"/>
  <c r="D38" i="15"/>
  <c r="C38" i="15"/>
  <c r="C52" i="15" s="1"/>
  <c r="D52" i="15" s="1"/>
  <c r="E52" i="15" s="1"/>
  <c r="E71" i="15" s="1"/>
  <c r="F37" i="15"/>
  <c r="E37" i="15"/>
  <c r="D37" i="15"/>
  <c r="C37" i="15"/>
  <c r="G36" i="15"/>
  <c r="F36" i="15"/>
  <c r="E36" i="15"/>
  <c r="D36" i="15"/>
  <c r="C36" i="15"/>
  <c r="C50" i="15" s="1"/>
  <c r="D50" i="15" s="1"/>
  <c r="E50" i="15" s="1"/>
  <c r="F50" i="15" s="1"/>
  <c r="H35" i="15"/>
  <c r="G35" i="15"/>
  <c r="F35" i="15"/>
  <c r="E35" i="15"/>
  <c r="D35" i="15"/>
  <c r="C35" i="15"/>
  <c r="C49" i="15" s="1"/>
  <c r="D49" i="15" s="1"/>
  <c r="I34" i="15"/>
  <c r="H34" i="15"/>
  <c r="G34" i="15"/>
  <c r="F34" i="15"/>
  <c r="E34" i="15"/>
  <c r="D34" i="15"/>
  <c r="C34" i="15"/>
  <c r="J33" i="15"/>
  <c r="I33" i="15"/>
  <c r="H33" i="15"/>
  <c r="G33" i="15"/>
  <c r="F33" i="15"/>
  <c r="E33" i="15"/>
  <c r="D33" i="15"/>
  <c r="C33" i="15"/>
  <c r="C47" i="15" s="1"/>
  <c r="K32" i="15"/>
  <c r="J32" i="15"/>
  <c r="I32" i="15"/>
  <c r="H32" i="15"/>
  <c r="G32" i="15"/>
  <c r="F32" i="15"/>
  <c r="E32" i="15"/>
  <c r="D32" i="15"/>
  <c r="C32" i="15"/>
  <c r="C46" i="15" s="1"/>
  <c r="D46" i="15" s="1"/>
  <c r="L31" i="15"/>
  <c r="K31" i="15"/>
  <c r="J31" i="15"/>
  <c r="I31" i="15"/>
  <c r="H31" i="15"/>
  <c r="G31" i="15"/>
  <c r="F31" i="15"/>
  <c r="E31" i="15"/>
  <c r="D31" i="15"/>
  <c r="C31" i="15"/>
  <c r="E326" i="14"/>
  <c r="E325" i="14"/>
  <c r="E324" i="14"/>
  <c r="E323" i="14"/>
  <c r="E322" i="14"/>
  <c r="E321" i="14"/>
  <c r="E320" i="14"/>
  <c r="E319" i="14"/>
  <c r="E318" i="14"/>
  <c r="E317" i="14"/>
  <c r="E316" i="14"/>
  <c r="E315" i="14"/>
  <c r="E314" i="14"/>
  <c r="E313" i="14"/>
  <c r="E312" i="14"/>
  <c r="E311" i="14"/>
  <c r="E310" i="14"/>
  <c r="E309" i="14"/>
  <c r="E308" i="14"/>
  <c r="E307" i="14"/>
  <c r="E306" i="14"/>
  <c r="E305" i="14"/>
  <c r="E304" i="14"/>
  <c r="E303" i="14"/>
  <c r="E302" i="14"/>
  <c r="E301" i="14"/>
  <c r="E300" i="14"/>
  <c r="E299" i="14"/>
  <c r="E298" i="14"/>
  <c r="E297" i="14"/>
  <c r="E296" i="14"/>
  <c r="E295" i="14"/>
  <c r="E294" i="14"/>
  <c r="E293" i="14"/>
  <c r="E292" i="14"/>
  <c r="E291" i="14"/>
  <c r="E290" i="14"/>
  <c r="E289" i="14"/>
  <c r="E288" i="14"/>
  <c r="E287" i="14"/>
  <c r="E286" i="14"/>
  <c r="E285" i="14"/>
  <c r="E284" i="14"/>
  <c r="E283" i="14"/>
  <c r="E282" i="14"/>
  <c r="E281" i="14"/>
  <c r="E280" i="14"/>
  <c r="E279" i="14"/>
  <c r="E278" i="14"/>
  <c r="E277" i="14"/>
  <c r="E276" i="14"/>
  <c r="E275" i="14"/>
  <c r="E274" i="14"/>
  <c r="E273" i="14"/>
  <c r="E272" i="14"/>
  <c r="C53" i="14"/>
  <c r="C52" i="14"/>
  <c r="D52" i="14" s="1"/>
  <c r="E52" i="14" s="1"/>
  <c r="E71" i="14" s="1"/>
  <c r="C50" i="14"/>
  <c r="D49" i="14"/>
  <c r="E49" i="14" s="1"/>
  <c r="F49" i="14" s="1"/>
  <c r="G49" i="14" s="1"/>
  <c r="H49" i="14" s="1"/>
  <c r="H68" i="14" s="1"/>
  <c r="C48" i="14"/>
  <c r="D48" i="14" s="1"/>
  <c r="C45" i="14"/>
  <c r="D45" i="14" s="1"/>
  <c r="C40" i="14"/>
  <c r="D39" i="14"/>
  <c r="C39" i="14"/>
  <c r="E38" i="14"/>
  <c r="D38" i="14"/>
  <c r="C38" i="14"/>
  <c r="F37" i="14"/>
  <c r="E37" i="14"/>
  <c r="D37" i="14"/>
  <c r="C37" i="14"/>
  <c r="C51" i="14" s="1"/>
  <c r="D51" i="14" s="1"/>
  <c r="E51" i="14" s="1"/>
  <c r="F51" i="14" s="1"/>
  <c r="F70" i="14" s="1"/>
  <c r="G36" i="14"/>
  <c r="F36" i="14"/>
  <c r="E36" i="14"/>
  <c r="D36" i="14"/>
  <c r="C36" i="14"/>
  <c r="H35" i="14"/>
  <c r="G35" i="14"/>
  <c r="F35" i="14"/>
  <c r="E35" i="14"/>
  <c r="D35" i="14"/>
  <c r="C35" i="14"/>
  <c r="C49" i="14" s="1"/>
  <c r="I34" i="14"/>
  <c r="H34" i="14"/>
  <c r="G34" i="14"/>
  <c r="F34" i="14"/>
  <c r="E34" i="14"/>
  <c r="D34" i="14"/>
  <c r="C34" i="14"/>
  <c r="J33" i="14"/>
  <c r="I33" i="14"/>
  <c r="H33" i="14"/>
  <c r="G33" i="14"/>
  <c r="F33" i="14"/>
  <c r="E33" i="14"/>
  <c r="D33" i="14"/>
  <c r="C33" i="14"/>
  <c r="K32" i="14"/>
  <c r="J32" i="14"/>
  <c r="I32" i="14"/>
  <c r="H32" i="14"/>
  <c r="G32" i="14"/>
  <c r="F32" i="14"/>
  <c r="E32" i="14"/>
  <c r="D32" i="14"/>
  <c r="C32" i="14"/>
  <c r="C46" i="14" s="1"/>
  <c r="D46" i="14" s="1"/>
  <c r="E46" i="14" s="1"/>
  <c r="F46" i="14" s="1"/>
  <c r="G46" i="14" s="1"/>
  <c r="H46" i="14" s="1"/>
  <c r="I46" i="14" s="1"/>
  <c r="L31" i="14"/>
  <c r="K31" i="14"/>
  <c r="J31" i="14"/>
  <c r="I31" i="14"/>
  <c r="H31" i="14"/>
  <c r="G31" i="14"/>
  <c r="F31" i="14"/>
  <c r="E31" i="14"/>
  <c r="D31" i="14"/>
  <c r="C31" i="14"/>
  <c r="H14" i="8"/>
  <c r="AL260" i="13"/>
  <c r="AL261" i="13"/>
  <c r="AL262" i="13"/>
  <c r="AL263" i="13"/>
  <c r="AL264" i="13"/>
  <c r="AL265" i="13"/>
  <c r="AL266" i="13"/>
  <c r="AL267" i="13"/>
  <c r="AL268" i="13"/>
  <c r="AL269" i="13"/>
  <c r="AL270" i="13"/>
  <c r="AL271" i="13"/>
  <c r="AL272" i="13"/>
  <c r="AL273" i="13"/>
  <c r="AL274" i="13"/>
  <c r="AL275" i="13"/>
  <c r="AL276" i="13"/>
  <c r="AL277" i="13"/>
  <c r="AL278" i="13"/>
  <c r="AL279" i="13"/>
  <c r="AL280" i="13"/>
  <c r="AL281" i="13"/>
  <c r="AL282" i="13"/>
  <c r="AL283" i="13"/>
  <c r="AL284" i="13"/>
  <c r="AL285" i="13"/>
  <c r="AL286" i="13"/>
  <c r="AL287" i="13"/>
  <c r="AL288" i="13"/>
  <c r="AL289" i="13"/>
  <c r="AL290" i="13"/>
  <c r="AL291" i="13"/>
  <c r="AL292" i="13"/>
  <c r="AL293" i="13"/>
  <c r="AL294" i="13"/>
  <c r="AL295" i="13"/>
  <c r="AL296" i="13"/>
  <c r="AL297" i="13"/>
  <c r="AL298" i="13"/>
  <c r="AL299" i="13"/>
  <c r="AL300" i="13"/>
  <c r="AL301" i="13"/>
  <c r="AL302" i="13"/>
  <c r="AL303" i="13"/>
  <c r="AL304" i="13"/>
  <c r="AL305" i="13"/>
  <c r="AL306" i="13"/>
  <c r="AL307" i="13"/>
  <c r="AL308" i="13"/>
  <c r="AL309" i="13"/>
  <c r="AL310" i="13"/>
  <c r="AL311" i="13"/>
  <c r="AL312" i="13"/>
  <c r="AL313" i="13"/>
  <c r="AL314" i="13"/>
  <c r="AL315" i="13"/>
  <c r="AL316" i="13"/>
  <c r="AL317" i="13"/>
  <c r="AL318" i="13"/>
  <c r="AL319" i="13"/>
  <c r="AL320" i="13"/>
  <c r="AL321" i="13"/>
  <c r="AL322" i="13"/>
  <c r="AL323" i="13"/>
  <c r="AL324" i="13"/>
  <c r="AL325" i="13"/>
  <c r="AL326" i="13"/>
  <c r="AL327" i="13"/>
  <c r="AL328" i="13"/>
  <c r="AL329" i="13"/>
  <c r="AL330" i="13"/>
  <c r="AL331" i="13"/>
  <c r="AL332" i="13"/>
  <c r="AL333" i="13"/>
  <c r="AL334" i="13"/>
  <c r="AL335" i="13"/>
  <c r="AL336" i="13"/>
  <c r="AL337" i="13"/>
  <c r="AL338" i="13"/>
  <c r="AL339" i="13"/>
  <c r="AL340" i="13"/>
  <c r="AL341" i="13"/>
  <c r="AL342" i="13"/>
  <c r="AL343" i="13"/>
  <c r="AL344" i="13"/>
  <c r="AL345" i="13"/>
  <c r="AL346" i="13"/>
  <c r="AL347" i="13"/>
  <c r="AL348" i="13"/>
  <c r="AL349" i="13"/>
  <c r="AL350" i="13"/>
  <c r="AL351" i="13"/>
  <c r="AL352" i="13"/>
  <c r="AL353" i="13"/>
  <c r="AL354" i="13"/>
  <c r="AL355" i="13"/>
  <c r="AL356" i="13"/>
  <c r="AL357" i="13"/>
  <c r="AL358" i="13"/>
  <c r="AM358" i="13" s="1"/>
  <c r="AL259" i="13"/>
  <c r="AK260" i="13"/>
  <c r="AK261" i="13"/>
  <c r="AK262" i="13"/>
  <c r="AM262" i="13" s="1"/>
  <c r="AK263" i="13"/>
  <c r="AK264" i="13"/>
  <c r="AK265" i="13"/>
  <c r="AK266" i="13"/>
  <c r="AK267" i="13"/>
  <c r="AK268" i="13"/>
  <c r="AK269" i="13"/>
  <c r="AK270" i="13"/>
  <c r="AK271" i="13"/>
  <c r="AK272" i="13"/>
  <c r="AK273" i="13"/>
  <c r="AK274" i="13"/>
  <c r="AK275" i="13"/>
  <c r="AK276" i="13"/>
  <c r="AK277" i="13"/>
  <c r="AK278" i="13"/>
  <c r="AK279" i="13"/>
  <c r="AK280" i="13"/>
  <c r="AK281" i="13"/>
  <c r="AK282" i="13"/>
  <c r="AK283" i="13"/>
  <c r="AK284" i="13"/>
  <c r="AK285" i="13"/>
  <c r="AK286" i="13"/>
  <c r="AK287" i="13"/>
  <c r="AK288" i="13"/>
  <c r="AK289" i="13"/>
  <c r="AK290" i="13"/>
  <c r="AK291" i="13"/>
  <c r="AK292" i="13"/>
  <c r="AK293" i="13"/>
  <c r="AK294" i="13"/>
  <c r="AK295" i="13"/>
  <c r="AK296" i="13"/>
  <c r="AK297" i="13"/>
  <c r="AK298" i="13"/>
  <c r="AK299" i="13"/>
  <c r="AK300" i="13"/>
  <c r="AK301" i="13"/>
  <c r="AK302" i="13"/>
  <c r="AK303" i="13"/>
  <c r="AK304" i="13"/>
  <c r="AK305" i="13"/>
  <c r="AK306" i="13"/>
  <c r="AK307" i="13"/>
  <c r="AK308" i="13"/>
  <c r="AK309" i="13"/>
  <c r="AK310" i="13"/>
  <c r="AK311" i="13"/>
  <c r="AK312" i="13"/>
  <c r="AK313" i="13"/>
  <c r="AK314" i="13"/>
  <c r="AK315" i="13"/>
  <c r="AK316" i="13"/>
  <c r="AK317" i="13"/>
  <c r="AK318" i="13"/>
  <c r="AK319" i="13"/>
  <c r="AK320" i="13"/>
  <c r="AK321" i="13"/>
  <c r="AK322" i="13"/>
  <c r="AK323" i="13"/>
  <c r="AK324" i="13"/>
  <c r="AK325" i="13"/>
  <c r="AK326" i="13"/>
  <c r="AK327" i="13"/>
  <c r="AK328" i="13"/>
  <c r="AK329" i="13"/>
  <c r="AK330" i="13"/>
  <c r="AK331" i="13"/>
  <c r="AK332" i="13"/>
  <c r="AK333" i="13"/>
  <c r="AK334" i="13"/>
  <c r="AK335" i="13"/>
  <c r="AK336" i="13"/>
  <c r="AK337" i="13"/>
  <c r="AK338" i="13"/>
  <c r="AK339" i="13"/>
  <c r="AK340" i="13"/>
  <c r="AK341" i="13"/>
  <c r="AK342" i="13"/>
  <c r="AK343" i="13"/>
  <c r="AK344" i="13"/>
  <c r="AK345" i="13"/>
  <c r="AK346" i="13"/>
  <c r="AK347" i="13"/>
  <c r="AK348" i="13"/>
  <c r="AK349" i="13"/>
  <c r="AK350" i="13"/>
  <c r="AK351" i="13"/>
  <c r="AK352" i="13"/>
  <c r="AK353" i="13"/>
  <c r="AK354" i="13"/>
  <c r="AK355" i="13"/>
  <c r="AK356" i="13"/>
  <c r="AK357" i="13"/>
  <c r="AK358" i="13"/>
  <c r="AK259" i="13"/>
  <c r="AJ260" i="13"/>
  <c r="AJ261" i="13"/>
  <c r="AJ262" i="13"/>
  <c r="AJ263" i="13"/>
  <c r="I262" i="13" s="1"/>
  <c r="AJ264" i="13"/>
  <c r="AJ265" i="13"/>
  <c r="AJ266" i="13"/>
  <c r="AJ267" i="13"/>
  <c r="AJ268" i="13"/>
  <c r="AJ269" i="13"/>
  <c r="AJ270" i="13"/>
  <c r="AJ271" i="13"/>
  <c r="AJ272" i="13"/>
  <c r="AJ273" i="13"/>
  <c r="AJ274" i="13"/>
  <c r="AJ275" i="13"/>
  <c r="AJ276" i="13"/>
  <c r="AJ277" i="13"/>
  <c r="AJ278" i="13"/>
  <c r="AJ279" i="13"/>
  <c r="AJ280" i="13"/>
  <c r="AJ281" i="13"/>
  <c r="AJ282" i="13"/>
  <c r="AJ283" i="13"/>
  <c r="AJ284" i="13"/>
  <c r="AJ285" i="13"/>
  <c r="AJ286" i="13"/>
  <c r="AJ287" i="13"/>
  <c r="AJ288" i="13"/>
  <c r="AJ289" i="13"/>
  <c r="AJ290" i="13"/>
  <c r="AJ291" i="13"/>
  <c r="AJ292" i="13"/>
  <c r="AJ293" i="13"/>
  <c r="AJ294" i="13"/>
  <c r="AJ295" i="13"/>
  <c r="AJ296" i="13"/>
  <c r="AJ297" i="13"/>
  <c r="AJ298" i="13"/>
  <c r="AJ299" i="13"/>
  <c r="AJ300" i="13"/>
  <c r="AJ301" i="13"/>
  <c r="AJ302" i="13"/>
  <c r="AJ303" i="13"/>
  <c r="AJ304" i="13"/>
  <c r="AJ305" i="13"/>
  <c r="AJ306" i="13"/>
  <c r="AJ307" i="13"/>
  <c r="AJ308" i="13"/>
  <c r="AJ309" i="13"/>
  <c r="AJ310" i="13"/>
  <c r="AJ311" i="13"/>
  <c r="AJ312" i="13"/>
  <c r="AJ313" i="13"/>
  <c r="AJ314" i="13"/>
  <c r="AJ315" i="13"/>
  <c r="AJ316" i="13"/>
  <c r="AJ317" i="13"/>
  <c r="AJ318" i="13"/>
  <c r="AJ319" i="13"/>
  <c r="AJ320" i="13"/>
  <c r="AJ321" i="13"/>
  <c r="AJ322" i="13"/>
  <c r="AM322" i="13" s="1"/>
  <c r="AJ323" i="13"/>
  <c r="AJ324" i="13"/>
  <c r="AJ325" i="13"/>
  <c r="AJ326" i="13"/>
  <c r="AJ327" i="13"/>
  <c r="AJ328" i="13"/>
  <c r="AJ329" i="13"/>
  <c r="AJ330" i="13"/>
  <c r="AJ331" i="13"/>
  <c r="AJ332" i="13"/>
  <c r="AJ333" i="13"/>
  <c r="AJ334" i="13"/>
  <c r="AJ335" i="13"/>
  <c r="AJ336" i="13"/>
  <c r="AJ337" i="13"/>
  <c r="AJ338" i="13"/>
  <c r="AJ339" i="13"/>
  <c r="AJ340" i="13"/>
  <c r="AJ341" i="13"/>
  <c r="AJ342" i="13"/>
  <c r="AJ343" i="13"/>
  <c r="AJ344" i="13"/>
  <c r="AJ345" i="13"/>
  <c r="AJ346" i="13"/>
  <c r="AJ347" i="13"/>
  <c r="AJ348" i="13"/>
  <c r="AJ349" i="13"/>
  <c r="AJ350" i="13"/>
  <c r="AJ351" i="13"/>
  <c r="AJ352" i="13"/>
  <c r="AJ353" i="13"/>
  <c r="AJ354" i="13"/>
  <c r="AJ355" i="13"/>
  <c r="AJ356" i="13"/>
  <c r="AJ357" i="13"/>
  <c r="AJ358" i="13"/>
  <c r="AJ259" i="13"/>
  <c r="AI260" i="13"/>
  <c r="AI261" i="13"/>
  <c r="AI262" i="13"/>
  <c r="AI263" i="13"/>
  <c r="AI264" i="13"/>
  <c r="AI265" i="13"/>
  <c r="AI266" i="13"/>
  <c r="AI267" i="13"/>
  <c r="AI268" i="13"/>
  <c r="AI269" i="13"/>
  <c r="AI270" i="13"/>
  <c r="AI271" i="13"/>
  <c r="AI272" i="13"/>
  <c r="AI273" i="13"/>
  <c r="AI274" i="13"/>
  <c r="AI275" i="13"/>
  <c r="AI276" i="13"/>
  <c r="AI277" i="13"/>
  <c r="AI278" i="13"/>
  <c r="AI279" i="13"/>
  <c r="AI280" i="13"/>
  <c r="AI281" i="13"/>
  <c r="AI282" i="13"/>
  <c r="AI283" i="13"/>
  <c r="AI284" i="13"/>
  <c r="AM284" i="13" s="1"/>
  <c r="AI285" i="13"/>
  <c r="AI286" i="13"/>
  <c r="AI287" i="13"/>
  <c r="AI288" i="13"/>
  <c r="AI289" i="13"/>
  <c r="AI290" i="13"/>
  <c r="AI291" i="13"/>
  <c r="AI292" i="13"/>
  <c r="AI293" i="13"/>
  <c r="AI294" i="13"/>
  <c r="AI295" i="13"/>
  <c r="AI296" i="13"/>
  <c r="AI297" i="13"/>
  <c r="AI298" i="13"/>
  <c r="AM298" i="13" s="1"/>
  <c r="AI299" i="13"/>
  <c r="AI300" i="13"/>
  <c r="AI301" i="13"/>
  <c r="AI302" i="13"/>
  <c r="AI303" i="13"/>
  <c r="AI304" i="13"/>
  <c r="AI305" i="13"/>
  <c r="AI306" i="13"/>
  <c r="AI307" i="13"/>
  <c r="AI308" i="13"/>
  <c r="AI309" i="13"/>
  <c r="AI310" i="13"/>
  <c r="AI311" i="13"/>
  <c r="AI312" i="13"/>
  <c r="AI313" i="13"/>
  <c r="AI314" i="13"/>
  <c r="AI315" i="13"/>
  <c r="AI316" i="13"/>
  <c r="AI317" i="13"/>
  <c r="AI318" i="13"/>
  <c r="AI319" i="13"/>
  <c r="AI320" i="13"/>
  <c r="AI321" i="13"/>
  <c r="AI322" i="13"/>
  <c r="AI323" i="13"/>
  <c r="AI324" i="13"/>
  <c r="AI325" i="13"/>
  <c r="AI326" i="13"/>
  <c r="AI327" i="13"/>
  <c r="AI328" i="13"/>
  <c r="AI329" i="13"/>
  <c r="AI330" i="13"/>
  <c r="AI331" i="13"/>
  <c r="AI332" i="13"/>
  <c r="AI333" i="13"/>
  <c r="AI334" i="13"/>
  <c r="AI335" i="13"/>
  <c r="AI336" i="13"/>
  <c r="AI337" i="13"/>
  <c r="AI338" i="13"/>
  <c r="AI339" i="13"/>
  <c r="AI340" i="13"/>
  <c r="AI341" i="13"/>
  <c r="AI342" i="13"/>
  <c r="AI343" i="13"/>
  <c r="AI344" i="13"/>
  <c r="AI345" i="13"/>
  <c r="AI346" i="13"/>
  <c r="AI347" i="13"/>
  <c r="AI348" i="13"/>
  <c r="AI349" i="13"/>
  <c r="AI350" i="13"/>
  <c r="AI351" i="13"/>
  <c r="AI352" i="13"/>
  <c r="AI353" i="13"/>
  <c r="AI354" i="13"/>
  <c r="AI355" i="13"/>
  <c r="AI356" i="13"/>
  <c r="AI357" i="13"/>
  <c r="AI358" i="13"/>
  <c r="AI259" i="13"/>
  <c r="AH260" i="13"/>
  <c r="AH261" i="13"/>
  <c r="AH262" i="13"/>
  <c r="AH263" i="13"/>
  <c r="AH264" i="13"/>
  <c r="AH265" i="13"/>
  <c r="AH266" i="13"/>
  <c r="AH267" i="13"/>
  <c r="AH268" i="13"/>
  <c r="AH269" i="13"/>
  <c r="AH270" i="13"/>
  <c r="AH271" i="13"/>
  <c r="AH272" i="13"/>
  <c r="AH273" i="13"/>
  <c r="AH274" i="13"/>
  <c r="AH275" i="13"/>
  <c r="AH276" i="13"/>
  <c r="AH277" i="13"/>
  <c r="AH278" i="13"/>
  <c r="AH279" i="13"/>
  <c r="AH280" i="13"/>
  <c r="AH281" i="13"/>
  <c r="AH282" i="13"/>
  <c r="AH283" i="13"/>
  <c r="AH284" i="13"/>
  <c r="AH285" i="13"/>
  <c r="AH286" i="13"/>
  <c r="AH287" i="13"/>
  <c r="AH288" i="13"/>
  <c r="AH289" i="13"/>
  <c r="AH290" i="13"/>
  <c r="AH291" i="13"/>
  <c r="AH292" i="13"/>
  <c r="AH293" i="13"/>
  <c r="AH294" i="13"/>
  <c r="AH295" i="13"/>
  <c r="AH296" i="13"/>
  <c r="AH297" i="13"/>
  <c r="AH298" i="13"/>
  <c r="AH299" i="13"/>
  <c r="AM299" i="13" s="1"/>
  <c r="AH300" i="13"/>
  <c r="AH301" i="13"/>
  <c r="AH302" i="13"/>
  <c r="AH303" i="13"/>
  <c r="AH304" i="13"/>
  <c r="AH305" i="13"/>
  <c r="AH306" i="13"/>
  <c r="AH307" i="13"/>
  <c r="AH308" i="13"/>
  <c r="AH309" i="13"/>
  <c r="AH310" i="13"/>
  <c r="AH311" i="13"/>
  <c r="AH312" i="13"/>
  <c r="AH313" i="13"/>
  <c r="AH314" i="13"/>
  <c r="AH315" i="13"/>
  <c r="AH316" i="13"/>
  <c r="AH317" i="13"/>
  <c r="AH318" i="13"/>
  <c r="AH319" i="13"/>
  <c r="AH320" i="13"/>
  <c r="AH321" i="13"/>
  <c r="AH322" i="13"/>
  <c r="AH323" i="13"/>
  <c r="AH324" i="13"/>
  <c r="AH325" i="13"/>
  <c r="AH326" i="13"/>
  <c r="AH327" i="13"/>
  <c r="AH328" i="13"/>
  <c r="AH329" i="13"/>
  <c r="AH330" i="13"/>
  <c r="AH331" i="13"/>
  <c r="AH332" i="13"/>
  <c r="AH333" i="13"/>
  <c r="AH334" i="13"/>
  <c r="AH335" i="13"/>
  <c r="AH336" i="13"/>
  <c r="AH337" i="13"/>
  <c r="AH338" i="13"/>
  <c r="AH339" i="13"/>
  <c r="AH340" i="13"/>
  <c r="AH341" i="13"/>
  <c r="AH342" i="13"/>
  <c r="AH343" i="13"/>
  <c r="AH344" i="13"/>
  <c r="AH345" i="13"/>
  <c r="AH346" i="13"/>
  <c r="AH347" i="13"/>
  <c r="AH348" i="13"/>
  <c r="AH349" i="13"/>
  <c r="AH350" i="13"/>
  <c r="AH351" i="13"/>
  <c r="AH352" i="13"/>
  <c r="AH353" i="13"/>
  <c r="AH354" i="13"/>
  <c r="AH355" i="13"/>
  <c r="AH356" i="13"/>
  <c r="AH357" i="13"/>
  <c r="AH358" i="13"/>
  <c r="AH259" i="13"/>
  <c r="AG260" i="13"/>
  <c r="AG261" i="13"/>
  <c r="AG262" i="13"/>
  <c r="AG263" i="13"/>
  <c r="F262" i="13" s="1"/>
  <c r="AG264" i="13"/>
  <c r="AG265" i="13"/>
  <c r="AG266" i="13"/>
  <c r="AG267" i="13"/>
  <c r="AG268" i="13"/>
  <c r="AG269" i="13"/>
  <c r="AG270" i="13"/>
  <c r="AG271" i="13"/>
  <c r="AG272" i="13"/>
  <c r="AG273" i="13"/>
  <c r="AG274" i="13"/>
  <c r="AG275" i="13"/>
  <c r="AG276" i="13"/>
  <c r="AG277" i="13"/>
  <c r="AG278" i="13"/>
  <c r="AG279" i="13"/>
  <c r="AG280" i="13"/>
  <c r="AG281" i="13"/>
  <c r="AG282" i="13"/>
  <c r="AG283" i="13"/>
  <c r="AG284" i="13"/>
  <c r="AG285" i="13"/>
  <c r="AG286" i="13"/>
  <c r="AM286" i="13" s="1"/>
  <c r="AG287" i="13"/>
  <c r="AM287" i="13" s="1"/>
  <c r="AG288" i="13"/>
  <c r="AG289" i="13"/>
  <c r="AG290" i="13"/>
  <c r="AG291" i="13"/>
  <c r="AG292" i="13"/>
  <c r="AG293" i="13"/>
  <c r="AG294" i="13"/>
  <c r="AG295" i="13"/>
  <c r="AG296" i="13"/>
  <c r="AG297" i="13"/>
  <c r="AG298" i="13"/>
  <c r="AG299" i="13"/>
  <c r="AG300" i="13"/>
  <c r="AG301" i="13"/>
  <c r="AG302" i="13"/>
  <c r="AG303" i="13"/>
  <c r="AG304" i="13"/>
  <c r="AG305" i="13"/>
  <c r="AG306" i="13"/>
  <c r="AG307" i="13"/>
  <c r="AG308" i="13"/>
  <c r="AG309" i="13"/>
  <c r="AG310" i="13"/>
  <c r="AG311" i="13"/>
  <c r="AG312" i="13"/>
  <c r="AG313" i="13"/>
  <c r="AG314" i="13"/>
  <c r="AG315" i="13"/>
  <c r="AG316" i="13"/>
  <c r="AG317" i="13"/>
  <c r="AG318" i="13"/>
  <c r="AG319" i="13"/>
  <c r="AG320" i="13"/>
  <c r="AG321" i="13"/>
  <c r="AG322" i="13"/>
  <c r="AG323" i="13"/>
  <c r="AG324" i="13"/>
  <c r="AG325" i="13"/>
  <c r="AG326" i="13"/>
  <c r="AG327" i="13"/>
  <c r="AG328" i="13"/>
  <c r="AG329" i="13"/>
  <c r="AG330" i="13"/>
  <c r="AG331" i="13"/>
  <c r="AG332" i="13"/>
  <c r="AG333" i="13"/>
  <c r="AG334" i="13"/>
  <c r="AM334" i="13" s="1"/>
  <c r="AG335" i="13"/>
  <c r="AG336" i="13"/>
  <c r="AG337" i="13"/>
  <c r="AG338" i="13"/>
  <c r="AG339" i="13"/>
  <c r="AG340" i="13"/>
  <c r="AG341" i="13"/>
  <c r="AG342" i="13"/>
  <c r="AG343" i="13"/>
  <c r="AG344" i="13"/>
  <c r="AG345" i="13"/>
  <c r="AM345" i="13" s="1"/>
  <c r="AG346" i="13"/>
  <c r="AG347" i="13"/>
  <c r="AG348" i="13"/>
  <c r="AG349" i="13"/>
  <c r="AG350" i="13"/>
  <c r="AG351" i="13"/>
  <c r="AG352" i="13"/>
  <c r="AG353" i="13"/>
  <c r="AG354" i="13"/>
  <c r="AG355" i="13"/>
  <c r="AG356" i="13"/>
  <c r="AG357" i="13"/>
  <c r="AG358" i="13"/>
  <c r="AG259" i="13"/>
  <c r="AF260" i="13"/>
  <c r="AF261" i="13"/>
  <c r="E261" i="13" s="1"/>
  <c r="AF262" i="13"/>
  <c r="AF263" i="13"/>
  <c r="AF264" i="13"/>
  <c r="AF265" i="13"/>
  <c r="AF266" i="13"/>
  <c r="AF267" i="13"/>
  <c r="AF268" i="13"/>
  <c r="AF269" i="13"/>
  <c r="AF270" i="13"/>
  <c r="AF271" i="13"/>
  <c r="AF272" i="13"/>
  <c r="AF273" i="13"/>
  <c r="AF274" i="13"/>
  <c r="AF275" i="13"/>
  <c r="AF276" i="13"/>
  <c r="AF277" i="13"/>
  <c r="AF278" i="13"/>
  <c r="AF279" i="13"/>
  <c r="AF280" i="13"/>
  <c r="AF281" i="13"/>
  <c r="AF282" i="13"/>
  <c r="AF283" i="13"/>
  <c r="AF284" i="13"/>
  <c r="AF285" i="13"/>
  <c r="AF286" i="13"/>
  <c r="AF287" i="13"/>
  <c r="AF288" i="13"/>
  <c r="AF289" i="13"/>
  <c r="AF290" i="13"/>
  <c r="AF291" i="13"/>
  <c r="AF292" i="13"/>
  <c r="AF293" i="13"/>
  <c r="AF294" i="13"/>
  <c r="AF295" i="13"/>
  <c r="AF296" i="13"/>
  <c r="AF297" i="13"/>
  <c r="AF298" i="13"/>
  <c r="AF299" i="13"/>
  <c r="AF300" i="13"/>
  <c r="AF301" i="13"/>
  <c r="AF302" i="13"/>
  <c r="AF303" i="13"/>
  <c r="AF304" i="13"/>
  <c r="AF305" i="13"/>
  <c r="AF306" i="13"/>
  <c r="AF307" i="13"/>
  <c r="AF308" i="13"/>
  <c r="AF309" i="13"/>
  <c r="AF310" i="13"/>
  <c r="AF311" i="13"/>
  <c r="AF312" i="13"/>
  <c r="AF313" i="13"/>
  <c r="AF314" i="13"/>
  <c r="AF315" i="13"/>
  <c r="AF316" i="13"/>
  <c r="AF317" i="13"/>
  <c r="AF318" i="13"/>
  <c r="AF319" i="13"/>
  <c r="AF320" i="13"/>
  <c r="AF321" i="13"/>
  <c r="AF322" i="13"/>
  <c r="AF323" i="13"/>
  <c r="AF324" i="13"/>
  <c r="AF325" i="13"/>
  <c r="AF326" i="13"/>
  <c r="AF327" i="13"/>
  <c r="AF328" i="13"/>
  <c r="AF329" i="13"/>
  <c r="AF330" i="13"/>
  <c r="AF331" i="13"/>
  <c r="AF332" i="13"/>
  <c r="AF333" i="13"/>
  <c r="AF334" i="13"/>
  <c r="AF335" i="13"/>
  <c r="AF336" i="13"/>
  <c r="AF337" i="13"/>
  <c r="AF338" i="13"/>
  <c r="AF339" i="13"/>
  <c r="AF340" i="13"/>
  <c r="AF341" i="13"/>
  <c r="AF342" i="13"/>
  <c r="AF343" i="13"/>
  <c r="AF344" i="13"/>
  <c r="AF345" i="13"/>
  <c r="AF346" i="13"/>
  <c r="AF347" i="13"/>
  <c r="AF348" i="13"/>
  <c r="AF349" i="13"/>
  <c r="AF350" i="13"/>
  <c r="AF351" i="13"/>
  <c r="AF352" i="13"/>
  <c r="AF353" i="13"/>
  <c r="AF354" i="13"/>
  <c r="AF355" i="13"/>
  <c r="AF356" i="13"/>
  <c r="AF357" i="13"/>
  <c r="AF358" i="13"/>
  <c r="AF259" i="13"/>
  <c r="AE260" i="13"/>
  <c r="AE261" i="13"/>
  <c r="D261" i="13" s="1"/>
  <c r="AE262" i="13"/>
  <c r="AE263" i="13"/>
  <c r="AE264" i="13"/>
  <c r="AE265" i="13"/>
  <c r="AE266" i="13"/>
  <c r="AE267" i="13"/>
  <c r="AE268" i="13"/>
  <c r="AE269" i="13"/>
  <c r="AE270" i="13"/>
  <c r="AE271" i="13"/>
  <c r="AE272" i="13"/>
  <c r="AE273" i="13"/>
  <c r="AE274" i="13"/>
  <c r="AM274" i="13" s="1"/>
  <c r="AE275" i="13"/>
  <c r="AM275" i="13" s="1"/>
  <c r="AE276" i="13"/>
  <c r="AE277" i="13"/>
  <c r="AE278" i="13"/>
  <c r="AE279" i="13"/>
  <c r="AE280" i="13"/>
  <c r="AE281" i="13"/>
  <c r="AE282" i="13"/>
  <c r="AE283" i="13"/>
  <c r="AE284" i="13"/>
  <c r="AE285" i="13"/>
  <c r="AE286" i="13"/>
  <c r="AE287" i="13"/>
  <c r="AE288" i="13"/>
  <c r="AE289" i="13"/>
  <c r="AE290" i="13"/>
  <c r="AE291" i="13"/>
  <c r="AE292" i="13"/>
  <c r="AE293" i="13"/>
  <c r="AE294" i="13"/>
  <c r="AE295" i="13"/>
  <c r="AE296" i="13"/>
  <c r="AE297" i="13"/>
  <c r="AE298" i="13"/>
  <c r="AE299" i="13"/>
  <c r="AE300" i="13"/>
  <c r="AE301" i="13"/>
  <c r="AE302" i="13"/>
  <c r="AE303" i="13"/>
  <c r="AE304" i="13"/>
  <c r="AE305" i="13"/>
  <c r="AE306" i="13"/>
  <c r="AE307" i="13"/>
  <c r="AE308" i="13"/>
  <c r="AE309" i="13"/>
  <c r="AE310" i="13"/>
  <c r="AE311" i="13"/>
  <c r="AE312" i="13"/>
  <c r="AE313" i="13"/>
  <c r="AE314" i="13"/>
  <c r="AE315" i="13"/>
  <c r="AE316" i="13"/>
  <c r="AE317" i="13"/>
  <c r="AE318" i="13"/>
  <c r="AE319" i="13"/>
  <c r="AE320" i="13"/>
  <c r="AE321" i="13"/>
  <c r="AE322" i="13"/>
  <c r="AE323" i="13"/>
  <c r="AE324" i="13"/>
  <c r="AE325" i="13"/>
  <c r="AE326" i="13"/>
  <c r="AE327" i="13"/>
  <c r="AE328" i="13"/>
  <c r="AE329" i="13"/>
  <c r="AE330" i="13"/>
  <c r="AE331" i="13"/>
  <c r="AE332" i="13"/>
  <c r="AE333" i="13"/>
  <c r="AE334" i="13"/>
  <c r="AE335" i="13"/>
  <c r="AE336" i="13"/>
  <c r="AE337" i="13"/>
  <c r="AE338" i="13"/>
  <c r="AE339" i="13"/>
  <c r="AE340" i="13"/>
  <c r="AE341" i="13"/>
  <c r="AE342" i="13"/>
  <c r="AE343" i="13"/>
  <c r="AE344" i="13"/>
  <c r="AE345" i="13"/>
  <c r="AE346" i="13"/>
  <c r="AE347" i="13"/>
  <c r="AE348" i="13"/>
  <c r="AE349" i="13"/>
  <c r="AE350" i="13"/>
  <c r="AE351" i="13"/>
  <c r="AE352" i="13"/>
  <c r="AE353" i="13"/>
  <c r="AE354" i="13"/>
  <c r="AE355" i="13"/>
  <c r="AE356" i="13"/>
  <c r="AE357" i="13"/>
  <c r="AE358" i="13"/>
  <c r="AE259" i="13"/>
  <c r="AD260" i="13"/>
  <c r="AD261" i="13"/>
  <c r="AD262" i="13"/>
  <c r="AD263" i="13"/>
  <c r="C261" i="13" s="1"/>
  <c r="AD264" i="13"/>
  <c r="AD265" i="13"/>
  <c r="AD266" i="13"/>
  <c r="AD267" i="13"/>
  <c r="AD268" i="13"/>
  <c r="AD269" i="13"/>
  <c r="AD270" i="13"/>
  <c r="AD271" i="13"/>
  <c r="AD272" i="13"/>
  <c r="AD273" i="13"/>
  <c r="AD274" i="13"/>
  <c r="AD275" i="13"/>
  <c r="AD276" i="13"/>
  <c r="AD277" i="13"/>
  <c r="AD278" i="13"/>
  <c r="AD279" i="13"/>
  <c r="AD280" i="13"/>
  <c r="AD281" i="13"/>
  <c r="AD282" i="13"/>
  <c r="AD283" i="13"/>
  <c r="AD284" i="13"/>
  <c r="AD285" i="13"/>
  <c r="AD286" i="13"/>
  <c r="AD287" i="13"/>
  <c r="AD288" i="13"/>
  <c r="AD289" i="13"/>
  <c r="AD290" i="13"/>
  <c r="AD291" i="13"/>
  <c r="AD292" i="13"/>
  <c r="AD293" i="13"/>
  <c r="AD294" i="13"/>
  <c r="AD295" i="13"/>
  <c r="AD296" i="13"/>
  <c r="AD297" i="13"/>
  <c r="AD298" i="13"/>
  <c r="AD299" i="13"/>
  <c r="AD300" i="13"/>
  <c r="AD301" i="13"/>
  <c r="AD302" i="13"/>
  <c r="AD303" i="13"/>
  <c r="AD304" i="13"/>
  <c r="AD305" i="13"/>
  <c r="AD306" i="13"/>
  <c r="AD307" i="13"/>
  <c r="AD308" i="13"/>
  <c r="AD309" i="13"/>
  <c r="AD310" i="13"/>
  <c r="AD311" i="13"/>
  <c r="AM311" i="13" s="1"/>
  <c r="AD312" i="13"/>
  <c r="AD313" i="13"/>
  <c r="AD314" i="13"/>
  <c r="AD315" i="13"/>
  <c r="AD316" i="13"/>
  <c r="AD317" i="13"/>
  <c r="AD318" i="13"/>
  <c r="AD319" i="13"/>
  <c r="AD321" i="13"/>
  <c r="AD322" i="13"/>
  <c r="AD323" i="13"/>
  <c r="AM323" i="13" s="1"/>
  <c r="AD324" i="13"/>
  <c r="AD325" i="13"/>
  <c r="AD326" i="13"/>
  <c r="AD327" i="13"/>
  <c r="AD328" i="13"/>
  <c r="AD329" i="13"/>
  <c r="AD330" i="13"/>
  <c r="AD331" i="13"/>
  <c r="AD332" i="13"/>
  <c r="AD333" i="13"/>
  <c r="AD334" i="13"/>
  <c r="AD335" i="13"/>
  <c r="AD336" i="13"/>
  <c r="AD337" i="13"/>
  <c r="AD338" i="13"/>
  <c r="AD339" i="13"/>
  <c r="AD340" i="13"/>
  <c r="AD341" i="13"/>
  <c r="AD342" i="13"/>
  <c r="AD343" i="13"/>
  <c r="AD344" i="13"/>
  <c r="AD345" i="13"/>
  <c r="AD346" i="13"/>
  <c r="AD347" i="13"/>
  <c r="AD348" i="13"/>
  <c r="AD349" i="13"/>
  <c r="AD350" i="13"/>
  <c r="AD351" i="13"/>
  <c r="AD352" i="13"/>
  <c r="AD353" i="13"/>
  <c r="AD354" i="13"/>
  <c r="AD355" i="13"/>
  <c r="AD356" i="13"/>
  <c r="AD357" i="13"/>
  <c r="AD358" i="13"/>
  <c r="AD259" i="13"/>
  <c r="AA358" i="13"/>
  <c r="AM357" i="13"/>
  <c r="AA357" i="13"/>
  <c r="AA356" i="13"/>
  <c r="AA355" i="13"/>
  <c r="AA354" i="13"/>
  <c r="AA353" i="13"/>
  <c r="AA352" i="13"/>
  <c r="AA351" i="13"/>
  <c r="AA350" i="13"/>
  <c r="AA349" i="13"/>
  <c r="AA348" i="13"/>
  <c r="AA347" i="13"/>
  <c r="AM346" i="13"/>
  <c r="AA346" i="13"/>
  <c r="AA345" i="13"/>
  <c r="AM344" i="13"/>
  <c r="AA344" i="13"/>
  <c r="AA343" i="13"/>
  <c r="AA342" i="13"/>
  <c r="AA341" i="13"/>
  <c r="AA340" i="13"/>
  <c r="AA339" i="13"/>
  <c r="AA338" i="13"/>
  <c r="AA337" i="13"/>
  <c r="AA336" i="13"/>
  <c r="AA335" i="13"/>
  <c r="AA334" i="13"/>
  <c r="AM333" i="13"/>
  <c r="AA333" i="13"/>
  <c r="AA332" i="13"/>
  <c r="AA331" i="13"/>
  <c r="AA330" i="13"/>
  <c r="AA329" i="13"/>
  <c r="AA328" i="13"/>
  <c r="AA327" i="13"/>
  <c r="AA326" i="13"/>
  <c r="E326" i="13"/>
  <c r="AA325" i="13"/>
  <c r="E325" i="13"/>
  <c r="AA324" i="13"/>
  <c r="E324" i="13"/>
  <c r="AA323" i="13"/>
  <c r="E323" i="13"/>
  <c r="AA322" i="13"/>
  <c r="E322" i="13"/>
  <c r="AA321" i="13"/>
  <c r="E321" i="13"/>
  <c r="AM320" i="13"/>
  <c r="AA320" i="13"/>
  <c r="E320" i="13"/>
  <c r="AA319" i="13"/>
  <c r="E319" i="13"/>
  <c r="AA318" i="13"/>
  <c r="E318" i="13"/>
  <c r="AA317" i="13"/>
  <c r="E317" i="13"/>
  <c r="AA316" i="13"/>
  <c r="E316" i="13"/>
  <c r="AA315" i="13"/>
  <c r="E315" i="13"/>
  <c r="AA314" i="13"/>
  <c r="E314" i="13"/>
  <c r="AA313" i="13"/>
  <c r="E313" i="13"/>
  <c r="AA312" i="13"/>
  <c r="E312" i="13"/>
  <c r="AA311" i="13"/>
  <c r="E311" i="13"/>
  <c r="AM310" i="13"/>
  <c r="AA310" i="13"/>
  <c r="E310" i="13"/>
  <c r="AA309" i="13"/>
  <c r="E309" i="13"/>
  <c r="AM308" i="13"/>
  <c r="AA308" i="13"/>
  <c r="E308" i="13"/>
  <c r="AA307" i="13"/>
  <c r="E307" i="13"/>
  <c r="AA306" i="13"/>
  <c r="E306" i="13"/>
  <c r="AA305" i="13"/>
  <c r="E305" i="13"/>
  <c r="AA304" i="13"/>
  <c r="E304" i="13"/>
  <c r="AA303" i="13"/>
  <c r="E303" i="13"/>
  <c r="AA302" i="13"/>
  <c r="E302" i="13"/>
  <c r="AA301" i="13"/>
  <c r="E301" i="13"/>
  <c r="AA300" i="13"/>
  <c r="E300" i="13"/>
  <c r="AA299" i="13"/>
  <c r="E299" i="13"/>
  <c r="AA298" i="13"/>
  <c r="E298" i="13"/>
  <c r="AA297" i="13"/>
  <c r="E297" i="13"/>
  <c r="AM296" i="13"/>
  <c r="AA296" i="13"/>
  <c r="E296" i="13"/>
  <c r="AA295" i="13"/>
  <c r="E295" i="13"/>
  <c r="AA294" i="13"/>
  <c r="E294" i="13"/>
  <c r="AA293" i="13"/>
  <c r="E293" i="13"/>
  <c r="AA292" i="13"/>
  <c r="E292" i="13"/>
  <c r="AA291" i="13"/>
  <c r="E291" i="13"/>
  <c r="AA290" i="13"/>
  <c r="E290" i="13"/>
  <c r="AA289" i="13"/>
  <c r="E289" i="13"/>
  <c r="AA288" i="13"/>
  <c r="E288" i="13"/>
  <c r="AA287" i="13"/>
  <c r="E287" i="13"/>
  <c r="AA286" i="13"/>
  <c r="E286" i="13"/>
  <c r="AA285" i="13"/>
  <c r="E285" i="13"/>
  <c r="AA284" i="13"/>
  <c r="E284" i="13"/>
  <c r="AA283" i="13"/>
  <c r="E283" i="13"/>
  <c r="AA282" i="13"/>
  <c r="E282" i="13"/>
  <c r="AA281" i="13"/>
  <c r="E281" i="13"/>
  <c r="AA280" i="13"/>
  <c r="E280" i="13"/>
  <c r="AA279" i="13"/>
  <c r="E279" i="13"/>
  <c r="AA278" i="13"/>
  <c r="E278" i="13"/>
  <c r="AA277" i="13"/>
  <c r="E277" i="13"/>
  <c r="AA276" i="13"/>
  <c r="E276" i="13"/>
  <c r="AA275" i="13"/>
  <c r="E275" i="13"/>
  <c r="AA274" i="13"/>
  <c r="E274" i="13"/>
  <c r="AA273" i="13"/>
  <c r="E273" i="13"/>
  <c r="AM272" i="13"/>
  <c r="AA272" i="13"/>
  <c r="E272" i="13"/>
  <c r="AA271" i="13"/>
  <c r="AA270" i="13"/>
  <c r="AA269" i="13"/>
  <c r="AA268" i="13"/>
  <c r="AA267" i="13"/>
  <c r="AA266" i="13"/>
  <c r="AA265" i="13"/>
  <c r="AA264" i="13"/>
  <c r="AA263" i="13"/>
  <c r="AA262" i="13"/>
  <c r="AA261" i="13"/>
  <c r="AA260" i="13"/>
  <c r="AA259" i="13"/>
  <c r="C54" i="13"/>
  <c r="C73" i="13" s="1"/>
  <c r="C92" i="13" s="1"/>
  <c r="C107" i="13" s="1"/>
  <c r="C122" i="13" s="1"/>
  <c r="C52" i="13"/>
  <c r="D52" i="13" s="1"/>
  <c r="F51" i="13"/>
  <c r="F70" i="13" s="1"/>
  <c r="C51" i="13"/>
  <c r="D51" i="13" s="1"/>
  <c r="E51" i="13" s="1"/>
  <c r="C49" i="13"/>
  <c r="D49" i="13" s="1"/>
  <c r="E49" i="13" s="1"/>
  <c r="F49" i="13" s="1"/>
  <c r="G49" i="13" s="1"/>
  <c r="H49" i="13" s="1"/>
  <c r="H68" i="13" s="1"/>
  <c r="C46" i="13"/>
  <c r="D46" i="13" s="1"/>
  <c r="E46" i="13" s="1"/>
  <c r="F46" i="13" s="1"/>
  <c r="G46" i="13" s="1"/>
  <c r="H46" i="13" s="1"/>
  <c r="I46" i="13" s="1"/>
  <c r="J46" i="13" s="1"/>
  <c r="K46" i="13" s="1"/>
  <c r="K65" i="13" s="1"/>
  <c r="C45" i="13"/>
  <c r="D45" i="13" s="1"/>
  <c r="C40" i="13"/>
  <c r="D39" i="13"/>
  <c r="C39" i="13"/>
  <c r="E38" i="13"/>
  <c r="D38" i="13"/>
  <c r="C38" i="13"/>
  <c r="F37" i="13"/>
  <c r="E37" i="13"/>
  <c r="D37" i="13"/>
  <c r="C37" i="13"/>
  <c r="G36" i="13"/>
  <c r="F36" i="13"/>
  <c r="E36" i="13"/>
  <c r="D36" i="13"/>
  <c r="C36" i="13"/>
  <c r="H35" i="13"/>
  <c r="G35" i="13"/>
  <c r="F35" i="13"/>
  <c r="E35" i="13"/>
  <c r="D35" i="13"/>
  <c r="C35" i="13"/>
  <c r="I34" i="13"/>
  <c r="H34" i="13"/>
  <c r="G34" i="13"/>
  <c r="F34" i="13"/>
  <c r="E34" i="13"/>
  <c r="D34" i="13"/>
  <c r="C34" i="13"/>
  <c r="J33" i="13"/>
  <c r="I33" i="13"/>
  <c r="H33" i="13"/>
  <c r="G33" i="13"/>
  <c r="F33" i="13"/>
  <c r="E33" i="13"/>
  <c r="D33" i="13"/>
  <c r="C33" i="13"/>
  <c r="K32" i="13"/>
  <c r="J32" i="13"/>
  <c r="I32" i="13"/>
  <c r="H32" i="13"/>
  <c r="G32" i="13"/>
  <c r="F32" i="13"/>
  <c r="E32" i="13"/>
  <c r="D32" i="13"/>
  <c r="C32" i="13"/>
  <c r="L31" i="13"/>
  <c r="K31" i="13"/>
  <c r="J31" i="13"/>
  <c r="I31" i="13"/>
  <c r="H31" i="13"/>
  <c r="G31" i="13"/>
  <c r="F31" i="13"/>
  <c r="E31" i="13"/>
  <c r="D31" i="13"/>
  <c r="C31" i="13"/>
  <c r="C52" i="10" l="1"/>
  <c r="D52" i="10" s="1"/>
  <c r="E52" i="10" s="1"/>
  <c r="F52" i="10" s="1"/>
  <c r="G52" i="10" s="1"/>
  <c r="H52" i="10" s="1"/>
  <c r="I52" i="10" s="1"/>
  <c r="J52" i="10" s="1"/>
  <c r="K52" i="10" s="1"/>
  <c r="L52" i="10" s="1"/>
  <c r="E43" i="8" s="1"/>
  <c r="D51" i="10"/>
  <c r="E51" i="10" s="1"/>
  <c r="F51" i="10" s="1"/>
  <c r="G51" i="10" s="1"/>
  <c r="H51" i="10" s="1"/>
  <c r="I51" i="10" s="1"/>
  <c r="J51" i="10" s="1"/>
  <c r="K51" i="10" s="1"/>
  <c r="L51" i="10" s="1"/>
  <c r="E42" i="8" s="1"/>
  <c r="F50" i="10"/>
  <c r="G50" i="10" s="1"/>
  <c r="H50" i="10" s="1"/>
  <c r="I50" i="10" s="1"/>
  <c r="J50" i="10" s="1"/>
  <c r="K50" i="10" s="1"/>
  <c r="L50" i="10" s="1"/>
  <c r="E41" i="8" s="1"/>
  <c r="F49" i="10"/>
  <c r="G49" i="10" s="1"/>
  <c r="H49" i="10" s="1"/>
  <c r="I49" i="10" s="1"/>
  <c r="J49" i="10" s="1"/>
  <c r="K49" i="10" s="1"/>
  <c r="L49" i="10" s="1"/>
  <c r="E40" i="8" s="1"/>
  <c r="G48" i="10"/>
  <c r="H48" i="10" s="1"/>
  <c r="I48" i="10" s="1"/>
  <c r="J48" i="10" s="1"/>
  <c r="K48" i="10" s="1"/>
  <c r="L48" i="10" s="1"/>
  <c r="E39" i="8" s="1"/>
  <c r="H47" i="10"/>
  <c r="I47" i="10" s="1"/>
  <c r="J47" i="10" s="1"/>
  <c r="K47" i="10" s="1"/>
  <c r="L47" i="10" s="1"/>
  <c r="E38" i="8" s="1"/>
  <c r="I46" i="10"/>
  <c r="J46" i="10" s="1"/>
  <c r="K46" i="10" s="1"/>
  <c r="L46" i="10" s="1"/>
  <c r="E37" i="8" s="1"/>
  <c r="J45" i="10"/>
  <c r="K45" i="10" s="1"/>
  <c r="L45" i="10" s="1"/>
  <c r="E36" i="8" s="1"/>
  <c r="K44" i="10"/>
  <c r="L44" i="10" s="1"/>
  <c r="E35" i="8" s="1"/>
  <c r="E44" i="8" s="1"/>
  <c r="L53" i="10"/>
  <c r="D32" i="10"/>
  <c r="E32" i="10" s="1"/>
  <c r="F32" i="10" s="1"/>
  <c r="G32" i="10" s="1"/>
  <c r="H32" i="10" s="1"/>
  <c r="I32" i="10" s="1"/>
  <c r="J32" i="10" s="1"/>
  <c r="K32" i="10" s="1"/>
  <c r="L32" i="10" s="1"/>
  <c r="E28" i="8" s="1"/>
  <c r="E31" i="10"/>
  <c r="F31" i="10" s="1"/>
  <c r="G31" i="10" s="1"/>
  <c r="H31" i="10" s="1"/>
  <c r="I31" i="10" s="1"/>
  <c r="J31" i="10" s="1"/>
  <c r="K31" i="10" s="1"/>
  <c r="L31" i="10" s="1"/>
  <c r="E27" i="8" s="1"/>
  <c r="F30" i="10"/>
  <c r="G30" i="10" s="1"/>
  <c r="H30" i="10" s="1"/>
  <c r="I30" i="10" s="1"/>
  <c r="J30" i="10" s="1"/>
  <c r="K30" i="10" s="1"/>
  <c r="L30" i="10" s="1"/>
  <c r="E26" i="8" s="1"/>
  <c r="G29" i="10"/>
  <c r="H29" i="10" s="1"/>
  <c r="I29" i="10" s="1"/>
  <c r="J29" i="10" s="1"/>
  <c r="K29" i="10" s="1"/>
  <c r="L29" i="10" s="1"/>
  <c r="E25" i="8" s="1"/>
  <c r="H28" i="10"/>
  <c r="I28" i="10" s="1"/>
  <c r="J28" i="10" s="1"/>
  <c r="K28" i="10" s="1"/>
  <c r="L28" i="10" s="1"/>
  <c r="E24" i="8" s="1"/>
  <c r="I27" i="10"/>
  <c r="J27" i="10" s="1"/>
  <c r="K27" i="10" s="1"/>
  <c r="L27" i="10" s="1"/>
  <c r="E23" i="8" s="1"/>
  <c r="J26" i="10"/>
  <c r="K26" i="10" s="1"/>
  <c r="L26" i="10" s="1"/>
  <c r="E22" i="8" s="1"/>
  <c r="K25" i="10"/>
  <c r="L25" i="10" s="1"/>
  <c r="E21" i="8" s="1"/>
  <c r="L24" i="10"/>
  <c r="E20" i="8" s="1"/>
  <c r="E29" i="8" s="1"/>
  <c r="L33" i="10"/>
  <c r="AB48" i="10"/>
  <c r="AB45" i="10"/>
  <c r="AB49" i="10" s="1"/>
  <c r="AC48" i="10"/>
  <c r="AC45" i="10"/>
  <c r="AC49" i="10" s="1"/>
  <c r="AD48" i="10"/>
  <c r="AD45" i="10"/>
  <c r="AD49" i="10" s="1"/>
  <c r="AE48" i="10"/>
  <c r="AE45" i="10"/>
  <c r="AE49" i="10" s="1"/>
  <c r="AF48" i="10"/>
  <c r="AF45" i="10"/>
  <c r="AF49" i="10" s="1"/>
  <c r="AG48" i="10"/>
  <c r="AG45" i="10"/>
  <c r="AG49" i="10" s="1"/>
  <c r="AH48" i="10"/>
  <c r="AH45" i="10"/>
  <c r="AH49" i="10" s="1"/>
  <c r="AI48" i="10"/>
  <c r="AI45" i="10"/>
  <c r="AI49" i="10" s="1"/>
  <c r="AJ48" i="10"/>
  <c r="AJ45" i="10"/>
  <c r="AJ49" i="10" s="1"/>
  <c r="AB28" i="10"/>
  <c r="AB25" i="10"/>
  <c r="AB29" i="10" s="1"/>
  <c r="AC28" i="10"/>
  <c r="AC25" i="10"/>
  <c r="AC29" i="10" s="1"/>
  <c r="AD28" i="10"/>
  <c r="AD25" i="10"/>
  <c r="AD29" i="10" s="1"/>
  <c r="AE28" i="10"/>
  <c r="AE25" i="10"/>
  <c r="AE29" i="10" s="1"/>
  <c r="AF28" i="10"/>
  <c r="AF25" i="10"/>
  <c r="AF29" i="10" s="1"/>
  <c r="AG28" i="10"/>
  <c r="AG25" i="10"/>
  <c r="AG29" i="10" s="1"/>
  <c r="AH28" i="10"/>
  <c r="AH25" i="10"/>
  <c r="AH29" i="10" s="1"/>
  <c r="AI28" i="10"/>
  <c r="AI25" i="10"/>
  <c r="AI29" i="10" s="1"/>
  <c r="AJ28" i="10"/>
  <c r="AJ25" i="10"/>
  <c r="AJ29" i="10" s="1"/>
  <c r="AM264" i="15"/>
  <c r="AM271" i="15"/>
  <c r="AM274" i="15"/>
  <c r="AM275" i="15"/>
  <c r="AM276" i="15"/>
  <c r="AM280" i="15"/>
  <c r="AM282" i="15"/>
  <c r="AM283" i="15"/>
  <c r="AM286" i="15"/>
  <c r="AM287" i="15"/>
  <c r="AM288" i="15"/>
  <c r="AM289" i="15"/>
  <c r="AM295" i="15"/>
  <c r="AM298" i="15"/>
  <c r="AM299" i="15"/>
  <c r="AM300" i="15"/>
  <c r="AM301" i="15"/>
  <c r="AM306" i="15"/>
  <c r="AM307" i="15"/>
  <c r="AM310" i="15"/>
  <c r="AM312" i="15"/>
  <c r="AM313" i="15"/>
  <c r="AM317" i="15"/>
  <c r="AM318" i="15"/>
  <c r="AM319" i="15"/>
  <c r="AM322" i="15"/>
  <c r="AM330" i="15"/>
  <c r="AM332" i="15"/>
  <c r="AM333" i="15"/>
  <c r="AM334" i="15"/>
  <c r="AM340" i="15"/>
  <c r="AM341" i="15"/>
  <c r="AM342" i="15"/>
  <c r="AM351" i="15"/>
  <c r="AM352" i="15"/>
  <c r="AM353" i="15"/>
  <c r="AM354" i="15"/>
  <c r="AM357" i="15"/>
  <c r="AM358" i="15"/>
  <c r="E6" i="15"/>
  <c r="H48" i="15"/>
  <c r="I48" i="15" s="1"/>
  <c r="I67" i="15" s="1"/>
  <c r="E46" i="15"/>
  <c r="F46" i="15" s="1"/>
  <c r="G46" i="15" s="1"/>
  <c r="H46" i="15" s="1"/>
  <c r="I46" i="15" s="1"/>
  <c r="J46" i="15" s="1"/>
  <c r="K46" i="15" s="1"/>
  <c r="K65" i="15" s="1"/>
  <c r="E49" i="15"/>
  <c r="F49" i="15" s="1"/>
  <c r="G49" i="15" s="1"/>
  <c r="H49" i="15" s="1"/>
  <c r="H68" i="15" s="1"/>
  <c r="E48" i="14"/>
  <c r="F48" i="14" s="1"/>
  <c r="G48" i="14" s="1"/>
  <c r="H48" i="14" s="1"/>
  <c r="I48" i="14" s="1"/>
  <c r="I67" i="14" s="1"/>
  <c r="J46" i="14"/>
  <c r="K46" i="14" s="1"/>
  <c r="K65" i="14" s="1"/>
  <c r="D50" i="14"/>
  <c r="D53" i="14"/>
  <c r="D72" i="14" s="1"/>
  <c r="AM260" i="15"/>
  <c r="C51" i="15"/>
  <c r="D51" i="15" s="1"/>
  <c r="E51" i="15" s="1"/>
  <c r="F51" i="15" s="1"/>
  <c r="F70" i="15" s="1"/>
  <c r="G50" i="15"/>
  <c r="G69" i="15" s="1"/>
  <c r="AM331" i="15"/>
  <c r="E7" i="15"/>
  <c r="E8" i="15" s="1"/>
  <c r="C92" i="15"/>
  <c r="C107" i="15" s="1"/>
  <c r="C122" i="15" s="1"/>
  <c r="AM329" i="15"/>
  <c r="D47" i="15"/>
  <c r="E47" i="15" s="1"/>
  <c r="F47" i="15" s="1"/>
  <c r="G47" i="15" s="1"/>
  <c r="H47" i="15" s="1"/>
  <c r="I47" i="15" s="1"/>
  <c r="J47" i="15" s="1"/>
  <c r="J66" i="15" s="1"/>
  <c r="AM277" i="15"/>
  <c r="AM327" i="15"/>
  <c r="AM328" i="15"/>
  <c r="AM311" i="15"/>
  <c r="C45" i="15"/>
  <c r="D45" i="15" s="1"/>
  <c r="AM267" i="15"/>
  <c r="AM325" i="15"/>
  <c r="AM278" i="15"/>
  <c r="AM279" i="15"/>
  <c r="AM323" i="15"/>
  <c r="AM356" i="15"/>
  <c r="AM290" i="15"/>
  <c r="AM291" i="15"/>
  <c r="AM324" i="15"/>
  <c r="AM347" i="15"/>
  <c r="AM355" i="15"/>
  <c r="AM272" i="15"/>
  <c r="AM273" i="15"/>
  <c r="AM284" i="15"/>
  <c r="AM285" i="15"/>
  <c r="AM296" i="15"/>
  <c r="AM297" i="15"/>
  <c r="AM308" i="15"/>
  <c r="AM309" i="15"/>
  <c r="AM320" i="15"/>
  <c r="AM321" i="15"/>
  <c r="AM349" i="15"/>
  <c r="AM339" i="15"/>
  <c r="AM261" i="15"/>
  <c r="AM270" i="15"/>
  <c r="AM338" i="15"/>
  <c r="AM348" i="15"/>
  <c r="E45" i="14"/>
  <c r="E50" i="14"/>
  <c r="F50" i="14" s="1"/>
  <c r="G50" i="14" s="1"/>
  <c r="G69" i="14" s="1"/>
  <c r="C47" i="14"/>
  <c r="D47" i="14" s="1"/>
  <c r="E47" i="14" s="1"/>
  <c r="F47" i="14" s="1"/>
  <c r="G47" i="14" s="1"/>
  <c r="H47" i="14" s="1"/>
  <c r="I47" i="14" s="1"/>
  <c r="J47" i="14" s="1"/>
  <c r="J66" i="14" s="1"/>
  <c r="C54" i="14"/>
  <c r="C73" i="14" s="1"/>
  <c r="E6" i="14"/>
  <c r="E7" i="14"/>
  <c r="AM324" i="13"/>
  <c r="AM300" i="13"/>
  <c r="AM313" i="13"/>
  <c r="AM354" i="13"/>
  <c r="AM306" i="13"/>
  <c r="AM353" i="13"/>
  <c r="AM340" i="13"/>
  <c r="AM328" i="13"/>
  <c r="AM339" i="13"/>
  <c r="AM268" i="13"/>
  <c r="AM278" i="13"/>
  <c r="AM318" i="13"/>
  <c r="AM270" i="13"/>
  <c r="AM341" i="13"/>
  <c r="AM269" i="13"/>
  <c r="AM352" i="13"/>
  <c r="AM301" i="13"/>
  <c r="AM288" i="13"/>
  <c r="AM291" i="13"/>
  <c r="AM294" i="13"/>
  <c r="AM327" i="13"/>
  <c r="AM290" i="13"/>
  <c r="AM303" i="13"/>
  <c r="AM277" i="13"/>
  <c r="AM315" i="13"/>
  <c r="AM325" i="13"/>
  <c r="AM351" i="13"/>
  <c r="AM330" i="13"/>
  <c r="AM312" i="13"/>
  <c r="AM289" i="13"/>
  <c r="AM336" i="13"/>
  <c r="AM343" i="13"/>
  <c r="AM350" i="13"/>
  <c r="AM338" i="13"/>
  <c r="AM267" i="13"/>
  <c r="AM276" i="13"/>
  <c r="AM279" i="13"/>
  <c r="AM282" i="13"/>
  <c r="E6" i="13"/>
  <c r="C48" i="13"/>
  <c r="D48" i="13" s="1"/>
  <c r="E48" i="13" s="1"/>
  <c r="F48" i="13" s="1"/>
  <c r="G48" i="13" s="1"/>
  <c r="H48" i="13" s="1"/>
  <c r="I48" i="13" s="1"/>
  <c r="I67" i="13" s="1"/>
  <c r="E52" i="13"/>
  <c r="E71" i="13" s="1"/>
  <c r="J261" i="13"/>
  <c r="J262" i="13"/>
  <c r="J263" i="13" s="1"/>
  <c r="G261" i="13"/>
  <c r="G262" i="13"/>
  <c r="G263" i="13" s="1"/>
  <c r="C47" i="13"/>
  <c r="D47" i="13" s="1"/>
  <c r="E47" i="13" s="1"/>
  <c r="F47" i="13" s="1"/>
  <c r="G47" i="13" s="1"/>
  <c r="H47" i="13" s="1"/>
  <c r="I47" i="13" s="1"/>
  <c r="J47" i="13" s="1"/>
  <c r="J66" i="13" s="1"/>
  <c r="E7" i="13"/>
  <c r="E45" i="13"/>
  <c r="AM302" i="13"/>
  <c r="AM271" i="13"/>
  <c r="AM283" i="13"/>
  <c r="AM295" i="13"/>
  <c r="AM307" i="13"/>
  <c r="AM319" i="13"/>
  <c r="AM329" i="13"/>
  <c r="AM342" i="13"/>
  <c r="AM356" i="13"/>
  <c r="K261" i="13"/>
  <c r="AM266" i="13"/>
  <c r="AM314" i="13"/>
  <c r="AM326" i="13"/>
  <c r="AM355" i="13"/>
  <c r="H262" i="13"/>
  <c r="AM265" i="13"/>
  <c r="AM293" i="13"/>
  <c r="AM305" i="13"/>
  <c r="AM317" i="13"/>
  <c r="AM337" i="13"/>
  <c r="E262" i="13"/>
  <c r="E263" i="13" s="1"/>
  <c r="I261" i="13"/>
  <c r="I263" i="13" s="1"/>
  <c r="C262" i="13"/>
  <c r="C263" i="13" s="1"/>
  <c r="AM259" i="13"/>
  <c r="C50" i="13"/>
  <c r="D50" i="13" s="1"/>
  <c r="E50" i="13" s="1"/>
  <c r="F50" i="13" s="1"/>
  <c r="G50" i="13" s="1"/>
  <c r="G69" i="13" s="1"/>
  <c r="C53" i="13"/>
  <c r="D53" i="13" s="1"/>
  <c r="D72" i="13" s="1"/>
  <c r="AM260" i="13"/>
  <c r="D262" i="13"/>
  <c r="D263" i="13" s="1"/>
  <c r="K262" i="13"/>
  <c r="AM264" i="13"/>
  <c r="AM280" i="13"/>
  <c r="AM281" i="13"/>
  <c r="AM349" i="13"/>
  <c r="AM261" i="13"/>
  <c r="AM292" i="13"/>
  <c r="AM304" i="13"/>
  <c r="AM316" i="13"/>
  <c r="AM335" i="13"/>
  <c r="AM348" i="13"/>
  <c r="H261" i="13"/>
  <c r="AM332" i="13"/>
  <c r="AM263" i="13"/>
  <c r="AM273" i="13"/>
  <c r="AM285" i="13"/>
  <c r="AM297" i="13"/>
  <c r="AM309" i="13"/>
  <c r="AM321" i="13"/>
  <c r="AM331" i="13"/>
  <c r="AM347" i="13"/>
  <c r="F261" i="13"/>
  <c r="F263" i="13" s="1"/>
  <c r="C57" i="15" l="1"/>
  <c r="E45" i="15"/>
  <c r="E8" i="14"/>
  <c r="F45" i="14"/>
  <c r="D57" i="14"/>
  <c r="C57" i="14"/>
  <c r="C92" i="14"/>
  <c r="C107" i="14" s="1"/>
  <c r="C122" i="14" s="1"/>
  <c r="K263" i="13"/>
  <c r="E8" i="13"/>
  <c r="L261" i="13"/>
  <c r="N267" i="13"/>
  <c r="L262" i="13"/>
  <c r="C72" i="13"/>
  <c r="C91" i="13" s="1"/>
  <c r="C106" i="13" s="1"/>
  <c r="C121" i="13" s="1"/>
  <c r="F45" i="13"/>
  <c r="D57" i="13"/>
  <c r="H263" i="13"/>
  <c r="C57" i="13"/>
  <c r="D57" i="15" l="1"/>
  <c r="F45" i="15"/>
  <c r="D73" i="15"/>
  <c r="C72" i="15"/>
  <c r="C72" i="14"/>
  <c r="D71" i="14"/>
  <c r="E72" i="14"/>
  <c r="E57" i="14"/>
  <c r="G45" i="14"/>
  <c r="D73" i="14"/>
  <c r="D71" i="13"/>
  <c r="E72" i="13"/>
  <c r="G45" i="13"/>
  <c r="E57" i="13"/>
  <c r="D73" i="13"/>
  <c r="D91" i="13"/>
  <c r="D106" i="13" s="1"/>
  <c r="L263" i="13"/>
  <c r="C91" i="15" l="1"/>
  <c r="C106" i="15" s="1"/>
  <c r="D91" i="15"/>
  <c r="D106" i="15" s="1"/>
  <c r="E73" i="15"/>
  <c r="D92" i="15"/>
  <c r="E57" i="15"/>
  <c r="G45" i="15"/>
  <c r="D71" i="15"/>
  <c r="E72" i="15"/>
  <c r="F57" i="14"/>
  <c r="H45" i="14"/>
  <c r="E91" i="14"/>
  <c r="F72" i="14"/>
  <c r="D92" i="14"/>
  <c r="E73" i="14"/>
  <c r="E70" i="14"/>
  <c r="F71" i="14"/>
  <c r="C91" i="14"/>
  <c r="C106" i="14" s="1"/>
  <c r="D91" i="14"/>
  <c r="D106" i="14" s="1"/>
  <c r="D90" i="14"/>
  <c r="D105" i="14" s="1"/>
  <c r="C71" i="14"/>
  <c r="C90" i="14" s="1"/>
  <c r="C105" i="14" s="1"/>
  <c r="E90" i="14"/>
  <c r="E105" i="14" s="1"/>
  <c r="D121" i="13"/>
  <c r="E91" i="13"/>
  <c r="F72" i="13"/>
  <c r="H45" i="13"/>
  <c r="F57" i="13"/>
  <c r="D92" i="13"/>
  <c r="E73" i="13"/>
  <c r="E70" i="13"/>
  <c r="F71" i="13"/>
  <c r="D90" i="13"/>
  <c r="D105" i="13" s="1"/>
  <c r="C71" i="13"/>
  <c r="C90" i="13" s="1"/>
  <c r="C105" i="13" s="1"/>
  <c r="E90" i="13"/>
  <c r="E105" i="13" s="1"/>
  <c r="F57" i="15" l="1"/>
  <c r="H45" i="15"/>
  <c r="E92" i="15"/>
  <c r="F73" i="15"/>
  <c r="D121" i="15"/>
  <c r="E91" i="15"/>
  <c r="F72" i="15"/>
  <c r="C71" i="15"/>
  <c r="C90" i="15" s="1"/>
  <c r="C105" i="15" s="1"/>
  <c r="E90" i="15"/>
  <c r="E105" i="15" s="1"/>
  <c r="F71" i="15"/>
  <c r="E70" i="15"/>
  <c r="C121" i="15"/>
  <c r="C121" i="14"/>
  <c r="F91" i="14"/>
  <c r="G72" i="14"/>
  <c r="D121" i="14"/>
  <c r="F90" i="14"/>
  <c r="G71" i="14"/>
  <c r="E92" i="14"/>
  <c r="F73" i="14"/>
  <c r="D120" i="14"/>
  <c r="E120" i="14"/>
  <c r="D70" i="14"/>
  <c r="F89" i="14"/>
  <c r="F104" i="14" s="1"/>
  <c r="I45" i="14"/>
  <c r="G57" i="14"/>
  <c r="C120" i="14"/>
  <c r="G70" i="14"/>
  <c r="F69" i="14"/>
  <c r="G71" i="13"/>
  <c r="F90" i="13"/>
  <c r="F91" i="13"/>
  <c r="G72" i="13"/>
  <c r="D120" i="13"/>
  <c r="D70" i="13"/>
  <c r="E89" i="13" s="1"/>
  <c r="E104" i="13" s="1"/>
  <c r="F89" i="13"/>
  <c r="F104" i="13" s="1"/>
  <c r="E92" i="13"/>
  <c r="F73" i="13"/>
  <c r="G70" i="13"/>
  <c r="F69" i="13"/>
  <c r="I45" i="13"/>
  <c r="G57" i="13"/>
  <c r="E120" i="13"/>
  <c r="C120" i="13"/>
  <c r="D90" i="15" l="1"/>
  <c r="D105" i="15" s="1"/>
  <c r="C120" i="15"/>
  <c r="F91" i="15"/>
  <c r="G72" i="15"/>
  <c r="F92" i="15"/>
  <c r="G73" i="15"/>
  <c r="G57" i="15"/>
  <c r="I45" i="15"/>
  <c r="E120" i="15"/>
  <c r="D70" i="15"/>
  <c r="F89" i="15"/>
  <c r="F104" i="15" s="1"/>
  <c r="F90" i="15"/>
  <c r="G71" i="15"/>
  <c r="F69" i="15"/>
  <c r="G70" i="15"/>
  <c r="J45" i="14"/>
  <c r="H57" i="14"/>
  <c r="F92" i="14"/>
  <c r="G73" i="14"/>
  <c r="G91" i="14"/>
  <c r="H72" i="14"/>
  <c r="E69" i="14"/>
  <c r="F88" i="14" s="1"/>
  <c r="F103" i="14" s="1"/>
  <c r="G88" i="14"/>
  <c r="G68" i="14"/>
  <c r="H69" i="14"/>
  <c r="G90" i="14"/>
  <c r="H71" i="14"/>
  <c r="F119" i="14"/>
  <c r="C70" i="14"/>
  <c r="C89" i="14" s="1"/>
  <c r="C104" i="14" s="1"/>
  <c r="E89" i="14"/>
  <c r="E104" i="14" s="1"/>
  <c r="H70" i="14"/>
  <c r="G89" i="14"/>
  <c r="E119" i="13"/>
  <c r="G68" i="13"/>
  <c r="H69" i="13"/>
  <c r="C70" i="13"/>
  <c r="C89" i="13" s="1"/>
  <c r="C104" i="13" s="1"/>
  <c r="J45" i="13"/>
  <c r="H57" i="13"/>
  <c r="F119" i="13"/>
  <c r="H72" i="13"/>
  <c r="G91" i="13"/>
  <c r="E69" i="13"/>
  <c r="F88" i="13"/>
  <c r="F103" i="13" s="1"/>
  <c r="G88" i="13"/>
  <c r="G103" i="13" s="1"/>
  <c r="H70" i="13"/>
  <c r="G89" i="13"/>
  <c r="F92" i="13"/>
  <c r="G73" i="13"/>
  <c r="H71" i="13"/>
  <c r="G90" i="13"/>
  <c r="H57" i="15" l="1"/>
  <c r="J45" i="15"/>
  <c r="E69" i="15"/>
  <c r="G88" i="15"/>
  <c r="G103" i="15" s="1"/>
  <c r="G92" i="15"/>
  <c r="H73" i="15"/>
  <c r="H71" i="15"/>
  <c r="G90" i="15"/>
  <c r="H70" i="15"/>
  <c r="G89" i="15"/>
  <c r="G91" i="15"/>
  <c r="H72" i="15"/>
  <c r="C70" i="15"/>
  <c r="C89" i="15" s="1"/>
  <c r="C104" i="15" s="1"/>
  <c r="G68" i="15"/>
  <c r="H69" i="15"/>
  <c r="F119" i="15"/>
  <c r="E89" i="15"/>
  <c r="E104" i="15" s="1"/>
  <c r="D120" i="15"/>
  <c r="F118" i="14"/>
  <c r="I70" i="14"/>
  <c r="H89" i="14"/>
  <c r="E119" i="14"/>
  <c r="G118" i="14"/>
  <c r="E88" i="14"/>
  <c r="E103" i="14" s="1"/>
  <c r="D69" i="14"/>
  <c r="C119" i="14"/>
  <c r="I72" i="14"/>
  <c r="H91" i="14"/>
  <c r="D89" i="14"/>
  <c r="D104" i="14" s="1"/>
  <c r="G92" i="14"/>
  <c r="H73" i="14"/>
  <c r="H90" i="14"/>
  <c r="I71" i="14"/>
  <c r="H67" i="14"/>
  <c r="I68" i="14"/>
  <c r="I69" i="14"/>
  <c r="H88" i="14"/>
  <c r="K45" i="14"/>
  <c r="I57" i="14"/>
  <c r="F68" i="14"/>
  <c r="G87" i="14" s="1"/>
  <c r="H87" i="14"/>
  <c r="G92" i="13"/>
  <c r="H73" i="13"/>
  <c r="C119" i="13"/>
  <c r="G118" i="13"/>
  <c r="I69" i="13"/>
  <c r="H88" i="13"/>
  <c r="H90" i="13"/>
  <c r="I71" i="13"/>
  <c r="I68" i="13"/>
  <c r="H67" i="13"/>
  <c r="I57" i="13"/>
  <c r="K45" i="13"/>
  <c r="H89" i="13"/>
  <c r="I70" i="13"/>
  <c r="D89" i="13"/>
  <c r="D104" i="13" s="1"/>
  <c r="F118" i="13"/>
  <c r="G87" i="13"/>
  <c r="G102" i="13" s="1"/>
  <c r="F68" i="13"/>
  <c r="H87" i="13"/>
  <c r="H102" i="13" s="1"/>
  <c r="D69" i="13"/>
  <c r="E88" i="13"/>
  <c r="E103" i="13" s="1"/>
  <c r="I72" i="13"/>
  <c r="H91" i="13"/>
  <c r="H89" i="15" l="1"/>
  <c r="I70" i="15"/>
  <c r="E119" i="15"/>
  <c r="C119" i="15"/>
  <c r="I71" i="15"/>
  <c r="H90" i="15"/>
  <c r="H92" i="15"/>
  <c r="I73" i="15"/>
  <c r="G118" i="15"/>
  <c r="D69" i="15"/>
  <c r="E88" i="15"/>
  <c r="E103" i="15" s="1"/>
  <c r="D89" i="15"/>
  <c r="D104" i="15" s="1"/>
  <c r="K45" i="15"/>
  <c r="I57" i="15"/>
  <c r="H88" i="15"/>
  <c r="I69" i="15"/>
  <c r="F68" i="15"/>
  <c r="H87" i="15"/>
  <c r="H102" i="15" s="1"/>
  <c r="F88" i="15"/>
  <c r="F103" i="15" s="1"/>
  <c r="I72" i="15"/>
  <c r="H91" i="15"/>
  <c r="I68" i="15"/>
  <c r="H67" i="15"/>
  <c r="G117" i="14"/>
  <c r="G67" i="14"/>
  <c r="I86" i="14"/>
  <c r="H117" i="14"/>
  <c r="H92" i="14"/>
  <c r="I73" i="14"/>
  <c r="E118" i="14"/>
  <c r="J71" i="14"/>
  <c r="I90" i="14"/>
  <c r="E68" i="14"/>
  <c r="F87" i="14" s="1"/>
  <c r="F102" i="14" s="1"/>
  <c r="J70" i="14"/>
  <c r="I89" i="14"/>
  <c r="J67" i="14"/>
  <c r="I66" i="14"/>
  <c r="D119" i="14"/>
  <c r="L45" i="14"/>
  <c r="J57" i="14"/>
  <c r="J69" i="14"/>
  <c r="I88" i="14"/>
  <c r="J72" i="14"/>
  <c r="I91" i="14"/>
  <c r="I87" i="14"/>
  <c r="J68" i="14"/>
  <c r="C69" i="14"/>
  <c r="C88" i="14" s="1"/>
  <c r="C103" i="14" s="1"/>
  <c r="I88" i="13"/>
  <c r="J69" i="13"/>
  <c r="J72" i="13"/>
  <c r="I91" i="13"/>
  <c r="J67" i="13"/>
  <c r="I66" i="13"/>
  <c r="I73" i="13"/>
  <c r="H92" i="13"/>
  <c r="J70" i="13"/>
  <c r="I89" i="13"/>
  <c r="D119" i="13"/>
  <c r="J57" i="13"/>
  <c r="L45" i="13"/>
  <c r="C69" i="13"/>
  <c r="C88" i="13" s="1"/>
  <c r="C103" i="13" s="1"/>
  <c r="D88" i="13"/>
  <c r="D103" i="13" s="1"/>
  <c r="I87" i="13"/>
  <c r="J68" i="13"/>
  <c r="H117" i="13"/>
  <c r="G117" i="13"/>
  <c r="E118" i="13"/>
  <c r="G67" i="13"/>
  <c r="I86" i="13"/>
  <c r="I101" i="13" s="1"/>
  <c r="E68" i="13"/>
  <c r="I90" i="13"/>
  <c r="J71" i="13"/>
  <c r="E68" i="15" l="1"/>
  <c r="F87" i="15"/>
  <c r="F102" i="15" s="1"/>
  <c r="I88" i="15"/>
  <c r="J69" i="15"/>
  <c r="I90" i="15"/>
  <c r="J71" i="15"/>
  <c r="J67" i="15"/>
  <c r="I66" i="15"/>
  <c r="E118" i="15"/>
  <c r="C69" i="15"/>
  <c r="C88" i="15" s="1"/>
  <c r="C103" i="15" s="1"/>
  <c r="G87" i="15"/>
  <c r="G102" i="15" s="1"/>
  <c r="G67" i="15"/>
  <c r="H86" i="15" s="1"/>
  <c r="H101" i="15" s="1"/>
  <c r="I86" i="15"/>
  <c r="I101" i="15" s="1"/>
  <c r="J68" i="15"/>
  <c r="I87" i="15"/>
  <c r="F118" i="15"/>
  <c r="I92" i="15"/>
  <c r="J73" i="15"/>
  <c r="L45" i="15"/>
  <c r="J57" i="15"/>
  <c r="D119" i="15"/>
  <c r="I89" i="15"/>
  <c r="J70" i="15"/>
  <c r="J72" i="15"/>
  <c r="I91" i="15"/>
  <c r="H117" i="15"/>
  <c r="F117" i="14"/>
  <c r="I92" i="14"/>
  <c r="J73" i="14"/>
  <c r="F67" i="14"/>
  <c r="G86" i="14"/>
  <c r="L64" i="14"/>
  <c r="K57" i="14"/>
  <c r="K67" i="14"/>
  <c r="J86" i="14"/>
  <c r="H86" i="14"/>
  <c r="K71" i="14"/>
  <c r="J90" i="14"/>
  <c r="D88" i="14"/>
  <c r="D103" i="14" s="1"/>
  <c r="J87" i="14"/>
  <c r="K68" i="14"/>
  <c r="J88" i="14"/>
  <c r="K69" i="14"/>
  <c r="D68" i="14"/>
  <c r="E87" i="14"/>
  <c r="E102" i="14" s="1"/>
  <c r="C118" i="14"/>
  <c r="H66" i="14"/>
  <c r="J85" i="14"/>
  <c r="I116" i="14"/>
  <c r="K72" i="14"/>
  <c r="J91" i="14"/>
  <c r="K70" i="14"/>
  <c r="J89" i="14"/>
  <c r="J65" i="14"/>
  <c r="K66" i="14"/>
  <c r="J87" i="13"/>
  <c r="K68" i="13"/>
  <c r="D68" i="13"/>
  <c r="E87" i="13" s="1"/>
  <c r="E102" i="13" s="1"/>
  <c r="H66" i="13"/>
  <c r="I85" i="13" s="1"/>
  <c r="I100" i="13" s="1"/>
  <c r="J85" i="13"/>
  <c r="J100" i="13" s="1"/>
  <c r="I116" i="13"/>
  <c r="J90" i="13"/>
  <c r="K71" i="13"/>
  <c r="D118" i="13"/>
  <c r="F67" i="13"/>
  <c r="F87" i="13"/>
  <c r="F102" i="13" s="1"/>
  <c r="K67" i="13"/>
  <c r="J86" i="13"/>
  <c r="H86" i="13"/>
  <c r="H101" i="13" s="1"/>
  <c r="I92" i="13"/>
  <c r="J73" i="13"/>
  <c r="C118" i="13"/>
  <c r="K57" i="13"/>
  <c r="L64" i="13"/>
  <c r="J65" i="13"/>
  <c r="K66" i="13"/>
  <c r="J91" i="13"/>
  <c r="K72" i="13"/>
  <c r="J88" i="13"/>
  <c r="K69" i="13"/>
  <c r="K70" i="13"/>
  <c r="J89" i="13"/>
  <c r="H66" i="15" l="1"/>
  <c r="I85" i="15"/>
  <c r="I100" i="15" s="1"/>
  <c r="J85" i="15"/>
  <c r="J100" i="15" s="1"/>
  <c r="J90" i="15"/>
  <c r="K71" i="15"/>
  <c r="L64" i="15"/>
  <c r="K57" i="15"/>
  <c r="D88" i="15"/>
  <c r="D103" i="15" s="1"/>
  <c r="D68" i="15"/>
  <c r="J87" i="15"/>
  <c r="K68" i="15"/>
  <c r="H116" i="15"/>
  <c r="G117" i="15"/>
  <c r="F117" i="15"/>
  <c r="K73" i="15"/>
  <c r="J92" i="15"/>
  <c r="J86" i="15"/>
  <c r="K67" i="15"/>
  <c r="K72" i="15"/>
  <c r="J91" i="15"/>
  <c r="J89" i="15"/>
  <c r="K70" i="15"/>
  <c r="I116" i="15"/>
  <c r="J88" i="15"/>
  <c r="K69" i="15"/>
  <c r="F67" i="15"/>
  <c r="G86" i="15"/>
  <c r="G101" i="15" s="1"/>
  <c r="J65" i="15"/>
  <c r="K66" i="15"/>
  <c r="C118" i="15"/>
  <c r="K85" i="14"/>
  <c r="L66" i="14"/>
  <c r="L85" i="14" s="1"/>
  <c r="I65" i="14"/>
  <c r="K84" i="14"/>
  <c r="C68" i="14"/>
  <c r="C87" i="14" s="1"/>
  <c r="C102" i="14" s="1"/>
  <c r="D87" i="14"/>
  <c r="D102" i="14" s="1"/>
  <c r="K88" i="14"/>
  <c r="L69" i="14"/>
  <c r="L88" i="14" s="1"/>
  <c r="K58" i="14"/>
  <c r="J58" i="14" s="1"/>
  <c r="I58" i="14" s="1"/>
  <c r="H58" i="14" s="1"/>
  <c r="G58" i="14" s="1"/>
  <c r="F58" i="14" s="1"/>
  <c r="E58" i="14" s="1"/>
  <c r="D58" i="14" s="1"/>
  <c r="C58" i="14" s="1"/>
  <c r="L65" i="14"/>
  <c r="L84" i="14" s="1"/>
  <c r="J115" i="14"/>
  <c r="K73" i="14"/>
  <c r="J92" i="14"/>
  <c r="D118" i="14"/>
  <c r="E117" i="14"/>
  <c r="K89" i="14"/>
  <c r="L70" i="14"/>
  <c r="L89" i="14" s="1"/>
  <c r="N89" i="14" s="1"/>
  <c r="K86" i="14"/>
  <c r="N86" i="14" s="1"/>
  <c r="L67" i="14"/>
  <c r="L86" i="14" s="1"/>
  <c r="G116" i="14"/>
  <c r="K87" i="14"/>
  <c r="L68" i="14"/>
  <c r="L87" i="14" s="1"/>
  <c r="H116" i="14"/>
  <c r="L72" i="14"/>
  <c r="L91" i="14" s="1"/>
  <c r="K91" i="14"/>
  <c r="K64" i="14"/>
  <c r="L83" i="14" s="1"/>
  <c r="E67" i="14"/>
  <c r="F86" i="14"/>
  <c r="F101" i="14" s="1"/>
  <c r="G66" i="14"/>
  <c r="H85" i="14" s="1"/>
  <c r="I85" i="14"/>
  <c r="L71" i="14"/>
  <c r="L90" i="14" s="1"/>
  <c r="K90" i="14"/>
  <c r="I115" i="13"/>
  <c r="E117" i="13"/>
  <c r="J115" i="13"/>
  <c r="H116" i="13"/>
  <c r="F117" i="13"/>
  <c r="C68" i="13"/>
  <c r="C87" i="13" s="1"/>
  <c r="C102" i="13" s="1"/>
  <c r="E67" i="13"/>
  <c r="F86" i="13"/>
  <c r="F101" i="13" s="1"/>
  <c r="K64" i="13"/>
  <c r="G86" i="13"/>
  <c r="G101" i="13" s="1"/>
  <c r="K87" i="13"/>
  <c r="L68" i="13"/>
  <c r="L87" i="13" s="1"/>
  <c r="K73" i="13"/>
  <c r="J92" i="13"/>
  <c r="L70" i="13"/>
  <c r="L89" i="13" s="1"/>
  <c r="N89" i="13" s="1"/>
  <c r="K89" i="13"/>
  <c r="L67" i="13"/>
  <c r="L86" i="13" s="1"/>
  <c r="K86" i="13"/>
  <c r="K88" i="13"/>
  <c r="N88" i="13" s="1"/>
  <c r="L69" i="13"/>
  <c r="L88" i="13" s="1"/>
  <c r="N86" i="13"/>
  <c r="L72" i="13"/>
  <c r="L91" i="13" s="1"/>
  <c r="N91" i="13" s="1"/>
  <c r="K91" i="13"/>
  <c r="K58" i="13"/>
  <c r="J58" i="13" s="1"/>
  <c r="I58" i="13" s="1"/>
  <c r="H58" i="13" s="1"/>
  <c r="G58" i="13" s="1"/>
  <c r="F58" i="13" s="1"/>
  <c r="E58" i="13" s="1"/>
  <c r="D58" i="13" s="1"/>
  <c r="C58" i="13" s="1"/>
  <c r="L65" i="13"/>
  <c r="L84" i="13" s="1"/>
  <c r="G66" i="13"/>
  <c r="K85" i="13"/>
  <c r="L66" i="13"/>
  <c r="L85" i="13" s="1"/>
  <c r="I65" i="13"/>
  <c r="K84" i="13"/>
  <c r="K99" i="13" s="1"/>
  <c r="K90" i="13"/>
  <c r="L71" i="13"/>
  <c r="L90" i="13" s="1"/>
  <c r="N90" i="13" s="1"/>
  <c r="N90" i="14" l="1"/>
  <c r="K76" i="14"/>
  <c r="N91" i="14"/>
  <c r="N88" i="14"/>
  <c r="K58" i="15"/>
  <c r="J58" i="15" s="1"/>
  <c r="I58" i="15" s="1"/>
  <c r="H58" i="15" s="1"/>
  <c r="G58" i="15" s="1"/>
  <c r="F58" i="15" s="1"/>
  <c r="E58" i="15" s="1"/>
  <c r="D58" i="15" s="1"/>
  <c r="C58" i="15" s="1"/>
  <c r="L65" i="15"/>
  <c r="L84" i="15" s="1"/>
  <c r="L71" i="15"/>
  <c r="L90" i="15" s="1"/>
  <c r="K90" i="15"/>
  <c r="J115" i="15"/>
  <c r="I65" i="15"/>
  <c r="J84" i="15" s="1"/>
  <c r="J99" i="15" s="1"/>
  <c r="K84" i="15"/>
  <c r="K99" i="15" s="1"/>
  <c r="D118" i="15"/>
  <c r="L69" i="15"/>
  <c r="L88" i="15" s="1"/>
  <c r="K88" i="15"/>
  <c r="K64" i="15"/>
  <c r="K76" i="15"/>
  <c r="L70" i="15"/>
  <c r="L89" i="15" s="1"/>
  <c r="K89" i="15"/>
  <c r="N89" i="15" s="1"/>
  <c r="K87" i="15"/>
  <c r="L68" i="15"/>
  <c r="L87" i="15" s="1"/>
  <c r="I115" i="15"/>
  <c r="G116" i="15"/>
  <c r="E67" i="15"/>
  <c r="F86" i="15"/>
  <c r="F101" i="15" s="1"/>
  <c r="L72" i="15"/>
  <c r="L91" i="15" s="1"/>
  <c r="K91" i="15"/>
  <c r="G66" i="15"/>
  <c r="H85" i="15" s="1"/>
  <c r="H100" i="15" s="1"/>
  <c r="C68" i="15"/>
  <c r="C87" i="15" s="1"/>
  <c r="C102" i="15" s="1"/>
  <c r="E87" i="15"/>
  <c r="E102" i="15" s="1"/>
  <c r="L73" i="15"/>
  <c r="L92" i="15" s="1"/>
  <c r="K92" i="15"/>
  <c r="K85" i="15"/>
  <c r="L66" i="15"/>
  <c r="L85" i="15" s="1"/>
  <c r="K86" i="15"/>
  <c r="L67" i="15"/>
  <c r="L86" i="15" s="1"/>
  <c r="H115" i="14"/>
  <c r="I115" i="14"/>
  <c r="C117" i="14"/>
  <c r="H65" i="14"/>
  <c r="I84" i="14" s="1"/>
  <c r="D117" i="14"/>
  <c r="N87" i="14"/>
  <c r="J84" i="14"/>
  <c r="K114" i="14"/>
  <c r="L73" i="14"/>
  <c r="L92" i="14" s="1"/>
  <c r="K92" i="14"/>
  <c r="F116" i="14"/>
  <c r="D67" i="14"/>
  <c r="E86" i="14"/>
  <c r="E101" i="14" s="1"/>
  <c r="J64" i="14"/>
  <c r="N85" i="14"/>
  <c r="N84" i="14"/>
  <c r="K77" i="14"/>
  <c r="F66" i="14"/>
  <c r="L113" i="14"/>
  <c r="F66" i="13"/>
  <c r="H85" i="13"/>
  <c r="H100" i="13" s="1"/>
  <c r="N87" i="13"/>
  <c r="D87" i="13"/>
  <c r="D102" i="13" s="1"/>
  <c r="C117" i="13"/>
  <c r="K114" i="13"/>
  <c r="H65" i="13"/>
  <c r="I84" i="13"/>
  <c r="I99" i="13" s="1"/>
  <c r="L73" i="13"/>
  <c r="L92" i="13" s="1"/>
  <c r="N92" i="13" s="1"/>
  <c r="K92" i="13"/>
  <c r="G116" i="13"/>
  <c r="J64" i="13"/>
  <c r="L83" i="13"/>
  <c r="L98" i="13" s="1"/>
  <c r="J84" i="13"/>
  <c r="J99" i="13" s="1"/>
  <c r="K76" i="13"/>
  <c r="F116" i="13"/>
  <c r="N85" i="13"/>
  <c r="N84" i="13"/>
  <c r="D67" i="13"/>
  <c r="N86" i="15" l="1"/>
  <c r="N87" i="15"/>
  <c r="N88" i="15"/>
  <c r="N92" i="14"/>
  <c r="H115" i="15"/>
  <c r="J114" i="15"/>
  <c r="K114" i="15"/>
  <c r="F66" i="15"/>
  <c r="J64" i="15"/>
  <c r="D67" i="15"/>
  <c r="E86" i="15" s="1"/>
  <c r="E101" i="15" s="1"/>
  <c r="N85" i="15"/>
  <c r="N84" i="15"/>
  <c r="C117" i="15"/>
  <c r="K77" i="15"/>
  <c r="N90" i="15"/>
  <c r="E117" i="15"/>
  <c r="H65" i="15"/>
  <c r="I84" i="15" s="1"/>
  <c r="I99" i="15" s="1"/>
  <c r="D87" i="15"/>
  <c r="D102" i="15" s="1"/>
  <c r="N91" i="15"/>
  <c r="F116" i="15"/>
  <c r="L83" i="15"/>
  <c r="L98" i="15" s="1"/>
  <c r="N92" i="15"/>
  <c r="I114" i="14"/>
  <c r="I64" i="14"/>
  <c r="I76" i="14" s="1"/>
  <c r="I77" i="14" s="1"/>
  <c r="E116" i="14"/>
  <c r="C67" i="14"/>
  <c r="C86" i="14" s="1"/>
  <c r="C101" i="14" s="1"/>
  <c r="E66" i="14"/>
  <c r="F85" i="14" s="1"/>
  <c r="F100" i="14" s="1"/>
  <c r="G85" i="14"/>
  <c r="J114" i="14"/>
  <c r="J76" i="14"/>
  <c r="J77" i="14" s="1"/>
  <c r="K83" i="14"/>
  <c r="G65" i="14"/>
  <c r="H84" i="14"/>
  <c r="N94" i="14"/>
  <c r="K77" i="13"/>
  <c r="I64" i="13"/>
  <c r="I76" i="13"/>
  <c r="J83" i="13"/>
  <c r="J98" i="13" s="1"/>
  <c r="J114" i="13"/>
  <c r="K83" i="13"/>
  <c r="K98" i="13" s="1"/>
  <c r="H115" i="13"/>
  <c r="G65" i="13"/>
  <c r="J76" i="13"/>
  <c r="J77" i="13" s="1"/>
  <c r="E66" i="13"/>
  <c r="F85" i="13"/>
  <c r="F100" i="13" s="1"/>
  <c r="I114" i="13"/>
  <c r="L113" i="13"/>
  <c r="D117" i="13"/>
  <c r="C67" i="13"/>
  <c r="C86" i="13" s="1"/>
  <c r="C101" i="13" s="1"/>
  <c r="E86" i="13"/>
  <c r="E101" i="13" s="1"/>
  <c r="N94" i="13"/>
  <c r="G85" i="13"/>
  <c r="G100" i="13" s="1"/>
  <c r="I114" i="15" l="1"/>
  <c r="I64" i="15"/>
  <c r="J76" i="15"/>
  <c r="J77" i="15" s="1"/>
  <c r="E66" i="15"/>
  <c r="E116" i="15"/>
  <c r="G85" i="15"/>
  <c r="G100" i="15" s="1"/>
  <c r="G65" i="15"/>
  <c r="H84" i="15" s="1"/>
  <c r="H99" i="15" s="1"/>
  <c r="K83" i="15"/>
  <c r="K98" i="15" s="1"/>
  <c r="L113" i="15"/>
  <c r="N94" i="15"/>
  <c r="D117" i="15"/>
  <c r="C67" i="15"/>
  <c r="C86" i="15" s="1"/>
  <c r="C101" i="15" s="1"/>
  <c r="F115" i="14"/>
  <c r="C116" i="14"/>
  <c r="F65" i="14"/>
  <c r="G84" i="14" s="1"/>
  <c r="G115" i="14"/>
  <c r="D86" i="14"/>
  <c r="D101" i="14" s="1"/>
  <c r="H64" i="14"/>
  <c r="H76" i="14"/>
  <c r="H77" i="14" s="1"/>
  <c r="J83" i="14"/>
  <c r="D66" i="14"/>
  <c r="E85" i="14" s="1"/>
  <c r="E100" i="14" s="1"/>
  <c r="H114" i="14"/>
  <c r="K113" i="14"/>
  <c r="F65" i="13"/>
  <c r="E116" i="13"/>
  <c r="H84" i="13"/>
  <c r="H99" i="13" s="1"/>
  <c r="K113" i="13"/>
  <c r="F115" i="13"/>
  <c r="D66" i="13"/>
  <c r="E85" i="13" s="1"/>
  <c r="E100" i="13" s="1"/>
  <c r="C116" i="13"/>
  <c r="D86" i="13"/>
  <c r="D101" i="13" s="1"/>
  <c r="J113" i="13"/>
  <c r="I77" i="13"/>
  <c r="H64" i="13"/>
  <c r="H76" i="13"/>
  <c r="H77" i="13" s="1"/>
  <c r="G115" i="13"/>
  <c r="H114" i="15" l="1"/>
  <c r="D66" i="15"/>
  <c r="H64" i="15"/>
  <c r="I83" i="15" s="1"/>
  <c r="I98" i="15" s="1"/>
  <c r="G115" i="15"/>
  <c r="K113" i="15"/>
  <c r="C116" i="15"/>
  <c r="D86" i="15"/>
  <c r="D101" i="15" s="1"/>
  <c r="F85" i="15"/>
  <c r="F100" i="15" s="1"/>
  <c r="I76" i="15"/>
  <c r="I77" i="15" s="1"/>
  <c r="J83" i="15"/>
  <c r="J98" i="15" s="1"/>
  <c r="F65" i="15"/>
  <c r="G84" i="15" s="1"/>
  <c r="G99" i="15" s="1"/>
  <c r="G114" i="14"/>
  <c r="D116" i="14"/>
  <c r="G64" i="14"/>
  <c r="I83" i="14"/>
  <c r="E65" i="14"/>
  <c r="E115" i="14"/>
  <c r="C66" i="14"/>
  <c r="C85" i="14" s="1"/>
  <c r="C100" i="14" s="1"/>
  <c r="D85" i="14"/>
  <c r="D100" i="14" s="1"/>
  <c r="J113" i="14"/>
  <c r="E115" i="13"/>
  <c r="H114" i="13"/>
  <c r="C66" i="13"/>
  <c r="C85" i="13" s="1"/>
  <c r="C100" i="13" s="1"/>
  <c r="G64" i="13"/>
  <c r="I83" i="13"/>
  <c r="I98" i="13" s="1"/>
  <c r="D116" i="13"/>
  <c r="E65" i="13"/>
  <c r="G84" i="13"/>
  <c r="G99" i="13" s="1"/>
  <c r="G114" i="15" l="1"/>
  <c r="I113" i="15"/>
  <c r="J113" i="15"/>
  <c r="G64" i="15"/>
  <c r="F115" i="15"/>
  <c r="E65" i="15"/>
  <c r="H76" i="15"/>
  <c r="H77" i="15" s="1"/>
  <c r="C66" i="15"/>
  <c r="C85" i="15" s="1"/>
  <c r="C100" i="15" s="1"/>
  <c r="E85" i="15"/>
  <c r="E100" i="15" s="1"/>
  <c r="D116" i="15"/>
  <c r="D65" i="14"/>
  <c r="F64" i="14"/>
  <c r="I113" i="14"/>
  <c r="D115" i="14"/>
  <c r="F84" i="14"/>
  <c r="F99" i="14" s="1"/>
  <c r="G76" i="14"/>
  <c r="G77" i="14" s="1"/>
  <c r="H83" i="14"/>
  <c r="C115" i="14"/>
  <c r="F64" i="13"/>
  <c r="G76" i="13"/>
  <c r="G77" i="13" s="1"/>
  <c r="H83" i="13"/>
  <c r="H98" i="13" s="1"/>
  <c r="I113" i="13"/>
  <c r="C115" i="13"/>
  <c r="D85" i="13"/>
  <c r="D100" i="13" s="1"/>
  <c r="G114" i="13"/>
  <c r="D65" i="13"/>
  <c r="F84" i="13"/>
  <c r="F99" i="13" s="1"/>
  <c r="D65" i="15" l="1"/>
  <c r="E84" i="15"/>
  <c r="E99" i="15" s="1"/>
  <c r="F64" i="15"/>
  <c r="F76" i="15"/>
  <c r="H83" i="15"/>
  <c r="H98" i="15" s="1"/>
  <c r="E115" i="15"/>
  <c r="G76" i="15"/>
  <c r="G77" i="15" s="1"/>
  <c r="C115" i="15"/>
  <c r="D85" i="15"/>
  <c r="D100" i="15" s="1"/>
  <c r="F84" i="15"/>
  <c r="F99" i="15" s="1"/>
  <c r="H113" i="14"/>
  <c r="F114" i="14"/>
  <c r="E64" i="14"/>
  <c r="F83" i="14" s="1"/>
  <c r="F98" i="14" s="1"/>
  <c r="F76" i="14"/>
  <c r="F77" i="14" s="1"/>
  <c r="G83" i="14"/>
  <c r="C65" i="14"/>
  <c r="C84" i="14" s="1"/>
  <c r="C99" i="14" s="1"/>
  <c r="D84" i="14"/>
  <c r="D99" i="14" s="1"/>
  <c r="E84" i="14"/>
  <c r="E99" i="14" s="1"/>
  <c r="D115" i="13"/>
  <c r="H113" i="13"/>
  <c r="F114" i="13"/>
  <c r="E76" i="13"/>
  <c r="E64" i="13"/>
  <c r="C65" i="13"/>
  <c r="C84" i="13" s="1"/>
  <c r="C99" i="13" s="1"/>
  <c r="F76" i="13"/>
  <c r="F77" i="13" s="1"/>
  <c r="E84" i="13"/>
  <c r="E99" i="13" s="1"/>
  <c r="G83" i="13"/>
  <c r="G98" i="13" s="1"/>
  <c r="H113" i="15" l="1"/>
  <c r="E64" i="15"/>
  <c r="F83" i="15" s="1"/>
  <c r="F98" i="15" s="1"/>
  <c r="E114" i="15"/>
  <c r="D115" i="15"/>
  <c r="F77" i="15"/>
  <c r="G83" i="15"/>
  <c r="G98" i="15" s="1"/>
  <c r="F114" i="15"/>
  <c r="C65" i="15"/>
  <c r="C84" i="15" s="1"/>
  <c r="C99" i="15" s="1"/>
  <c r="D84" i="15"/>
  <c r="D99" i="15" s="1"/>
  <c r="D114" i="14"/>
  <c r="C114" i="14"/>
  <c r="F113" i="14"/>
  <c r="E114" i="14"/>
  <c r="G113" i="14"/>
  <c r="D64" i="14"/>
  <c r="D76" i="14" s="1"/>
  <c r="D77" i="14" s="1"/>
  <c r="E76" i="14"/>
  <c r="E77" i="14" s="1"/>
  <c r="D84" i="13"/>
  <c r="D99" i="13" s="1"/>
  <c r="E77" i="13"/>
  <c r="C114" i="13"/>
  <c r="D64" i="13"/>
  <c r="F83" i="13"/>
  <c r="F98" i="13" s="1"/>
  <c r="G113" i="13"/>
  <c r="E114" i="13"/>
  <c r="E83" i="14" l="1"/>
  <c r="E98" i="14" s="1"/>
  <c r="F113" i="15"/>
  <c r="G113" i="15"/>
  <c r="D64" i="15"/>
  <c r="E83" i="15" s="1"/>
  <c r="E98" i="15" s="1"/>
  <c r="E76" i="15"/>
  <c r="E77" i="15" s="1"/>
  <c r="D114" i="15"/>
  <c r="C114" i="15"/>
  <c r="E113" i="14"/>
  <c r="C64" i="14"/>
  <c r="C83" i="14" s="1"/>
  <c r="C98" i="14" s="1"/>
  <c r="F113" i="13"/>
  <c r="C64" i="13"/>
  <c r="C83" i="13" s="1"/>
  <c r="C98" i="13" s="1"/>
  <c r="D76" i="13"/>
  <c r="D77" i="13" s="1"/>
  <c r="E83" i="13"/>
  <c r="E98" i="13" s="1"/>
  <c r="D114" i="13"/>
  <c r="E113" i="15" l="1"/>
  <c r="C64" i="15"/>
  <c r="C83" i="15" s="1"/>
  <c r="C98" i="15" s="1"/>
  <c r="D83" i="15"/>
  <c r="D98" i="15" s="1"/>
  <c r="D76" i="15"/>
  <c r="D77" i="15" s="1"/>
  <c r="C76" i="14"/>
  <c r="C77" i="14" s="1"/>
  <c r="C113" i="14"/>
  <c r="D83" i="14"/>
  <c r="D98" i="14" s="1"/>
  <c r="C113" i="13"/>
  <c r="E113" i="13"/>
  <c r="D83" i="13"/>
  <c r="D98" i="13" s="1"/>
  <c r="C76" i="13"/>
  <c r="C77" i="13" s="1"/>
  <c r="D113" i="15" l="1"/>
  <c r="C113" i="15"/>
  <c r="E124" i="15" s="1"/>
  <c r="E9" i="15" s="1"/>
  <c r="C130" i="15" s="1"/>
  <c r="C76" i="15"/>
  <c r="C77" i="15" s="1"/>
  <c r="D113" i="14"/>
  <c r="E124" i="14" s="1"/>
  <c r="E9" i="14" s="1"/>
  <c r="D113" i="13"/>
  <c r="E124" i="13"/>
  <c r="E9" i="13" s="1"/>
  <c r="C139" i="15" l="1"/>
  <c r="C138" i="15"/>
  <c r="D138" i="15"/>
  <c r="C137" i="15"/>
  <c r="E137" i="15"/>
  <c r="D137" i="15"/>
  <c r="F136" i="15"/>
  <c r="G135" i="15"/>
  <c r="C136" i="15"/>
  <c r="E136" i="15"/>
  <c r="H134" i="15"/>
  <c r="E135" i="15"/>
  <c r="D136" i="15"/>
  <c r="F135" i="15"/>
  <c r="G134" i="15"/>
  <c r="H133" i="15"/>
  <c r="F134" i="15"/>
  <c r="C135" i="15"/>
  <c r="I133" i="15"/>
  <c r="I132" i="15"/>
  <c r="G133" i="15"/>
  <c r="D135" i="15"/>
  <c r="J132" i="15"/>
  <c r="H132" i="15"/>
  <c r="J131" i="15"/>
  <c r="F133" i="15"/>
  <c r="C134" i="15"/>
  <c r="K131" i="15"/>
  <c r="E134" i="15"/>
  <c r="I131" i="15"/>
  <c r="L130" i="15"/>
  <c r="D134" i="15"/>
  <c r="E133" i="15"/>
  <c r="C133" i="15"/>
  <c r="K130" i="15"/>
  <c r="H131" i="15"/>
  <c r="G132" i="15"/>
  <c r="G131" i="15"/>
  <c r="I130" i="15"/>
  <c r="J130" i="15"/>
  <c r="D133" i="15"/>
  <c r="F132" i="15"/>
  <c r="E132" i="15"/>
  <c r="C132" i="15"/>
  <c r="F131" i="15"/>
  <c r="H130" i="15"/>
  <c r="E131" i="15"/>
  <c r="D132" i="15"/>
  <c r="F130" i="15"/>
  <c r="D131" i="15"/>
  <c r="G130" i="15"/>
  <c r="C131" i="15"/>
  <c r="E130" i="15"/>
  <c r="D130" i="15"/>
  <c r="C139" i="14"/>
  <c r="C137" i="14"/>
  <c r="C138" i="14"/>
  <c r="E137" i="14"/>
  <c r="D138" i="14"/>
  <c r="D137" i="14"/>
  <c r="F136" i="14"/>
  <c r="C136" i="14"/>
  <c r="F135" i="14"/>
  <c r="G135" i="14"/>
  <c r="E136" i="14"/>
  <c r="G134" i="14"/>
  <c r="H134" i="14"/>
  <c r="D136" i="14"/>
  <c r="E135" i="14"/>
  <c r="C135" i="14"/>
  <c r="I133" i="14"/>
  <c r="F134" i="14"/>
  <c r="H133" i="14"/>
  <c r="E134" i="14"/>
  <c r="J132" i="14"/>
  <c r="G133" i="14"/>
  <c r="D135" i="14"/>
  <c r="K131" i="14"/>
  <c r="C134" i="14"/>
  <c r="F133" i="14"/>
  <c r="L130" i="14"/>
  <c r="D134" i="14"/>
  <c r="H132" i="14"/>
  <c r="I132" i="14"/>
  <c r="I131" i="14"/>
  <c r="J131" i="14"/>
  <c r="E133" i="14"/>
  <c r="C133" i="14"/>
  <c r="H131" i="14"/>
  <c r="G132" i="14"/>
  <c r="F132" i="14"/>
  <c r="K130" i="14"/>
  <c r="G131" i="14"/>
  <c r="D133" i="14"/>
  <c r="J130" i="14"/>
  <c r="E132" i="14"/>
  <c r="C132" i="14"/>
  <c r="I130" i="14"/>
  <c r="D132" i="14"/>
  <c r="F131" i="14"/>
  <c r="H130" i="14"/>
  <c r="C131" i="14"/>
  <c r="E131" i="14"/>
  <c r="G130" i="14"/>
  <c r="D131" i="14"/>
  <c r="F130" i="14"/>
  <c r="E130" i="14"/>
  <c r="C130" i="14"/>
  <c r="D130" i="14"/>
  <c r="C139" i="13"/>
  <c r="C138" i="13"/>
  <c r="D138" i="13"/>
  <c r="D137" i="13"/>
  <c r="E137" i="13"/>
  <c r="C137" i="13"/>
  <c r="E136" i="13"/>
  <c r="F136" i="13"/>
  <c r="G135" i="13"/>
  <c r="F135" i="13"/>
  <c r="C136" i="13"/>
  <c r="G134" i="13"/>
  <c r="E135" i="13"/>
  <c r="D136" i="13"/>
  <c r="H134" i="13"/>
  <c r="C135" i="13"/>
  <c r="D135" i="13"/>
  <c r="I133" i="13"/>
  <c r="I132" i="13"/>
  <c r="H133" i="13"/>
  <c r="F134" i="13"/>
  <c r="J132" i="13"/>
  <c r="E134" i="13"/>
  <c r="G133" i="13"/>
  <c r="C134" i="13"/>
  <c r="K131" i="13"/>
  <c r="F133" i="13"/>
  <c r="L130" i="13"/>
  <c r="D134" i="13"/>
  <c r="I131" i="13"/>
  <c r="J131" i="13"/>
  <c r="H132" i="13"/>
  <c r="C133" i="13"/>
  <c r="J130" i="13"/>
  <c r="G132" i="13"/>
  <c r="K130" i="13"/>
  <c r="E133" i="13"/>
  <c r="F132" i="13"/>
  <c r="E132" i="13"/>
  <c r="H131" i="13"/>
  <c r="D133" i="13"/>
  <c r="I130" i="13"/>
  <c r="C132" i="13"/>
  <c r="G131" i="13"/>
  <c r="H130" i="13"/>
  <c r="D132" i="13"/>
  <c r="F131" i="13"/>
  <c r="C131" i="13"/>
  <c r="G130" i="13"/>
  <c r="E131" i="13"/>
  <c r="F130" i="13"/>
  <c r="D131" i="13"/>
  <c r="C130" i="13"/>
  <c r="E130" i="13"/>
  <c r="D130" i="13"/>
  <c r="C141" i="15" l="1"/>
  <c r="C142" i="15" s="1"/>
  <c r="C159" i="15" s="1"/>
  <c r="C148" i="15" s="1"/>
  <c r="D272" i="15" s="1"/>
  <c r="C141" i="14"/>
  <c r="C142" i="14" s="1"/>
  <c r="C159" i="14" s="1"/>
  <c r="C151" i="14" s="1"/>
  <c r="D275" i="14" s="1"/>
  <c r="C141" i="13"/>
  <c r="C142" i="13" s="1"/>
  <c r="C159" i="13" s="1"/>
  <c r="G152" i="13" s="1"/>
  <c r="D310" i="13" s="1"/>
  <c r="D152" i="14" l="1"/>
  <c r="D286" i="14" s="1"/>
  <c r="E148" i="14"/>
  <c r="D291" i="14" s="1"/>
  <c r="C153" i="14"/>
  <c r="D277" i="14" s="1"/>
  <c r="C157" i="14"/>
  <c r="D281" i="14" s="1"/>
  <c r="H152" i="14"/>
  <c r="D316" i="14" s="1"/>
  <c r="C152" i="14"/>
  <c r="D276" i="14" s="1"/>
  <c r="F152" i="14"/>
  <c r="D303" i="14" s="1"/>
  <c r="F150" i="14"/>
  <c r="D301" i="14" s="1"/>
  <c r="D150" i="14"/>
  <c r="D284" i="14" s="1"/>
  <c r="D155" i="14"/>
  <c r="D289" i="14" s="1"/>
  <c r="H149" i="14"/>
  <c r="D313" i="14" s="1"/>
  <c r="F279" i="14" s="1"/>
  <c r="C172" i="14" s="1"/>
  <c r="C187" i="14" s="1"/>
  <c r="C202" i="14" s="1"/>
  <c r="G150" i="14"/>
  <c r="D308" i="14" s="1"/>
  <c r="F287" i="14" s="1"/>
  <c r="D170" i="14" s="1"/>
  <c r="D185" i="14" s="1"/>
  <c r="F153" i="14"/>
  <c r="D304" i="14" s="1"/>
  <c r="G149" i="14"/>
  <c r="D307" i="14" s="1"/>
  <c r="J150" i="14"/>
  <c r="D323" i="14" s="1"/>
  <c r="G152" i="14"/>
  <c r="D310" i="14" s="1"/>
  <c r="K148" i="14"/>
  <c r="D324" i="14" s="1"/>
  <c r="D156" i="14"/>
  <c r="D290" i="14" s="1"/>
  <c r="E153" i="14"/>
  <c r="D296" i="14" s="1"/>
  <c r="L148" i="14"/>
  <c r="D326" i="14" s="1"/>
  <c r="D149" i="14"/>
  <c r="D283" i="14" s="1"/>
  <c r="E152" i="15"/>
  <c r="D295" i="15" s="1"/>
  <c r="D151" i="15"/>
  <c r="D285" i="15" s="1"/>
  <c r="D156" i="15"/>
  <c r="D290" i="15" s="1"/>
  <c r="G152" i="15"/>
  <c r="D310" i="15" s="1"/>
  <c r="H149" i="15"/>
  <c r="D313" i="15" s="1"/>
  <c r="F285" i="15" s="1"/>
  <c r="D168" i="15" s="1"/>
  <c r="D183" i="15" s="1"/>
  <c r="D150" i="15"/>
  <c r="D284" i="15" s="1"/>
  <c r="G153" i="15"/>
  <c r="D311" i="15" s="1"/>
  <c r="I150" i="15"/>
  <c r="D319" i="15" s="1"/>
  <c r="I148" i="14"/>
  <c r="D317" i="14" s="1"/>
  <c r="E150" i="14"/>
  <c r="D293" i="14" s="1"/>
  <c r="D151" i="14"/>
  <c r="D285" i="14" s="1"/>
  <c r="C150" i="14"/>
  <c r="D274" i="14" s="1"/>
  <c r="D153" i="14"/>
  <c r="D287" i="14" s="1"/>
  <c r="F283" i="14" s="1"/>
  <c r="D166" i="14" s="1"/>
  <c r="D181" i="14" s="1"/>
  <c r="I151" i="14"/>
  <c r="D320" i="14" s="1"/>
  <c r="F315" i="14" s="1"/>
  <c r="H168" i="14" s="1"/>
  <c r="H183" i="14" s="1"/>
  <c r="D148" i="14"/>
  <c r="D282" i="14" s="1"/>
  <c r="F320" i="14" s="1"/>
  <c r="I168" i="14" s="1"/>
  <c r="I183" i="14" s="1"/>
  <c r="J149" i="14"/>
  <c r="D322" i="14" s="1"/>
  <c r="C155" i="14"/>
  <c r="D279" i="14" s="1"/>
  <c r="J148" i="14"/>
  <c r="D321" i="14" s="1"/>
  <c r="C154" i="14"/>
  <c r="D278" i="14" s="1"/>
  <c r="D154" i="14"/>
  <c r="D288" i="14" s="1"/>
  <c r="F151" i="14"/>
  <c r="D302" i="14" s="1"/>
  <c r="E155" i="14"/>
  <c r="D298" i="14" s="1"/>
  <c r="H148" i="14"/>
  <c r="D312" i="14" s="1"/>
  <c r="E148" i="15"/>
  <c r="D291" i="15" s="1"/>
  <c r="G148" i="15"/>
  <c r="D306" i="15" s="1"/>
  <c r="G150" i="15"/>
  <c r="D308" i="15" s="1"/>
  <c r="F294" i="15" s="1"/>
  <c r="E168" i="15" s="1"/>
  <c r="E183" i="15" s="1"/>
  <c r="I149" i="15"/>
  <c r="D318" i="15" s="1"/>
  <c r="H152" i="15"/>
  <c r="D316" i="15" s="1"/>
  <c r="F148" i="15"/>
  <c r="D299" i="15" s="1"/>
  <c r="H151" i="15"/>
  <c r="D315" i="15" s="1"/>
  <c r="E151" i="15"/>
  <c r="D294" i="15" s="1"/>
  <c r="C156" i="15"/>
  <c r="D280" i="15" s="1"/>
  <c r="K148" i="15"/>
  <c r="D324" i="15" s="1"/>
  <c r="F153" i="15"/>
  <c r="D304" i="15" s="1"/>
  <c r="F318" i="15" s="1"/>
  <c r="I166" i="15" s="1"/>
  <c r="I181" i="15" s="1"/>
  <c r="J148" i="15"/>
  <c r="D321" i="15" s="1"/>
  <c r="F154" i="15"/>
  <c r="D305" i="15" s="1"/>
  <c r="E154" i="15"/>
  <c r="D297" i="15" s="1"/>
  <c r="D154" i="15"/>
  <c r="D288" i="15" s="1"/>
  <c r="I148" i="15"/>
  <c r="D317" i="15" s="1"/>
  <c r="C150" i="15"/>
  <c r="D274" i="15" s="1"/>
  <c r="F305" i="15" s="1"/>
  <c r="F171" i="15" s="1"/>
  <c r="F186" i="15" s="1"/>
  <c r="J149" i="15"/>
  <c r="D322" i="15" s="1"/>
  <c r="C153" i="15"/>
  <c r="D277" i="15" s="1"/>
  <c r="C155" i="15"/>
  <c r="D279" i="15" s="1"/>
  <c r="G151" i="15"/>
  <c r="D309" i="15" s="1"/>
  <c r="F273" i="15" s="1"/>
  <c r="C166" i="15" s="1"/>
  <c r="C181" i="15" s="1"/>
  <c r="C196" i="15" s="1"/>
  <c r="F150" i="15"/>
  <c r="D301" i="15" s="1"/>
  <c r="E149" i="15"/>
  <c r="D292" i="15" s="1"/>
  <c r="F151" i="15"/>
  <c r="D302" i="15" s="1"/>
  <c r="C149" i="15"/>
  <c r="D273" i="15" s="1"/>
  <c r="I151" i="15"/>
  <c r="D320" i="15" s="1"/>
  <c r="D153" i="15"/>
  <c r="D287" i="15" s="1"/>
  <c r="C157" i="15"/>
  <c r="D281" i="15" s="1"/>
  <c r="C152" i="15"/>
  <c r="D276" i="15" s="1"/>
  <c r="D152" i="15"/>
  <c r="D286" i="15" s="1"/>
  <c r="F295" i="15" s="1"/>
  <c r="E169" i="15" s="1"/>
  <c r="E184" i="15" s="1"/>
  <c r="D155" i="15"/>
  <c r="D289" i="15" s="1"/>
  <c r="C154" i="15"/>
  <c r="D278" i="15" s="1"/>
  <c r="J150" i="15"/>
  <c r="D323" i="15" s="1"/>
  <c r="F314" i="15" s="1"/>
  <c r="H167" i="15" s="1"/>
  <c r="H182" i="15" s="1"/>
  <c r="K149" i="15"/>
  <c r="D325" i="15" s="1"/>
  <c r="F149" i="15"/>
  <c r="D300" i="15" s="1"/>
  <c r="E153" i="15"/>
  <c r="D296" i="15" s="1"/>
  <c r="G149" i="15"/>
  <c r="D307" i="15" s="1"/>
  <c r="E155" i="15"/>
  <c r="D298" i="15" s="1"/>
  <c r="L148" i="15"/>
  <c r="D326" i="15" s="1"/>
  <c r="C151" i="15"/>
  <c r="D275" i="15" s="1"/>
  <c r="D148" i="15"/>
  <c r="D282" i="15" s="1"/>
  <c r="H150" i="15"/>
  <c r="D314" i="15" s="1"/>
  <c r="D149" i="15"/>
  <c r="D283" i="15" s="1"/>
  <c r="F152" i="15"/>
  <c r="D303" i="15" s="1"/>
  <c r="E150" i="15"/>
  <c r="D293" i="15" s="1"/>
  <c r="H148" i="15"/>
  <c r="D312" i="15" s="1"/>
  <c r="I150" i="14"/>
  <c r="D319" i="14" s="1"/>
  <c r="E149" i="14"/>
  <c r="D292" i="14" s="1"/>
  <c r="G148" i="14"/>
  <c r="D306" i="14" s="1"/>
  <c r="C148" i="14"/>
  <c r="D272" i="14" s="1"/>
  <c r="F154" i="14"/>
  <c r="D305" i="14" s="1"/>
  <c r="F148" i="14"/>
  <c r="D299" i="14" s="1"/>
  <c r="K149" i="14"/>
  <c r="D325" i="14" s="1"/>
  <c r="E152" i="14"/>
  <c r="D295" i="14" s="1"/>
  <c r="H151" i="14"/>
  <c r="D315" i="14" s="1"/>
  <c r="G151" i="14"/>
  <c r="D309" i="14" s="1"/>
  <c r="C149" i="14"/>
  <c r="D273" i="14" s="1"/>
  <c r="E151" i="14"/>
  <c r="D294" i="14" s="1"/>
  <c r="F149" i="14"/>
  <c r="D300" i="14" s="1"/>
  <c r="G153" i="14"/>
  <c r="D311" i="14" s="1"/>
  <c r="H150" i="14"/>
  <c r="D314" i="14" s="1"/>
  <c r="C156" i="14"/>
  <c r="D280" i="14" s="1"/>
  <c r="F313" i="14" s="1"/>
  <c r="H166" i="14" s="1"/>
  <c r="H181" i="14" s="1"/>
  <c r="E154" i="14"/>
  <c r="D297" i="14" s="1"/>
  <c r="I149" i="14"/>
  <c r="D318" i="14" s="1"/>
  <c r="F304" i="13"/>
  <c r="F170" i="13" s="1"/>
  <c r="F185" i="13" s="1"/>
  <c r="F310" i="13"/>
  <c r="G169" i="13" s="1"/>
  <c r="G184" i="13" s="1"/>
  <c r="C152" i="13"/>
  <c r="D276" i="13" s="1"/>
  <c r="F323" i="13" s="1"/>
  <c r="J167" i="13" s="1"/>
  <c r="J182" i="13" s="1"/>
  <c r="C148" i="13"/>
  <c r="D272" i="13" s="1"/>
  <c r="I150" i="13"/>
  <c r="D319" i="13" s="1"/>
  <c r="F317" i="13" s="1"/>
  <c r="I165" i="13" s="1"/>
  <c r="I180" i="13" s="1"/>
  <c r="J149" i="13"/>
  <c r="D322" i="13" s="1"/>
  <c r="F309" i="13" s="1"/>
  <c r="G168" i="13" s="1"/>
  <c r="G183" i="13" s="1"/>
  <c r="C151" i="13"/>
  <c r="D275" i="13" s="1"/>
  <c r="F307" i="13" s="1"/>
  <c r="G166" i="13" s="1"/>
  <c r="G181" i="13" s="1"/>
  <c r="H152" i="13"/>
  <c r="D316" i="13" s="1"/>
  <c r="H149" i="13"/>
  <c r="D313" i="13" s="1"/>
  <c r="K149" i="13"/>
  <c r="D325" i="13" s="1"/>
  <c r="K148" i="13"/>
  <c r="D324" i="13" s="1"/>
  <c r="F308" i="13" s="1"/>
  <c r="G167" i="13" s="1"/>
  <c r="G182" i="13" s="1"/>
  <c r="D152" i="13"/>
  <c r="D286" i="13" s="1"/>
  <c r="F276" i="13" s="1"/>
  <c r="I148" i="13"/>
  <c r="D317" i="13" s="1"/>
  <c r="C156" i="13"/>
  <c r="D280" i="13" s="1"/>
  <c r="F302" i="13" s="1"/>
  <c r="F168" i="13" s="1"/>
  <c r="F183" i="13" s="1"/>
  <c r="D154" i="13"/>
  <c r="D288" i="13" s="1"/>
  <c r="E148" i="13"/>
  <c r="D291" i="13" s="1"/>
  <c r="D153" i="13"/>
  <c r="D287" i="13" s="1"/>
  <c r="C157" i="13"/>
  <c r="D281" i="13" s="1"/>
  <c r="D151" i="13"/>
  <c r="D285" i="13" s="1"/>
  <c r="I151" i="13"/>
  <c r="D320" i="13" s="1"/>
  <c r="E152" i="13"/>
  <c r="D295" i="13" s="1"/>
  <c r="F153" i="13"/>
  <c r="D304" i="13" s="1"/>
  <c r="F299" i="13" s="1"/>
  <c r="F165" i="13" s="1"/>
  <c r="F180" i="13" s="1"/>
  <c r="F151" i="13"/>
  <c r="D302" i="13" s="1"/>
  <c r="F275" i="13" s="1"/>
  <c r="C168" i="13" s="1"/>
  <c r="C183" i="13" s="1"/>
  <c r="C198" i="13" s="1"/>
  <c r="D149" i="13"/>
  <c r="D283" i="13" s="1"/>
  <c r="F148" i="13"/>
  <c r="D299" i="13" s="1"/>
  <c r="E149" i="13"/>
  <c r="D292" i="13" s="1"/>
  <c r="F303" i="13" s="1"/>
  <c r="F169" i="13" s="1"/>
  <c r="F184" i="13" s="1"/>
  <c r="G153" i="13"/>
  <c r="D311" i="13" s="1"/>
  <c r="E153" i="13"/>
  <c r="D296" i="13" s="1"/>
  <c r="F152" i="13"/>
  <c r="D303" i="13" s="1"/>
  <c r="E151" i="13"/>
  <c r="D294" i="13" s="1"/>
  <c r="H151" i="13"/>
  <c r="D315" i="13" s="1"/>
  <c r="F279" i="13" s="1"/>
  <c r="C172" i="13" s="1"/>
  <c r="C187" i="13" s="1"/>
  <c r="C202" i="13" s="1"/>
  <c r="D148" i="13"/>
  <c r="D282" i="13" s="1"/>
  <c r="F286" i="13" s="1"/>
  <c r="D169" i="13" s="1"/>
  <c r="D184" i="13" s="1"/>
  <c r="H148" i="13"/>
  <c r="D312" i="13" s="1"/>
  <c r="G148" i="13"/>
  <c r="D306" i="13" s="1"/>
  <c r="C150" i="13"/>
  <c r="D274" i="13" s="1"/>
  <c r="F287" i="13" s="1"/>
  <c r="D170" i="13" s="1"/>
  <c r="D185" i="13" s="1"/>
  <c r="H150" i="13"/>
  <c r="D314" i="13" s="1"/>
  <c r="F280" i="13" s="1"/>
  <c r="C173" i="13" s="1"/>
  <c r="C188" i="13" s="1"/>
  <c r="C203" i="13" s="1"/>
  <c r="J150" i="13"/>
  <c r="D323" i="13" s="1"/>
  <c r="F326" i="13" s="1"/>
  <c r="L165" i="13" s="1"/>
  <c r="L180" i="13" s="1"/>
  <c r="C155" i="13"/>
  <c r="D279" i="13" s="1"/>
  <c r="D150" i="13"/>
  <c r="D284" i="13" s="1"/>
  <c r="F281" i="13" s="1"/>
  <c r="C174" i="13" s="1"/>
  <c r="C189" i="13" s="1"/>
  <c r="C204" i="13" s="1"/>
  <c r="C223" i="13" s="1"/>
  <c r="F150" i="13"/>
  <c r="D301" i="13" s="1"/>
  <c r="F314" i="13" s="1"/>
  <c r="H167" i="13" s="1"/>
  <c r="H182" i="13" s="1"/>
  <c r="I149" i="13"/>
  <c r="D318" i="13" s="1"/>
  <c r="G149" i="13"/>
  <c r="D307" i="13" s="1"/>
  <c r="F297" i="13" s="1"/>
  <c r="E171" i="13" s="1"/>
  <c r="E186" i="13" s="1"/>
  <c r="G150" i="13"/>
  <c r="D308" i="13" s="1"/>
  <c r="D155" i="13"/>
  <c r="D289" i="13" s="1"/>
  <c r="C149" i="13"/>
  <c r="D273" i="13" s="1"/>
  <c r="F272" i="13" s="1"/>
  <c r="C165" i="13" s="1"/>
  <c r="C180" i="13" s="1"/>
  <c r="C195" i="13" s="1"/>
  <c r="J148" i="13"/>
  <c r="D321" i="13" s="1"/>
  <c r="L148" i="13"/>
  <c r="D326" i="13" s="1"/>
  <c r="E150" i="13"/>
  <c r="D293" i="13" s="1"/>
  <c r="F318" i="13" s="1"/>
  <c r="I166" i="13" s="1"/>
  <c r="I181" i="13" s="1"/>
  <c r="E154" i="13"/>
  <c r="D297" i="13" s="1"/>
  <c r="F154" i="13"/>
  <c r="D305" i="13" s="1"/>
  <c r="G151" i="13"/>
  <c r="D309" i="13" s="1"/>
  <c r="F277" i="13" s="1"/>
  <c r="C170" i="13" s="1"/>
  <c r="C185" i="13" s="1"/>
  <c r="C200" i="13" s="1"/>
  <c r="F149" i="13"/>
  <c r="D300" i="13" s="1"/>
  <c r="C154" i="13"/>
  <c r="D278" i="13" s="1"/>
  <c r="F298" i="13" s="1"/>
  <c r="E172" i="13" s="1"/>
  <c r="E187" i="13" s="1"/>
  <c r="D156" i="13"/>
  <c r="D290" i="13" s="1"/>
  <c r="C153" i="13"/>
  <c r="D277" i="13" s="1"/>
  <c r="E155" i="13"/>
  <c r="D298" i="13" s="1"/>
  <c r="C169" i="13" l="1"/>
  <c r="C184" i="13" s="1"/>
  <c r="C199" i="13" s="1"/>
  <c r="H29" i="8"/>
  <c r="F284" i="14"/>
  <c r="D167" i="14" s="1"/>
  <c r="D182" i="14" s="1"/>
  <c r="F278" i="14"/>
  <c r="C171" i="14" s="1"/>
  <c r="C186" i="14" s="1"/>
  <c r="C201" i="14" s="1"/>
  <c r="F298" i="14"/>
  <c r="E172" i="14" s="1"/>
  <c r="E187" i="14" s="1"/>
  <c r="F272" i="14"/>
  <c r="C165" i="14" s="1"/>
  <c r="C180" i="14" s="1"/>
  <c r="C195" i="14" s="1"/>
  <c r="F289" i="14"/>
  <c r="D172" i="14" s="1"/>
  <c r="D187" i="14" s="1"/>
  <c r="F305" i="14"/>
  <c r="F171" i="14" s="1"/>
  <c r="F186" i="14" s="1"/>
  <c r="F326" i="14"/>
  <c r="L165" i="14" s="1"/>
  <c r="L180" i="14" s="1"/>
  <c r="F296" i="14"/>
  <c r="E170" i="14" s="1"/>
  <c r="E185" i="14" s="1"/>
  <c r="F311" i="14"/>
  <c r="G170" i="14" s="1"/>
  <c r="G185" i="14" s="1"/>
  <c r="F308" i="14"/>
  <c r="G167" i="14" s="1"/>
  <c r="G182" i="14" s="1"/>
  <c r="F285" i="14"/>
  <c r="D168" i="14" s="1"/>
  <c r="D183" i="14" s="1"/>
  <c r="F277" i="14"/>
  <c r="C170" i="14" s="1"/>
  <c r="C185" i="14" s="1"/>
  <c r="C200" i="14" s="1"/>
  <c r="D200" i="14" s="1"/>
  <c r="F297" i="14"/>
  <c r="E171" i="14" s="1"/>
  <c r="E186" i="14" s="1"/>
  <c r="F294" i="14"/>
  <c r="E168" i="14" s="1"/>
  <c r="E183" i="14" s="1"/>
  <c r="F275" i="14"/>
  <c r="C168" i="14" s="1"/>
  <c r="C183" i="14" s="1"/>
  <c r="C198" i="14" s="1"/>
  <c r="F300" i="14"/>
  <c r="F166" i="14" s="1"/>
  <c r="F181" i="14" s="1"/>
  <c r="F299" i="14"/>
  <c r="F165" i="14" s="1"/>
  <c r="F180" i="14" s="1"/>
  <c r="F306" i="14"/>
  <c r="G165" i="14" s="1"/>
  <c r="G180" i="14" s="1"/>
  <c r="F325" i="14"/>
  <c r="K166" i="14" s="1"/>
  <c r="K181" i="14" s="1"/>
  <c r="F280" i="14"/>
  <c r="C173" i="14" s="1"/>
  <c r="C188" i="14" s="1"/>
  <c r="C203" i="14" s="1"/>
  <c r="F286" i="14"/>
  <c r="D169" i="14" s="1"/>
  <c r="D184" i="14" s="1"/>
  <c r="F295" i="14"/>
  <c r="E169" i="14" s="1"/>
  <c r="E184" i="14" s="1"/>
  <c r="F310" i="14"/>
  <c r="G169" i="14" s="1"/>
  <c r="G184" i="14" s="1"/>
  <c r="F281" i="14"/>
  <c r="C174" i="14" s="1"/>
  <c r="C189" i="14" s="1"/>
  <c r="C204" i="14" s="1"/>
  <c r="C223" i="14" s="1"/>
  <c r="C238" i="14" s="1"/>
  <c r="F304" i="14"/>
  <c r="F170" i="14" s="1"/>
  <c r="F185" i="14" s="1"/>
  <c r="F293" i="14"/>
  <c r="E167" i="14" s="1"/>
  <c r="E182" i="14" s="1"/>
  <c r="F318" i="14"/>
  <c r="I166" i="14" s="1"/>
  <c r="I181" i="14" s="1"/>
  <c r="F274" i="14"/>
  <c r="C167" i="14" s="1"/>
  <c r="C182" i="14" s="1"/>
  <c r="C197" i="14" s="1"/>
  <c r="D197" i="14" s="1"/>
  <c r="F281" i="15"/>
  <c r="C174" i="15" s="1"/>
  <c r="C189" i="15" s="1"/>
  <c r="C204" i="15" s="1"/>
  <c r="C223" i="15" s="1"/>
  <c r="C238" i="15" s="1"/>
  <c r="F291" i="15"/>
  <c r="E165" i="15" s="1"/>
  <c r="E180" i="15" s="1"/>
  <c r="F317" i="15"/>
  <c r="I165" i="15" s="1"/>
  <c r="I180" i="15" s="1"/>
  <c r="F311" i="15"/>
  <c r="G170" i="15" s="1"/>
  <c r="G185" i="15" s="1"/>
  <c r="F326" i="15"/>
  <c r="L165" i="15" s="1"/>
  <c r="L180" i="15" s="1"/>
  <c r="F296" i="15"/>
  <c r="E170" i="15" s="1"/>
  <c r="E185" i="15" s="1"/>
  <c r="F277" i="15"/>
  <c r="C170" i="15" s="1"/>
  <c r="C185" i="15" s="1"/>
  <c r="C200" i="15" s="1"/>
  <c r="F313" i="15"/>
  <c r="H166" i="15" s="1"/>
  <c r="H181" i="15" s="1"/>
  <c r="F300" i="15"/>
  <c r="F166" i="15" s="1"/>
  <c r="F181" i="15" s="1"/>
  <c r="F321" i="14"/>
  <c r="J165" i="14" s="1"/>
  <c r="J180" i="14" s="1"/>
  <c r="F324" i="14"/>
  <c r="K165" i="14" s="1"/>
  <c r="K180" i="14" s="1"/>
  <c r="F317" i="14"/>
  <c r="I165" i="14" s="1"/>
  <c r="I180" i="14" s="1"/>
  <c r="F314" i="14"/>
  <c r="H167" i="14" s="1"/>
  <c r="H182" i="14" s="1"/>
  <c r="F312" i="14"/>
  <c r="H165" i="14" s="1"/>
  <c r="H180" i="14" s="1"/>
  <c r="F303" i="14"/>
  <c r="F169" i="14" s="1"/>
  <c r="F184" i="14" s="1"/>
  <c r="F276" i="14"/>
  <c r="C169" i="14" s="1"/>
  <c r="C184" i="14" s="1"/>
  <c r="C199" i="14" s="1"/>
  <c r="F301" i="14"/>
  <c r="F167" i="14" s="1"/>
  <c r="F182" i="14" s="1"/>
  <c r="F288" i="14"/>
  <c r="D171" i="14" s="1"/>
  <c r="D186" i="14" s="1"/>
  <c r="F319" i="14"/>
  <c r="I167" i="14" s="1"/>
  <c r="I182" i="14" s="1"/>
  <c r="F273" i="14"/>
  <c r="C166" i="14" s="1"/>
  <c r="C181" i="14" s="1"/>
  <c r="C196" i="14" s="1"/>
  <c r="D196" i="14" s="1"/>
  <c r="F322" i="14"/>
  <c r="J166" i="14" s="1"/>
  <c r="J181" i="14" s="1"/>
  <c r="F319" i="15"/>
  <c r="I167" i="15" s="1"/>
  <c r="I182" i="15" s="1"/>
  <c r="F320" i="15"/>
  <c r="I168" i="15" s="1"/>
  <c r="I183" i="15" s="1"/>
  <c r="F324" i="15"/>
  <c r="K165" i="15" s="1"/>
  <c r="K180" i="15" s="1"/>
  <c r="F289" i="15"/>
  <c r="D172" i="15" s="1"/>
  <c r="D187" i="15" s="1"/>
  <c r="F312" i="15"/>
  <c r="H165" i="15" s="1"/>
  <c r="H180" i="15" s="1"/>
  <c r="F299" i="15"/>
  <c r="F165" i="15" s="1"/>
  <c r="F180" i="15" s="1"/>
  <c r="F315" i="15"/>
  <c r="H168" i="15" s="1"/>
  <c r="H183" i="15" s="1"/>
  <c r="F307" i="15"/>
  <c r="G166" i="15" s="1"/>
  <c r="G181" i="15" s="1"/>
  <c r="F293" i="15"/>
  <c r="E167" i="15" s="1"/>
  <c r="E182" i="15" s="1"/>
  <c r="F276" i="15"/>
  <c r="C169" i="15" s="1"/>
  <c r="C184" i="15" s="1"/>
  <c r="C199" i="15" s="1"/>
  <c r="F322" i="15"/>
  <c r="J166" i="15" s="1"/>
  <c r="J181" i="15" s="1"/>
  <c r="F308" i="15"/>
  <c r="G167" i="15" s="1"/>
  <c r="G182" i="15" s="1"/>
  <c r="F282" i="15"/>
  <c r="D165" i="15" s="1"/>
  <c r="D180" i="15" s="1"/>
  <c r="F284" i="15"/>
  <c r="D167" i="15" s="1"/>
  <c r="D182" i="15" s="1"/>
  <c r="F275" i="15"/>
  <c r="C168" i="15" s="1"/>
  <c r="C183" i="15" s="1"/>
  <c r="C198" i="15" s="1"/>
  <c r="D198" i="15" s="1"/>
  <c r="E198" i="15" s="1"/>
  <c r="F306" i="15"/>
  <c r="G165" i="15" s="1"/>
  <c r="G180" i="15" s="1"/>
  <c r="F303" i="15"/>
  <c r="F169" i="15" s="1"/>
  <c r="F184" i="15" s="1"/>
  <c r="F310" i="15"/>
  <c r="G169" i="15" s="1"/>
  <c r="G184" i="15" s="1"/>
  <c r="F287" i="15"/>
  <c r="D170" i="15" s="1"/>
  <c r="D185" i="15" s="1"/>
  <c r="F286" i="15"/>
  <c r="D169" i="15" s="1"/>
  <c r="D184" i="15" s="1"/>
  <c r="F304" i="15"/>
  <c r="F170" i="15" s="1"/>
  <c r="F185" i="15" s="1"/>
  <c r="F309" i="15"/>
  <c r="G168" i="15" s="1"/>
  <c r="G183" i="15" s="1"/>
  <c r="F278" i="15"/>
  <c r="C171" i="15" s="1"/>
  <c r="C186" i="15" s="1"/>
  <c r="C201" i="15" s="1"/>
  <c r="F301" i="15"/>
  <c r="F167" i="15" s="1"/>
  <c r="F182" i="15" s="1"/>
  <c r="F288" i="15"/>
  <c r="D171" i="15" s="1"/>
  <c r="D186" i="15" s="1"/>
  <c r="F323" i="15"/>
  <c r="J167" i="15" s="1"/>
  <c r="J182" i="15" s="1"/>
  <c r="F290" i="15"/>
  <c r="D173" i="15" s="1"/>
  <c r="D188" i="15" s="1"/>
  <c r="F297" i="15"/>
  <c r="E171" i="15" s="1"/>
  <c r="E186" i="15" s="1"/>
  <c r="F280" i="15"/>
  <c r="C173" i="15" s="1"/>
  <c r="C188" i="15" s="1"/>
  <c r="C203" i="15" s="1"/>
  <c r="F321" i="15"/>
  <c r="J165" i="15" s="1"/>
  <c r="J180" i="15" s="1"/>
  <c r="F298" i="15"/>
  <c r="E172" i="15" s="1"/>
  <c r="E187" i="15" s="1"/>
  <c r="F292" i="15"/>
  <c r="E166" i="15" s="1"/>
  <c r="E181" i="15" s="1"/>
  <c r="F272" i="15"/>
  <c r="C165" i="15" s="1"/>
  <c r="C180" i="15" s="1"/>
  <c r="C195" i="15" s="1"/>
  <c r="F279" i="15"/>
  <c r="C172" i="15" s="1"/>
  <c r="C187" i="15" s="1"/>
  <c r="C202" i="15" s="1"/>
  <c r="F283" i="15"/>
  <c r="D166" i="15" s="1"/>
  <c r="D181" i="15" s="1"/>
  <c r="D196" i="15" s="1"/>
  <c r="F302" i="15"/>
  <c r="F168" i="15" s="1"/>
  <c r="F183" i="15" s="1"/>
  <c r="F274" i="15"/>
  <c r="C167" i="15" s="1"/>
  <c r="C182" i="15" s="1"/>
  <c r="C197" i="15" s="1"/>
  <c r="F316" i="15"/>
  <c r="H169" i="15" s="1"/>
  <c r="H184" i="15" s="1"/>
  <c r="F325" i="15"/>
  <c r="K166" i="15" s="1"/>
  <c r="K181" i="15" s="1"/>
  <c r="D202" i="14"/>
  <c r="F323" i="14"/>
  <c r="J167" i="14" s="1"/>
  <c r="J182" i="14" s="1"/>
  <c r="F307" i="14"/>
  <c r="G166" i="14" s="1"/>
  <c r="G181" i="14" s="1"/>
  <c r="F302" i="14"/>
  <c r="F168" i="14" s="1"/>
  <c r="F183" i="14" s="1"/>
  <c r="F291" i="14"/>
  <c r="E165" i="14" s="1"/>
  <c r="E180" i="14" s="1"/>
  <c r="F290" i="14"/>
  <c r="D173" i="14" s="1"/>
  <c r="D188" i="14" s="1"/>
  <c r="F282" i="14"/>
  <c r="D165" i="14" s="1"/>
  <c r="D180" i="14" s="1"/>
  <c r="F309" i="14"/>
  <c r="G168" i="14" s="1"/>
  <c r="G183" i="14" s="1"/>
  <c r="F292" i="14"/>
  <c r="E166" i="14" s="1"/>
  <c r="E181" i="14" s="1"/>
  <c r="F316" i="14"/>
  <c r="H169" i="14" s="1"/>
  <c r="H184" i="14" s="1"/>
  <c r="D200" i="13"/>
  <c r="F294" i="13"/>
  <c r="E168" i="13" s="1"/>
  <c r="E183" i="13" s="1"/>
  <c r="F313" i="13"/>
  <c r="H166" i="13" s="1"/>
  <c r="H181" i="13" s="1"/>
  <c r="F291" i="13"/>
  <c r="E165" i="13" s="1"/>
  <c r="E180" i="13" s="1"/>
  <c r="F296" i="13"/>
  <c r="E170" i="13" s="1"/>
  <c r="E185" i="13" s="1"/>
  <c r="D199" i="13"/>
  <c r="F324" i="13"/>
  <c r="K165" i="13" s="1"/>
  <c r="K180" i="13" s="1"/>
  <c r="F278" i="13"/>
  <c r="C171" i="13" s="1"/>
  <c r="C186" i="13" s="1"/>
  <c r="C201" i="13" s="1"/>
  <c r="F306" i="13"/>
  <c r="G165" i="13" s="1"/>
  <c r="G180" i="13" s="1"/>
  <c r="F274" i="13"/>
  <c r="C167" i="13" s="1"/>
  <c r="C182" i="13" s="1"/>
  <c r="C197" i="13" s="1"/>
  <c r="F319" i="13"/>
  <c r="I167" i="13" s="1"/>
  <c r="I182" i="13" s="1"/>
  <c r="F273" i="13"/>
  <c r="C166" i="13" s="1"/>
  <c r="C181" i="13" s="1"/>
  <c r="C196" i="13" s="1"/>
  <c r="F282" i="13"/>
  <c r="D165" i="13" s="1"/>
  <c r="D180" i="13" s="1"/>
  <c r="D195" i="13" s="1"/>
  <c r="F290" i="13"/>
  <c r="D173" i="13" s="1"/>
  <c r="D188" i="13" s="1"/>
  <c r="D203" i="13" s="1"/>
  <c r="D222" i="13" s="1"/>
  <c r="F301" i="13"/>
  <c r="F167" i="13" s="1"/>
  <c r="F182" i="13" s="1"/>
  <c r="F312" i="13"/>
  <c r="H165" i="13" s="1"/>
  <c r="H180" i="13" s="1"/>
  <c r="F283" i="13"/>
  <c r="D166" i="13" s="1"/>
  <c r="D181" i="13" s="1"/>
  <c r="F293" i="13"/>
  <c r="E167" i="13" s="1"/>
  <c r="E182" i="13" s="1"/>
  <c r="F322" i="13"/>
  <c r="J166" i="13" s="1"/>
  <c r="J181" i="13" s="1"/>
  <c r="F315" i="13"/>
  <c r="H168" i="13" s="1"/>
  <c r="H183" i="13" s="1"/>
  <c r="F316" i="13"/>
  <c r="H169" i="13" s="1"/>
  <c r="H184" i="13" s="1"/>
  <c r="F292" i="13"/>
  <c r="E166" i="13" s="1"/>
  <c r="E181" i="13" s="1"/>
  <c r="F305" i="13"/>
  <c r="F171" i="13" s="1"/>
  <c r="F186" i="13" s="1"/>
  <c r="F284" i="13"/>
  <c r="D167" i="13" s="1"/>
  <c r="D182" i="13" s="1"/>
  <c r="F321" i="13"/>
  <c r="J165" i="13" s="1"/>
  <c r="J180" i="13" s="1"/>
  <c r="F285" i="13"/>
  <c r="D168" i="13" s="1"/>
  <c r="D183" i="13" s="1"/>
  <c r="D198" i="13" s="1"/>
  <c r="F288" i="13"/>
  <c r="D171" i="13" s="1"/>
  <c r="D186" i="13" s="1"/>
  <c r="F311" i="13"/>
  <c r="G170" i="13" s="1"/>
  <c r="G185" i="13" s="1"/>
  <c r="F295" i="13"/>
  <c r="E169" i="13" s="1"/>
  <c r="E184" i="13" s="1"/>
  <c r="F289" i="13"/>
  <c r="D172" i="13" s="1"/>
  <c r="D187" i="13" s="1"/>
  <c r="D202" i="13" s="1"/>
  <c r="E202" i="13" s="1"/>
  <c r="E221" i="13" s="1"/>
  <c r="F300" i="13"/>
  <c r="F166" i="13" s="1"/>
  <c r="F181" i="13" s="1"/>
  <c r="F325" i="13"/>
  <c r="K166" i="13" s="1"/>
  <c r="K181" i="13" s="1"/>
  <c r="F320" i="13"/>
  <c r="I168" i="13" s="1"/>
  <c r="I183" i="13" s="1"/>
  <c r="C238" i="13"/>
  <c r="D201" i="14" l="1"/>
  <c r="E200" i="14"/>
  <c r="F200" i="14" s="1"/>
  <c r="G200" i="14" s="1"/>
  <c r="G219" i="14" s="1"/>
  <c r="G234" i="14" s="1"/>
  <c r="E202" i="14"/>
  <c r="E221" i="14" s="1"/>
  <c r="E236" i="14" s="1"/>
  <c r="D195" i="14"/>
  <c r="D198" i="14"/>
  <c r="E198" i="14" s="1"/>
  <c r="F198" i="14" s="1"/>
  <c r="G198" i="14" s="1"/>
  <c r="H198" i="14" s="1"/>
  <c r="I198" i="14" s="1"/>
  <c r="I217" i="14" s="1"/>
  <c r="I232" i="14" s="1"/>
  <c r="D199" i="14"/>
  <c r="E199" i="14" s="1"/>
  <c r="F199" i="14" s="1"/>
  <c r="G199" i="14" s="1"/>
  <c r="H199" i="14" s="1"/>
  <c r="H218" i="14" s="1"/>
  <c r="D203" i="14"/>
  <c r="D222" i="14" s="1"/>
  <c r="D237" i="14" s="1"/>
  <c r="E201" i="14"/>
  <c r="F201" i="14" s="1"/>
  <c r="F220" i="14" s="1"/>
  <c r="F235" i="14" s="1"/>
  <c r="E197" i="14"/>
  <c r="F197" i="14" s="1"/>
  <c r="G197" i="14" s="1"/>
  <c r="H197" i="14" s="1"/>
  <c r="I197" i="14" s="1"/>
  <c r="J197" i="14" s="1"/>
  <c r="J216" i="14" s="1"/>
  <c r="D200" i="15"/>
  <c r="E200" i="15" s="1"/>
  <c r="F200" i="15" s="1"/>
  <c r="G200" i="15" s="1"/>
  <c r="G219" i="15" s="1"/>
  <c r="D201" i="15"/>
  <c r="E201" i="15" s="1"/>
  <c r="F201" i="15" s="1"/>
  <c r="F220" i="15" s="1"/>
  <c r="D203" i="15"/>
  <c r="D222" i="15" s="1"/>
  <c r="D237" i="15" s="1"/>
  <c r="F198" i="15"/>
  <c r="G198" i="15" s="1"/>
  <c r="H198" i="15" s="1"/>
  <c r="I198" i="15" s="1"/>
  <c r="I217" i="15" s="1"/>
  <c r="D197" i="15"/>
  <c r="E197" i="15" s="1"/>
  <c r="F197" i="15" s="1"/>
  <c r="G197" i="15" s="1"/>
  <c r="H197" i="15" s="1"/>
  <c r="I197" i="15" s="1"/>
  <c r="J197" i="15" s="1"/>
  <c r="J216" i="15" s="1"/>
  <c r="D199" i="15"/>
  <c r="E199" i="15" s="1"/>
  <c r="F199" i="15" s="1"/>
  <c r="G199" i="15" s="1"/>
  <c r="H199" i="15" s="1"/>
  <c r="H218" i="15" s="1"/>
  <c r="D202" i="15"/>
  <c r="E202" i="15" s="1"/>
  <c r="E221" i="15" s="1"/>
  <c r="E196" i="15"/>
  <c r="F196" i="15" s="1"/>
  <c r="G196" i="15" s="1"/>
  <c r="H196" i="15" s="1"/>
  <c r="I196" i="15" s="1"/>
  <c r="J196" i="15" s="1"/>
  <c r="K196" i="15" s="1"/>
  <c r="K215" i="15" s="1"/>
  <c r="D195" i="15"/>
  <c r="E196" i="14"/>
  <c r="F196" i="14" s="1"/>
  <c r="G196" i="14" s="1"/>
  <c r="H196" i="14" s="1"/>
  <c r="I196" i="14" s="1"/>
  <c r="J196" i="14" s="1"/>
  <c r="K196" i="14" s="1"/>
  <c r="K215" i="14" s="1"/>
  <c r="E195" i="14"/>
  <c r="D197" i="13"/>
  <c r="E197" i="13" s="1"/>
  <c r="F197" i="13" s="1"/>
  <c r="G197" i="13" s="1"/>
  <c r="H197" i="13" s="1"/>
  <c r="I197" i="13" s="1"/>
  <c r="J197" i="13" s="1"/>
  <c r="J216" i="13" s="1"/>
  <c r="E200" i="13"/>
  <c r="F200" i="13" s="1"/>
  <c r="G200" i="13" s="1"/>
  <c r="G219" i="13" s="1"/>
  <c r="D201" i="13"/>
  <c r="E201" i="13" s="1"/>
  <c r="F201" i="13" s="1"/>
  <c r="F220" i="13" s="1"/>
  <c r="D237" i="13"/>
  <c r="E236" i="13"/>
  <c r="E195" i="13"/>
  <c r="E199" i="13"/>
  <c r="F199" i="13" s="1"/>
  <c r="G199" i="13" s="1"/>
  <c r="H199" i="13" s="1"/>
  <c r="H218" i="13" s="1"/>
  <c r="D196" i="13"/>
  <c r="E198" i="13"/>
  <c r="F198" i="13" s="1"/>
  <c r="G198" i="13" s="1"/>
  <c r="H198" i="13" s="1"/>
  <c r="I198" i="13" s="1"/>
  <c r="I217" i="13" s="1"/>
  <c r="C207" i="14" l="1"/>
  <c r="D223" i="14" s="1"/>
  <c r="E236" i="15"/>
  <c r="J231" i="15"/>
  <c r="K230" i="15"/>
  <c r="I232" i="15"/>
  <c r="H233" i="15"/>
  <c r="G234" i="15"/>
  <c r="F235" i="15"/>
  <c r="C207" i="15"/>
  <c r="E195" i="15"/>
  <c r="H233" i="14"/>
  <c r="K230" i="14"/>
  <c r="D207" i="14"/>
  <c r="F195" i="14"/>
  <c r="J231" i="14"/>
  <c r="C207" i="13"/>
  <c r="D223" i="13" s="1"/>
  <c r="E196" i="13"/>
  <c r="F196" i="13" s="1"/>
  <c r="G196" i="13" s="1"/>
  <c r="H196" i="13" s="1"/>
  <c r="I196" i="13" s="1"/>
  <c r="J196" i="13" s="1"/>
  <c r="K196" i="13" s="1"/>
  <c r="K215" i="13" s="1"/>
  <c r="K230" i="13" s="1"/>
  <c r="J231" i="13"/>
  <c r="I232" i="13"/>
  <c r="F235" i="13"/>
  <c r="F195" i="13"/>
  <c r="G234" i="13"/>
  <c r="H233" i="13"/>
  <c r="D207" i="15" l="1"/>
  <c r="F195" i="15"/>
  <c r="D223" i="15"/>
  <c r="E222" i="14"/>
  <c r="D238" i="14"/>
  <c r="E223" i="14"/>
  <c r="E207" i="14"/>
  <c r="G195" i="14"/>
  <c r="D207" i="13"/>
  <c r="E222" i="13" s="1"/>
  <c r="E207" i="13"/>
  <c r="G195" i="13"/>
  <c r="D238" i="13"/>
  <c r="E223" i="15" l="1"/>
  <c r="D238" i="15"/>
  <c r="E207" i="15"/>
  <c r="G195" i="15"/>
  <c r="E222" i="15"/>
  <c r="E238" i="14"/>
  <c r="F223" i="14"/>
  <c r="F221" i="14"/>
  <c r="F222" i="14"/>
  <c r="E237" i="14"/>
  <c r="F207" i="14"/>
  <c r="H195" i="14"/>
  <c r="E223" i="13"/>
  <c r="E238" i="13" s="1"/>
  <c r="E237" i="13"/>
  <c r="F222" i="13"/>
  <c r="F207" i="13"/>
  <c r="H195" i="13"/>
  <c r="F221" i="13"/>
  <c r="E237" i="15" l="1"/>
  <c r="F222" i="15"/>
  <c r="F221" i="15"/>
  <c r="F207" i="15"/>
  <c r="H195" i="15"/>
  <c r="F223" i="15"/>
  <c r="E238" i="15"/>
  <c r="G220" i="14"/>
  <c r="F237" i="14"/>
  <c r="G222" i="14"/>
  <c r="G221" i="14"/>
  <c r="F236" i="14"/>
  <c r="G223" i="14"/>
  <c r="F238" i="14"/>
  <c r="G207" i="14"/>
  <c r="I195" i="14"/>
  <c r="F223" i="13"/>
  <c r="F238" i="13" s="1"/>
  <c r="F236" i="13"/>
  <c r="G221" i="13"/>
  <c r="G207" i="13"/>
  <c r="I195" i="13"/>
  <c r="G220" i="13"/>
  <c r="F237" i="13"/>
  <c r="G222" i="13"/>
  <c r="G207" i="15" l="1"/>
  <c r="I195" i="15"/>
  <c r="G220" i="15"/>
  <c r="F237" i="15"/>
  <c r="G222" i="15"/>
  <c r="F238" i="15"/>
  <c r="G223" i="15"/>
  <c r="G221" i="15"/>
  <c r="F236" i="15"/>
  <c r="G223" i="13"/>
  <c r="G238" i="13" s="1"/>
  <c r="H207" i="14"/>
  <c r="J195" i="14"/>
  <c r="G238" i="14"/>
  <c r="H223" i="14"/>
  <c r="G236" i="14"/>
  <c r="H221" i="14"/>
  <c r="G235" i="14"/>
  <c r="H220" i="14"/>
  <c r="H219" i="14"/>
  <c r="G237" i="14"/>
  <c r="H222" i="14"/>
  <c r="G236" i="13"/>
  <c r="H221" i="13"/>
  <c r="G237" i="13"/>
  <c r="H222" i="13"/>
  <c r="H219" i="13"/>
  <c r="H220" i="13"/>
  <c r="G235" i="13"/>
  <c r="H207" i="13"/>
  <c r="J195" i="13"/>
  <c r="H223" i="13" l="1"/>
  <c r="G238" i="15"/>
  <c r="H223" i="15"/>
  <c r="H207" i="15"/>
  <c r="J195" i="15"/>
  <c r="G235" i="15"/>
  <c r="H220" i="15"/>
  <c r="H219" i="15"/>
  <c r="G236" i="15"/>
  <c r="H221" i="15"/>
  <c r="G237" i="15"/>
  <c r="H222" i="15"/>
  <c r="I220" i="14"/>
  <c r="H235" i="14"/>
  <c r="I221" i="14"/>
  <c r="H236" i="14"/>
  <c r="H238" i="14"/>
  <c r="I223" i="14"/>
  <c r="H237" i="14"/>
  <c r="I222" i="14"/>
  <c r="I207" i="14"/>
  <c r="K195" i="14"/>
  <c r="I218" i="14"/>
  <c r="I219" i="14"/>
  <c r="H234" i="14"/>
  <c r="H237" i="13"/>
  <c r="I222" i="13"/>
  <c r="I219" i="13"/>
  <c r="H234" i="13"/>
  <c r="H236" i="13"/>
  <c r="I221" i="13"/>
  <c r="H235" i="13"/>
  <c r="I220" i="13"/>
  <c r="H238" i="13"/>
  <c r="I223" i="13"/>
  <c r="I207" i="13"/>
  <c r="K195" i="13"/>
  <c r="I218" i="13"/>
  <c r="I219" i="15" l="1"/>
  <c r="H234" i="15"/>
  <c r="I218" i="15"/>
  <c r="H238" i="15"/>
  <c r="I223" i="15"/>
  <c r="I221" i="15"/>
  <c r="H236" i="15"/>
  <c r="H237" i="15"/>
  <c r="I222" i="15"/>
  <c r="H235" i="15"/>
  <c r="I220" i="15"/>
  <c r="I207" i="15"/>
  <c r="K195" i="15"/>
  <c r="J217" i="14"/>
  <c r="I238" i="14"/>
  <c r="J223" i="14"/>
  <c r="I237" i="14"/>
  <c r="J222" i="14"/>
  <c r="J221" i="14"/>
  <c r="I236" i="14"/>
  <c r="J219" i="14"/>
  <c r="I234" i="14"/>
  <c r="J218" i="14"/>
  <c r="I233" i="14"/>
  <c r="J220" i="14"/>
  <c r="I235" i="14"/>
  <c r="J207" i="14"/>
  <c r="K216" i="14" s="1"/>
  <c r="L195" i="14"/>
  <c r="I238" i="13"/>
  <c r="J223" i="13"/>
  <c r="J217" i="13"/>
  <c r="J220" i="13"/>
  <c r="I235" i="13"/>
  <c r="J221" i="13"/>
  <c r="I236" i="13"/>
  <c r="I234" i="13"/>
  <c r="J219" i="13"/>
  <c r="J218" i="13"/>
  <c r="I233" i="13"/>
  <c r="I237" i="13"/>
  <c r="J222" i="13"/>
  <c r="J207" i="13"/>
  <c r="K216" i="13" s="1"/>
  <c r="L195" i="13"/>
  <c r="I237" i="15" l="1"/>
  <c r="J222" i="15"/>
  <c r="I236" i="15"/>
  <c r="J221" i="15"/>
  <c r="I238" i="15"/>
  <c r="J223" i="15"/>
  <c r="J217" i="15"/>
  <c r="I235" i="15"/>
  <c r="J220" i="15"/>
  <c r="J219" i="15"/>
  <c r="I234" i="15"/>
  <c r="I233" i="15"/>
  <c r="J218" i="15"/>
  <c r="J207" i="15"/>
  <c r="K216" i="15" s="1"/>
  <c r="L195" i="15"/>
  <c r="J234" i="14"/>
  <c r="K219" i="14"/>
  <c r="K222" i="14"/>
  <c r="J237" i="14"/>
  <c r="K231" i="14"/>
  <c r="J238" i="14"/>
  <c r="K223" i="14"/>
  <c r="J235" i="14"/>
  <c r="K220" i="14"/>
  <c r="J232" i="14"/>
  <c r="K217" i="14"/>
  <c r="K218" i="14"/>
  <c r="J233" i="14"/>
  <c r="J236" i="14"/>
  <c r="K221" i="14"/>
  <c r="L214" i="14"/>
  <c r="K207" i="14"/>
  <c r="K207" i="13"/>
  <c r="L216" i="13" s="1"/>
  <c r="L231" i="13" s="1"/>
  <c r="L214" i="13"/>
  <c r="K220" i="13"/>
  <c r="J235" i="13"/>
  <c r="K218" i="13"/>
  <c r="J233" i="13"/>
  <c r="J236" i="13"/>
  <c r="K221" i="13"/>
  <c r="K231" i="13"/>
  <c r="J237" i="13"/>
  <c r="K222" i="13"/>
  <c r="J232" i="13"/>
  <c r="K217" i="13"/>
  <c r="K223" i="13"/>
  <c r="J238" i="13"/>
  <c r="J234" i="13"/>
  <c r="K219" i="13"/>
  <c r="L223" i="14" l="1"/>
  <c r="L238" i="14" s="1"/>
  <c r="L222" i="14"/>
  <c r="L237" i="14" s="1"/>
  <c r="K207" i="15"/>
  <c r="L216" i="15" s="1"/>
  <c r="L231" i="15" s="1"/>
  <c r="L214" i="15"/>
  <c r="J232" i="15"/>
  <c r="K217" i="15"/>
  <c r="K231" i="15"/>
  <c r="J236" i="15"/>
  <c r="K221" i="15"/>
  <c r="J234" i="15"/>
  <c r="K219" i="15"/>
  <c r="J238" i="15"/>
  <c r="K223" i="15"/>
  <c r="K218" i="15"/>
  <c r="J233" i="15"/>
  <c r="J237" i="15"/>
  <c r="K222" i="15"/>
  <c r="J235" i="15"/>
  <c r="K220" i="15"/>
  <c r="L220" i="14"/>
  <c r="L235" i="14" s="1"/>
  <c r="K235" i="14"/>
  <c r="K238" i="14"/>
  <c r="K208" i="14"/>
  <c r="J208" i="14" s="1"/>
  <c r="I208" i="14" s="1"/>
  <c r="H208" i="14" s="1"/>
  <c r="G208" i="14" s="1"/>
  <c r="F208" i="14" s="1"/>
  <c r="E208" i="14" s="1"/>
  <c r="D208" i="14" s="1"/>
  <c r="C208" i="14" s="1"/>
  <c r="L215" i="14"/>
  <c r="L216" i="14"/>
  <c r="L231" i="14" s="1"/>
  <c r="N231" i="14" s="1"/>
  <c r="K236" i="14"/>
  <c r="L221" i="14"/>
  <c r="L236" i="14" s="1"/>
  <c r="K237" i="14"/>
  <c r="L218" i="14"/>
  <c r="L233" i="14" s="1"/>
  <c r="K233" i="14"/>
  <c r="K234" i="14"/>
  <c r="L219" i="14"/>
  <c r="L234" i="14" s="1"/>
  <c r="K232" i="14"/>
  <c r="L217" i="14"/>
  <c r="L232" i="14" s="1"/>
  <c r="N231" i="13"/>
  <c r="D260" i="13" s="1"/>
  <c r="L221" i="13"/>
  <c r="L236" i="13" s="1"/>
  <c r="K236" i="13"/>
  <c r="L218" i="13"/>
  <c r="L233" i="13" s="1"/>
  <c r="K233" i="13"/>
  <c r="L223" i="13"/>
  <c r="L238" i="13" s="1"/>
  <c r="K238" i="13"/>
  <c r="L220" i="13"/>
  <c r="L235" i="13" s="1"/>
  <c r="K235" i="13"/>
  <c r="K234" i="13"/>
  <c r="L219" i="13"/>
  <c r="L234" i="13" s="1"/>
  <c r="K232" i="13"/>
  <c r="L217" i="13"/>
  <c r="L232" i="13" s="1"/>
  <c r="K208" i="13"/>
  <c r="J208" i="13" s="1"/>
  <c r="I208" i="13" s="1"/>
  <c r="H208" i="13" s="1"/>
  <c r="G208" i="13" s="1"/>
  <c r="F208" i="13" s="1"/>
  <c r="E208" i="13" s="1"/>
  <c r="D208" i="13" s="1"/>
  <c r="C208" i="13" s="1"/>
  <c r="L215" i="13"/>
  <c r="L230" i="13" s="1"/>
  <c r="N230" i="13" s="1"/>
  <c r="K237" i="13"/>
  <c r="L222" i="13"/>
  <c r="L237" i="13" s="1"/>
  <c r="N233" i="14" l="1"/>
  <c r="F260" i="14" s="1"/>
  <c r="N231" i="15"/>
  <c r="D260" i="15" s="1"/>
  <c r="D260" i="14"/>
  <c r="L230" i="14"/>
  <c r="N230" i="14" s="1"/>
  <c r="N232" i="14"/>
  <c r="E260" i="14" s="1"/>
  <c r="N236" i="14"/>
  <c r="I260" i="14" s="1"/>
  <c r="K236" i="15"/>
  <c r="L221" i="15"/>
  <c r="L236" i="15" s="1"/>
  <c r="L220" i="15"/>
  <c r="L235" i="15" s="1"/>
  <c r="K235" i="15"/>
  <c r="K237" i="15"/>
  <c r="L222" i="15"/>
  <c r="L237" i="15" s="1"/>
  <c r="K232" i="15"/>
  <c r="L217" i="15"/>
  <c r="L232" i="15" s="1"/>
  <c r="K234" i="15"/>
  <c r="L219" i="15"/>
  <c r="L234" i="15" s="1"/>
  <c r="L218" i="15"/>
  <c r="L233" i="15" s="1"/>
  <c r="K233" i="15"/>
  <c r="L223" i="15"/>
  <c r="L238" i="15" s="1"/>
  <c r="K238" i="15"/>
  <c r="N234" i="14"/>
  <c r="G260" i="14" s="1"/>
  <c r="K208" i="15"/>
  <c r="J208" i="15" s="1"/>
  <c r="I208" i="15" s="1"/>
  <c r="H208" i="15" s="1"/>
  <c r="G208" i="15" s="1"/>
  <c r="F208" i="15" s="1"/>
  <c r="E208" i="15" s="1"/>
  <c r="D208" i="15" s="1"/>
  <c r="C208" i="15" s="1"/>
  <c r="L215" i="15"/>
  <c r="L230" i="15" s="1"/>
  <c r="N230" i="15" s="1"/>
  <c r="N237" i="13"/>
  <c r="J260" i="13" s="1"/>
  <c r="N235" i="14"/>
  <c r="H260" i="14" s="1"/>
  <c r="N238" i="14"/>
  <c r="K260" i="14" s="1"/>
  <c r="N237" i="14"/>
  <c r="J260" i="14" s="1"/>
  <c r="N232" i="13"/>
  <c r="E260" i="13" s="1"/>
  <c r="N233" i="13"/>
  <c r="F260" i="13" s="1"/>
  <c r="N238" i="13"/>
  <c r="K260" i="13" s="1"/>
  <c r="N234" i="13"/>
  <c r="G260" i="13" s="1"/>
  <c r="N236" i="13"/>
  <c r="I260" i="13" s="1"/>
  <c r="N235" i="13"/>
  <c r="H260" i="13" s="1"/>
  <c r="C260" i="13"/>
  <c r="N237" i="15" l="1"/>
  <c r="J260" i="15" s="1"/>
  <c r="C260" i="14"/>
  <c r="N235" i="15"/>
  <c r="H260" i="15" s="1"/>
  <c r="N236" i="15"/>
  <c r="I260" i="15" s="1"/>
  <c r="N232" i="15"/>
  <c r="N234" i="15"/>
  <c r="G260" i="15" s="1"/>
  <c r="C260" i="15"/>
  <c r="N238" i="15"/>
  <c r="K260" i="15" s="1"/>
  <c r="N233" i="15"/>
  <c r="F260" i="15" s="1"/>
  <c r="N240" i="14"/>
  <c r="L260" i="14" s="1"/>
  <c r="N240" i="13"/>
  <c r="L260" i="13" s="1"/>
  <c r="R238" i="15" l="1" a="1"/>
  <c r="R238" i="15" s="1"/>
  <c r="E260" i="15"/>
  <c r="AK358" i="14"/>
  <c r="AJ358" i="14"/>
  <c r="AI358" i="14"/>
  <c r="AH358" i="14"/>
  <c r="AG358" i="14"/>
  <c r="AL358" i="14"/>
  <c r="AF358" i="14"/>
  <c r="AE358" i="14"/>
  <c r="AL319" i="14"/>
  <c r="AK319" i="14"/>
  <c r="AI319" i="14"/>
  <c r="AH319" i="14"/>
  <c r="AF319" i="14"/>
  <c r="AJ319" i="14"/>
  <c r="AG319" i="14"/>
  <c r="AE319" i="14"/>
  <c r="AK274" i="14"/>
  <c r="AJ274" i="14"/>
  <c r="AI274" i="14"/>
  <c r="AH274" i="14"/>
  <c r="AE274" i="14"/>
  <c r="AL274" i="14"/>
  <c r="AG274" i="14"/>
  <c r="AF274" i="14"/>
  <c r="AE313" i="14"/>
  <c r="AI313" i="14"/>
  <c r="AL313" i="14"/>
  <c r="AK313" i="14"/>
  <c r="AG313" i="14"/>
  <c r="AF313" i="14"/>
  <c r="AJ313" i="14"/>
  <c r="AH313" i="14"/>
  <c r="AH280" i="14"/>
  <c r="AJ280" i="14"/>
  <c r="AI280" i="14"/>
  <c r="AG280" i="14"/>
  <c r="AF280" i="14"/>
  <c r="AL280" i="14"/>
  <c r="AK280" i="14"/>
  <c r="AE280" i="14"/>
  <c r="AI281" i="14"/>
  <c r="AL281" i="14"/>
  <c r="AK281" i="14"/>
  <c r="AJ281" i="14"/>
  <c r="AH281" i="14"/>
  <c r="AG281" i="14"/>
  <c r="AF281" i="14"/>
  <c r="AE281" i="14"/>
  <c r="AL311" i="14"/>
  <c r="AK311" i="14"/>
  <c r="AJ311" i="14"/>
  <c r="AI311" i="14"/>
  <c r="AH311" i="14"/>
  <c r="AG311" i="14"/>
  <c r="AF311" i="14"/>
  <c r="AE311" i="14"/>
  <c r="AG356" i="14"/>
  <c r="AF356" i="14"/>
  <c r="AE356" i="14"/>
  <c r="AJ356" i="14"/>
  <c r="AI356" i="14"/>
  <c r="AH356" i="14"/>
  <c r="AK356" i="14"/>
  <c r="AL356" i="14"/>
  <c r="AG315" i="14"/>
  <c r="AE315" i="14"/>
  <c r="AL315" i="14"/>
  <c r="AK315" i="14"/>
  <c r="AJ315" i="14"/>
  <c r="AH315" i="14"/>
  <c r="AF315" i="14"/>
  <c r="AI315" i="14"/>
  <c r="AK352" i="14"/>
  <c r="AJ352" i="14"/>
  <c r="AI352" i="14"/>
  <c r="AH352" i="14"/>
  <c r="AG352" i="14"/>
  <c r="AF352" i="14"/>
  <c r="AE352" i="14"/>
  <c r="AL352" i="14"/>
  <c r="AI272" i="14"/>
  <c r="AH272" i="14"/>
  <c r="AG272" i="14"/>
  <c r="AF272" i="14"/>
  <c r="AE272" i="14"/>
  <c r="AL272" i="14"/>
  <c r="AK272" i="14"/>
  <c r="AJ272" i="14"/>
  <c r="AL329" i="14"/>
  <c r="AK329" i="14"/>
  <c r="AJ329" i="14"/>
  <c r="AI329" i="14"/>
  <c r="AE329" i="14"/>
  <c r="AH329" i="14"/>
  <c r="AG329" i="14"/>
  <c r="AF329" i="14"/>
  <c r="AJ300" i="14"/>
  <c r="AI300" i="14"/>
  <c r="AH300" i="14"/>
  <c r="AG300" i="14"/>
  <c r="AL300" i="14"/>
  <c r="AK300" i="14"/>
  <c r="AF300" i="14"/>
  <c r="AE300" i="14"/>
  <c r="AL347" i="14"/>
  <c r="AK347" i="14"/>
  <c r="AJ347" i="14"/>
  <c r="AI347" i="14"/>
  <c r="AH347" i="14"/>
  <c r="AG347" i="14"/>
  <c r="AF347" i="14"/>
  <c r="AE347" i="14"/>
  <c r="AG291" i="14"/>
  <c r="AE291" i="14"/>
  <c r="AK291" i="14"/>
  <c r="AJ291" i="14"/>
  <c r="AI291" i="14"/>
  <c r="AH291" i="14"/>
  <c r="AF291" i="14"/>
  <c r="AL291" i="14"/>
  <c r="AG279" i="14"/>
  <c r="AH279" i="14"/>
  <c r="AF279" i="14"/>
  <c r="AE279" i="14"/>
  <c r="AL279" i="14"/>
  <c r="AJ279" i="14"/>
  <c r="AI279" i="14"/>
  <c r="AK279" i="14"/>
  <c r="AI345" i="14"/>
  <c r="AH345" i="14"/>
  <c r="AG345" i="14"/>
  <c r="AF345" i="14"/>
  <c r="AE345" i="14"/>
  <c r="AK345" i="14"/>
  <c r="AJ345" i="14"/>
  <c r="AL345" i="14"/>
  <c r="AG332" i="14"/>
  <c r="AF332" i="14"/>
  <c r="AE332" i="14"/>
  <c r="AL332" i="14"/>
  <c r="AK332" i="14"/>
  <c r="AJ332" i="14"/>
  <c r="AI332" i="14"/>
  <c r="AH332" i="14"/>
  <c r="AE349" i="14"/>
  <c r="AJ349" i="14"/>
  <c r="AF349" i="14"/>
  <c r="AI349" i="14"/>
  <c r="AH349" i="14"/>
  <c r="AG349" i="14"/>
  <c r="AL349" i="14"/>
  <c r="AK349" i="14"/>
  <c r="AE277" i="14"/>
  <c r="AH277" i="14"/>
  <c r="AL277" i="14"/>
  <c r="AK277" i="14"/>
  <c r="AJ277" i="14"/>
  <c r="AI277" i="14"/>
  <c r="AG277" i="14"/>
  <c r="AF277" i="14"/>
  <c r="AJ294" i="14"/>
  <c r="AH294" i="14"/>
  <c r="AF294" i="14"/>
  <c r="AE294" i="14"/>
  <c r="AL294" i="14"/>
  <c r="AK294" i="14"/>
  <c r="AI294" i="14"/>
  <c r="AG294" i="14"/>
  <c r="AL336" i="14"/>
  <c r="AK336" i="14"/>
  <c r="AJ336" i="14"/>
  <c r="AE336" i="14"/>
  <c r="AI336" i="14"/>
  <c r="AH336" i="14"/>
  <c r="AG336" i="14"/>
  <c r="AF336" i="14"/>
  <c r="AL321" i="14"/>
  <c r="AK321" i="14"/>
  <c r="AJ321" i="14"/>
  <c r="AI321" i="14"/>
  <c r="AH321" i="14"/>
  <c r="AG321" i="14"/>
  <c r="AF321" i="14"/>
  <c r="AE321" i="14"/>
  <c r="AL296" i="14"/>
  <c r="AJ296" i="14"/>
  <c r="AK296" i="14"/>
  <c r="AI296" i="14"/>
  <c r="AF296" i="14"/>
  <c r="AH296" i="14"/>
  <c r="AG296" i="14"/>
  <c r="AE296" i="14"/>
  <c r="AF290" i="14"/>
  <c r="AH290" i="14"/>
  <c r="AG290" i="14"/>
  <c r="AE290" i="14"/>
  <c r="AL290" i="14"/>
  <c r="AK290" i="14"/>
  <c r="AJ290" i="14"/>
  <c r="AI290" i="14"/>
  <c r="AH316" i="14"/>
  <c r="AF316" i="14"/>
  <c r="AE316" i="14"/>
  <c r="AI316" i="14"/>
  <c r="AG316" i="14"/>
  <c r="AL316" i="14"/>
  <c r="AK316" i="14"/>
  <c r="AJ316" i="14"/>
  <c r="AL312" i="14"/>
  <c r="AK312" i="14"/>
  <c r="AF312" i="14"/>
  <c r="AE312" i="14"/>
  <c r="AJ312" i="14"/>
  <c r="AI312" i="14"/>
  <c r="AH312" i="14"/>
  <c r="AG312" i="14"/>
  <c r="AH304" i="14"/>
  <c r="AF304" i="14"/>
  <c r="AE304" i="14"/>
  <c r="AK304" i="14"/>
  <c r="AJ304" i="14"/>
  <c r="AI304" i="14"/>
  <c r="AG304" i="14"/>
  <c r="AL304" i="14"/>
  <c r="AK283" i="14"/>
  <c r="AG283" i="14"/>
  <c r="AJ283" i="14"/>
  <c r="AI283" i="14"/>
  <c r="AF283" i="14"/>
  <c r="AL283" i="14"/>
  <c r="AH283" i="14"/>
  <c r="AE283" i="14"/>
  <c r="AK297" i="14"/>
  <c r="AG297" i="14"/>
  <c r="AE297" i="14"/>
  <c r="AL297" i="14"/>
  <c r="AJ297" i="14"/>
  <c r="AF297" i="14"/>
  <c r="AI297" i="14"/>
  <c r="AH297" i="14"/>
  <c r="AL287" i="14"/>
  <c r="AK287" i="14"/>
  <c r="AJ287" i="14"/>
  <c r="AI287" i="14"/>
  <c r="AG287" i="14"/>
  <c r="AH287" i="14"/>
  <c r="AF287" i="14"/>
  <c r="AE287" i="14"/>
  <c r="AI305" i="14"/>
  <c r="AG305" i="14"/>
  <c r="AF305" i="14"/>
  <c r="AL305" i="14"/>
  <c r="AH305" i="14"/>
  <c r="AE305" i="14"/>
  <c r="AK305" i="14"/>
  <c r="AJ305" i="14"/>
  <c r="AK334" i="14"/>
  <c r="AJ334" i="14"/>
  <c r="AI334" i="14"/>
  <c r="AH334" i="14"/>
  <c r="AG334" i="14"/>
  <c r="AL334" i="14"/>
  <c r="AF334" i="14"/>
  <c r="AE334" i="14"/>
  <c r="AG326" i="14"/>
  <c r="AF326" i="14"/>
  <c r="AE326" i="14"/>
  <c r="AL326" i="14"/>
  <c r="AK326" i="14"/>
  <c r="AJ326" i="14"/>
  <c r="AI326" i="14"/>
  <c r="AH326" i="14"/>
  <c r="AE343" i="14"/>
  <c r="AI343" i="14"/>
  <c r="AH343" i="14"/>
  <c r="AG343" i="14"/>
  <c r="AF343" i="14"/>
  <c r="AL343" i="14"/>
  <c r="AK343" i="14"/>
  <c r="AJ343" i="14"/>
  <c r="AH271" i="14"/>
  <c r="AG271" i="14"/>
  <c r="AF271" i="14"/>
  <c r="AE271" i="14"/>
  <c r="AL271" i="14"/>
  <c r="AI271" i="14"/>
  <c r="AK271" i="14"/>
  <c r="AJ271" i="14"/>
  <c r="AL288" i="14"/>
  <c r="AK288" i="14"/>
  <c r="AF288" i="14"/>
  <c r="AI288" i="14"/>
  <c r="AH288" i="14"/>
  <c r="AG288" i="14"/>
  <c r="AE288" i="14"/>
  <c r="AJ288" i="14"/>
  <c r="AL275" i="14"/>
  <c r="AK275" i="14"/>
  <c r="AJ275" i="14"/>
  <c r="AI275" i="14"/>
  <c r="AH275" i="14"/>
  <c r="AG275" i="14"/>
  <c r="AF275" i="14"/>
  <c r="AE275" i="14"/>
  <c r="AF302" i="14"/>
  <c r="AH302" i="14"/>
  <c r="AL302" i="14"/>
  <c r="AE302" i="14"/>
  <c r="AK302" i="14"/>
  <c r="AJ302" i="14"/>
  <c r="AI302" i="14"/>
  <c r="AG302" i="14"/>
  <c r="AH292" i="14"/>
  <c r="AF292" i="14"/>
  <c r="AL292" i="14"/>
  <c r="AK292" i="14"/>
  <c r="AJ292" i="14"/>
  <c r="AI292" i="14"/>
  <c r="AG292" i="14"/>
  <c r="AE292" i="14"/>
  <c r="AL330" i="14"/>
  <c r="AK330" i="14"/>
  <c r="AJ330" i="14"/>
  <c r="AI330" i="14"/>
  <c r="AH330" i="14"/>
  <c r="AG330" i="14"/>
  <c r="AF330" i="14"/>
  <c r="AE330" i="14"/>
  <c r="AL310" i="14"/>
  <c r="AK310" i="14"/>
  <c r="AG310" i="14"/>
  <c r="AF310" i="14"/>
  <c r="AE310" i="14"/>
  <c r="AJ310" i="14"/>
  <c r="AI310" i="14"/>
  <c r="AH310" i="14"/>
  <c r="AE324" i="14"/>
  <c r="AL324" i="14"/>
  <c r="AK324" i="14"/>
  <c r="AF324" i="14"/>
  <c r="AH324" i="14"/>
  <c r="AG324" i="14"/>
  <c r="AJ324" i="14"/>
  <c r="AI324" i="14"/>
  <c r="AJ318" i="14"/>
  <c r="AH318" i="14"/>
  <c r="AG318" i="14"/>
  <c r="AL318" i="14"/>
  <c r="AK318" i="14"/>
  <c r="AI318" i="14"/>
  <c r="AF318" i="14"/>
  <c r="AE318" i="14"/>
  <c r="AI333" i="14"/>
  <c r="AH333" i="14"/>
  <c r="AG333" i="14"/>
  <c r="AF333" i="14"/>
  <c r="AE333" i="14"/>
  <c r="AL333" i="14"/>
  <c r="AK333" i="14"/>
  <c r="AJ333" i="14"/>
  <c r="AF278" i="14"/>
  <c r="AE278" i="14"/>
  <c r="AJ278" i="14"/>
  <c r="AK278" i="14"/>
  <c r="AI278" i="14"/>
  <c r="AH278" i="14"/>
  <c r="AG278" i="14"/>
  <c r="AL278" i="14"/>
  <c r="AK340" i="14"/>
  <c r="AJ340" i="14"/>
  <c r="AI340" i="14"/>
  <c r="AH340" i="14"/>
  <c r="AG340" i="14"/>
  <c r="AL340" i="14"/>
  <c r="AF340" i="14"/>
  <c r="AE340" i="14"/>
  <c r="AJ306" i="14"/>
  <c r="AH306" i="14"/>
  <c r="AG306" i="14"/>
  <c r="AK306" i="14"/>
  <c r="AI306" i="14"/>
  <c r="AF306" i="14"/>
  <c r="AE306" i="14"/>
  <c r="AL306" i="14"/>
  <c r="AK328" i="14"/>
  <c r="AJ328" i="14"/>
  <c r="AI328" i="14"/>
  <c r="AH328" i="14"/>
  <c r="AG328" i="14"/>
  <c r="AL328" i="14"/>
  <c r="AF328" i="14"/>
  <c r="AE328" i="14"/>
  <c r="AE355" i="14"/>
  <c r="AK355" i="14"/>
  <c r="AG355" i="14"/>
  <c r="AJ355" i="14"/>
  <c r="AI355" i="14"/>
  <c r="AH355" i="14"/>
  <c r="AL355" i="14"/>
  <c r="AF355" i="14"/>
  <c r="AI317" i="14"/>
  <c r="AG317" i="14"/>
  <c r="AF317" i="14"/>
  <c r="AH317" i="14"/>
  <c r="AE317" i="14"/>
  <c r="AL317" i="14"/>
  <c r="AK317" i="14"/>
  <c r="AJ317" i="14"/>
  <c r="AK309" i="14"/>
  <c r="AJ309" i="14"/>
  <c r="AH309" i="14"/>
  <c r="AL309" i="14"/>
  <c r="AI309" i="14"/>
  <c r="AG309" i="14"/>
  <c r="AF309" i="14"/>
  <c r="AE309" i="14"/>
  <c r="AI357" i="14"/>
  <c r="AH357" i="14"/>
  <c r="AG357" i="14"/>
  <c r="AF357" i="14"/>
  <c r="AE357" i="14"/>
  <c r="AL357" i="14"/>
  <c r="AK357" i="14"/>
  <c r="AJ357" i="14"/>
  <c r="AL323" i="14"/>
  <c r="AI323" i="14"/>
  <c r="AH323" i="14"/>
  <c r="AG323" i="14"/>
  <c r="AF323" i="14"/>
  <c r="AJ323" i="14"/>
  <c r="AE323" i="14"/>
  <c r="AK323" i="14"/>
  <c r="AL320" i="14"/>
  <c r="AJ320" i="14"/>
  <c r="AI320" i="14"/>
  <c r="AG320" i="14"/>
  <c r="AF320" i="14"/>
  <c r="AE320" i="14"/>
  <c r="AK320" i="14"/>
  <c r="AH320" i="14"/>
  <c r="AE337" i="14"/>
  <c r="AH337" i="14"/>
  <c r="AG337" i="14"/>
  <c r="AF337" i="14"/>
  <c r="AL337" i="14"/>
  <c r="AK337" i="14"/>
  <c r="AJ337" i="14"/>
  <c r="AI337" i="14"/>
  <c r="AL354" i="14"/>
  <c r="AK354" i="14"/>
  <c r="AH354" i="14"/>
  <c r="AG354" i="14"/>
  <c r="AJ354" i="14"/>
  <c r="AI354" i="14"/>
  <c r="AF354" i="14"/>
  <c r="AE354" i="14"/>
  <c r="AJ282" i="14"/>
  <c r="AL282" i="14"/>
  <c r="AK282" i="14"/>
  <c r="AE282" i="14"/>
  <c r="AI282" i="14"/>
  <c r="AH282" i="14"/>
  <c r="AG282" i="14"/>
  <c r="AF282" i="14"/>
  <c r="AK285" i="14"/>
  <c r="AG285" i="14"/>
  <c r="AF285" i="14"/>
  <c r="AE285" i="14"/>
  <c r="AL285" i="14"/>
  <c r="AH285" i="14"/>
  <c r="AJ285" i="14"/>
  <c r="AI285" i="14"/>
  <c r="AL341" i="14"/>
  <c r="AK341" i="14"/>
  <c r="AJ341" i="14"/>
  <c r="AI341" i="14"/>
  <c r="AG341" i="14"/>
  <c r="AF341" i="14"/>
  <c r="AE341" i="14"/>
  <c r="AH341" i="14"/>
  <c r="AI327" i="14"/>
  <c r="AH327" i="14"/>
  <c r="AG327" i="14"/>
  <c r="AF327" i="14"/>
  <c r="AE327" i="14"/>
  <c r="AL327" i="14"/>
  <c r="AK327" i="14"/>
  <c r="AJ327" i="14"/>
  <c r="AL284" i="14"/>
  <c r="AE284" i="14"/>
  <c r="AI284" i="14"/>
  <c r="AH284" i="14"/>
  <c r="AG284" i="14"/>
  <c r="AF284" i="14"/>
  <c r="AK284" i="14"/>
  <c r="AJ284" i="14"/>
  <c r="AG350" i="14"/>
  <c r="AF350" i="14"/>
  <c r="AE350" i="14"/>
  <c r="AI350" i="14"/>
  <c r="AH350" i="14"/>
  <c r="AL350" i="14"/>
  <c r="AK350" i="14"/>
  <c r="AJ350" i="14"/>
  <c r="AG344" i="14"/>
  <c r="AF344" i="14"/>
  <c r="AE344" i="14"/>
  <c r="AL344" i="14"/>
  <c r="AH344" i="14"/>
  <c r="AK344" i="14"/>
  <c r="AJ344" i="14"/>
  <c r="AI344" i="14"/>
  <c r="AI293" i="14"/>
  <c r="AG293" i="14"/>
  <c r="AH293" i="14"/>
  <c r="AL293" i="14"/>
  <c r="AJ293" i="14"/>
  <c r="AK293" i="14"/>
  <c r="AF293" i="14"/>
  <c r="AE293" i="14"/>
  <c r="AI339" i="14"/>
  <c r="AH339" i="14"/>
  <c r="AG339" i="14"/>
  <c r="AF339" i="14"/>
  <c r="AE339" i="14"/>
  <c r="AJ339" i="14"/>
  <c r="AL339" i="14"/>
  <c r="AK339" i="14"/>
  <c r="AL322" i="14"/>
  <c r="AK322" i="14"/>
  <c r="AH322" i="14"/>
  <c r="AG322" i="14"/>
  <c r="AE322" i="14"/>
  <c r="AF322" i="14"/>
  <c r="AJ322" i="14"/>
  <c r="AI322" i="14"/>
  <c r="AK346" i="14"/>
  <c r="AJ346" i="14"/>
  <c r="AI346" i="14"/>
  <c r="AH346" i="14"/>
  <c r="AG346" i="14"/>
  <c r="AE346" i="14"/>
  <c r="AF346" i="14"/>
  <c r="AL346" i="14"/>
  <c r="AJ273" i="14"/>
  <c r="AI273" i="14"/>
  <c r="AH273" i="14"/>
  <c r="AG273" i="14"/>
  <c r="AL273" i="14"/>
  <c r="AF273" i="14"/>
  <c r="AK273" i="14"/>
  <c r="AE273" i="14"/>
  <c r="AF314" i="14"/>
  <c r="AI314" i="14"/>
  <c r="AH314" i="14"/>
  <c r="AG314" i="14"/>
  <c r="AE314" i="14"/>
  <c r="AL314" i="14"/>
  <c r="AK314" i="14"/>
  <c r="AJ314" i="14"/>
  <c r="AE331" i="14"/>
  <c r="AG331" i="14"/>
  <c r="AF331" i="14"/>
  <c r="AK331" i="14"/>
  <c r="AJ331" i="14"/>
  <c r="AI331" i="14"/>
  <c r="AH331" i="14"/>
  <c r="AL331" i="14"/>
  <c r="AL348" i="14"/>
  <c r="AK348" i="14"/>
  <c r="AG348" i="14"/>
  <c r="AF348" i="14"/>
  <c r="AH348" i="14"/>
  <c r="AI348" i="14"/>
  <c r="AE348" i="14"/>
  <c r="AJ348" i="14"/>
  <c r="AL276" i="14"/>
  <c r="AK276" i="14"/>
  <c r="AF276" i="14"/>
  <c r="AJ276" i="14"/>
  <c r="AI276" i="14"/>
  <c r="AH276" i="14"/>
  <c r="AG276" i="14"/>
  <c r="AE276" i="14"/>
  <c r="AG303" i="14"/>
  <c r="AE303" i="14"/>
  <c r="AF303" i="14"/>
  <c r="AK303" i="14"/>
  <c r="AL303" i="14"/>
  <c r="AH303" i="14"/>
  <c r="AI303" i="14"/>
  <c r="AJ303" i="14"/>
  <c r="AK307" i="14"/>
  <c r="AI307" i="14"/>
  <c r="AH307" i="14"/>
  <c r="AJ307" i="14"/>
  <c r="AG307" i="14"/>
  <c r="AF307" i="14"/>
  <c r="AE307" i="14"/>
  <c r="AL307" i="14"/>
  <c r="AH299" i="14"/>
  <c r="AG299" i="14"/>
  <c r="AF299" i="14"/>
  <c r="AE299" i="14"/>
  <c r="AL299" i="14"/>
  <c r="AK299" i="14"/>
  <c r="AJ299" i="14"/>
  <c r="AI299" i="14"/>
  <c r="AE301" i="14"/>
  <c r="AL301" i="14"/>
  <c r="AK301" i="14"/>
  <c r="AJ301" i="14"/>
  <c r="AF301" i="14"/>
  <c r="AH301" i="14"/>
  <c r="AI301" i="14"/>
  <c r="AG301" i="14"/>
  <c r="AI351" i="14"/>
  <c r="AH351" i="14"/>
  <c r="AG351" i="14"/>
  <c r="AF351" i="14"/>
  <c r="AE351" i="14"/>
  <c r="AL351" i="14"/>
  <c r="AK351" i="14"/>
  <c r="AJ351" i="14"/>
  <c r="AK295" i="14"/>
  <c r="AI295" i="14"/>
  <c r="AJ295" i="14"/>
  <c r="AH295" i="14"/>
  <c r="AG295" i="14"/>
  <c r="AF295" i="14"/>
  <c r="AL295" i="14"/>
  <c r="AE295" i="14"/>
  <c r="AE289" i="14"/>
  <c r="AI289" i="14"/>
  <c r="AG289" i="14"/>
  <c r="AL289" i="14"/>
  <c r="AK289" i="14"/>
  <c r="AJ289" i="14"/>
  <c r="AH289" i="14"/>
  <c r="AF289" i="14"/>
  <c r="AG338" i="14"/>
  <c r="AF338" i="14"/>
  <c r="AE338" i="14"/>
  <c r="AL338" i="14"/>
  <c r="AJ338" i="14"/>
  <c r="AK338" i="14"/>
  <c r="AI338" i="14"/>
  <c r="AH338" i="14"/>
  <c r="AL286" i="14"/>
  <c r="AI286" i="14"/>
  <c r="AH286" i="14"/>
  <c r="AG286" i="14"/>
  <c r="AF286" i="14"/>
  <c r="AJ286" i="14"/>
  <c r="AE286" i="14"/>
  <c r="AK286" i="14"/>
  <c r="AL298" i="14"/>
  <c r="AE298" i="14"/>
  <c r="AI298" i="14"/>
  <c r="AK298" i="14"/>
  <c r="AJ298" i="14"/>
  <c r="AH298" i="14"/>
  <c r="AG298" i="14"/>
  <c r="AF298" i="14"/>
  <c r="AL335" i="14"/>
  <c r="AK335" i="14"/>
  <c r="AJ335" i="14"/>
  <c r="AI335" i="14"/>
  <c r="AF335" i="14"/>
  <c r="AE335" i="14"/>
  <c r="AG335" i="14"/>
  <c r="AH335" i="14"/>
  <c r="AL353" i="14"/>
  <c r="AK353" i="14"/>
  <c r="AJ353" i="14"/>
  <c r="AI353" i="14"/>
  <c r="AH353" i="14"/>
  <c r="AE353" i="14"/>
  <c r="AG353" i="14"/>
  <c r="AF353" i="14"/>
  <c r="AL308" i="14"/>
  <c r="AJ308" i="14"/>
  <c r="AI308" i="14"/>
  <c r="AK308" i="14"/>
  <c r="AF308" i="14"/>
  <c r="AH308" i="14"/>
  <c r="AG308" i="14"/>
  <c r="AE308" i="14"/>
  <c r="AF325" i="14"/>
  <c r="AE325" i="14"/>
  <c r="AG325" i="14"/>
  <c r="AK325" i="14"/>
  <c r="AL325" i="14"/>
  <c r="AJ325" i="14"/>
  <c r="AI325" i="14"/>
  <c r="AH325" i="14"/>
  <c r="AL342" i="14"/>
  <c r="AK342" i="14"/>
  <c r="AF342" i="14"/>
  <c r="AE342" i="14"/>
  <c r="AJ342" i="14"/>
  <c r="AI342" i="14"/>
  <c r="AH342" i="14"/>
  <c r="AG342" i="14"/>
  <c r="AF270" i="14"/>
  <c r="AE270" i="14"/>
  <c r="AJ270" i="14"/>
  <c r="AI270" i="14"/>
  <c r="AH270" i="14"/>
  <c r="AL270" i="14"/>
  <c r="AG270" i="14"/>
  <c r="AK270" i="14"/>
  <c r="AF269" i="14"/>
  <c r="AE269" i="14"/>
  <c r="AI269" i="14"/>
  <c r="AH269" i="14"/>
  <c r="AG269" i="14"/>
  <c r="AL269" i="14"/>
  <c r="AK269" i="14"/>
  <c r="AJ269" i="14"/>
  <c r="AJ265" i="14"/>
  <c r="AF265" i="14"/>
  <c r="AE265" i="14"/>
  <c r="AI265" i="14"/>
  <c r="AL265" i="14"/>
  <c r="AK265" i="14"/>
  <c r="AH265" i="14"/>
  <c r="AG265" i="14"/>
  <c r="AH264" i="14"/>
  <c r="AG264" i="14"/>
  <c r="AF264" i="14"/>
  <c r="AI264" i="14"/>
  <c r="AE264" i="14"/>
  <c r="AL264" i="14"/>
  <c r="AK264" i="14"/>
  <c r="AJ264" i="14"/>
  <c r="AL268" i="14"/>
  <c r="AG268" i="14"/>
  <c r="AE268" i="14"/>
  <c r="AK268" i="14"/>
  <c r="AJ268" i="14"/>
  <c r="AI268" i="14"/>
  <c r="AH268" i="14"/>
  <c r="AF268" i="14"/>
  <c r="AK262" i="14"/>
  <c r="AF262" i="14"/>
  <c r="AE262" i="14"/>
  <c r="AL262" i="14"/>
  <c r="AG262" i="14"/>
  <c r="AJ262" i="14"/>
  <c r="AI262" i="14"/>
  <c r="AH262" i="14"/>
  <c r="AI267" i="14"/>
  <c r="AL267" i="14"/>
  <c r="AJ267" i="14"/>
  <c r="AK267" i="14"/>
  <c r="AH267" i="14"/>
  <c r="AG267" i="14"/>
  <c r="AF267" i="14"/>
  <c r="AE267" i="14"/>
  <c r="AL266" i="14"/>
  <c r="AK266" i="14"/>
  <c r="AJ266" i="14"/>
  <c r="AG266" i="14"/>
  <c r="AI266" i="14"/>
  <c r="AH266" i="14"/>
  <c r="AF266" i="14"/>
  <c r="AE266" i="14"/>
  <c r="AF263" i="14"/>
  <c r="AE263" i="14"/>
  <c r="AI263" i="14"/>
  <c r="AH263" i="14"/>
  <c r="AL263" i="14"/>
  <c r="AK263" i="14"/>
  <c r="AJ263" i="14"/>
  <c r="AG263" i="14"/>
  <c r="AJ261" i="14"/>
  <c r="AI261" i="14"/>
  <c r="AL261" i="14"/>
  <c r="AE261" i="14"/>
  <c r="AK261" i="14"/>
  <c r="AH261" i="14"/>
  <c r="AG261" i="14"/>
  <c r="AF261" i="14"/>
  <c r="AL260" i="14"/>
  <c r="AK260" i="14"/>
  <c r="AJ260" i="14"/>
  <c r="AI260" i="14"/>
  <c r="AH260" i="14"/>
  <c r="AG260" i="14"/>
  <c r="AF260" i="14"/>
  <c r="AE260" i="14"/>
  <c r="AD260" i="14"/>
  <c r="AA260" i="14"/>
  <c r="AA259" i="14"/>
  <c r="AJ259" i="14"/>
  <c r="AL259" i="14"/>
  <c r="AK259" i="14"/>
  <c r="AI259" i="14"/>
  <c r="AH259" i="14"/>
  <c r="AG259" i="14"/>
  <c r="AF259" i="14"/>
  <c r="AE259" i="14"/>
  <c r="N240" i="15"/>
  <c r="L260" i="15" s="1"/>
  <c r="AL268" i="15" l="1"/>
  <c r="AK268" i="15"/>
  <c r="AJ268" i="15"/>
  <c r="AI268" i="15"/>
  <c r="AH268" i="15"/>
  <c r="AG268" i="15"/>
  <c r="AF268" i="15"/>
  <c r="AE268" i="15"/>
  <c r="AD268" i="15"/>
  <c r="AM268" i="15" s="1"/>
  <c r="AA268" i="15"/>
  <c r="AL259" i="15"/>
  <c r="AK259" i="15"/>
  <c r="AJ259" i="15"/>
  <c r="AI259" i="15"/>
  <c r="AH259" i="15"/>
  <c r="AG259" i="15"/>
  <c r="AF259" i="15"/>
  <c r="AE259" i="15"/>
  <c r="AD259" i="15"/>
  <c r="AA259" i="15"/>
  <c r="AD319" i="14"/>
  <c r="AM319" i="14" s="1"/>
  <c r="AA319" i="14"/>
  <c r="AD355" i="14"/>
  <c r="AM355" i="14" s="1"/>
  <c r="AA355" i="14"/>
  <c r="AD302" i="14"/>
  <c r="AM302" i="14" s="1"/>
  <c r="AA302" i="14"/>
  <c r="AA287" i="14"/>
  <c r="AD287" i="14"/>
  <c r="AM287" i="14" s="1"/>
  <c r="AD335" i="14"/>
  <c r="AM335" i="14" s="1"/>
  <c r="AA335" i="14"/>
  <c r="AD285" i="14"/>
  <c r="AM285" i="14" s="1"/>
  <c r="AA285" i="14"/>
  <c r="AA282" i="14"/>
  <c r="AD282" i="14"/>
  <c r="AM282" i="14" s="1"/>
  <c r="AD305" i="14"/>
  <c r="AM305" i="14" s="1"/>
  <c r="AA305" i="14"/>
  <c r="AD304" i="14"/>
  <c r="AM304" i="14" s="1"/>
  <c r="AA304" i="14"/>
  <c r="AA336" i="14"/>
  <c r="AD336" i="14"/>
  <c r="AM336" i="14" s="1"/>
  <c r="AA274" i="14"/>
  <c r="AD274" i="14"/>
  <c r="AM274" i="14" s="1"/>
  <c r="AD325" i="14"/>
  <c r="AM325" i="14" s="1"/>
  <c r="AA325" i="14"/>
  <c r="AD298" i="14"/>
  <c r="AM298" i="14" s="1"/>
  <c r="AA298" i="14"/>
  <c r="AA299" i="14"/>
  <c r="AD299" i="14"/>
  <c r="AM299" i="14" s="1"/>
  <c r="AD346" i="14"/>
  <c r="AM346" i="14" s="1"/>
  <c r="AA346" i="14"/>
  <c r="AA322" i="14"/>
  <c r="AD322" i="14"/>
  <c r="AM322" i="14" s="1"/>
  <c r="AD279" i="14"/>
  <c r="AM279" i="14" s="1"/>
  <c r="AA279" i="14"/>
  <c r="AD329" i="14"/>
  <c r="AM329" i="14" s="1"/>
  <c r="AA329" i="14"/>
  <c r="AD280" i="14"/>
  <c r="AM280" i="14" s="1"/>
  <c r="AA280" i="14"/>
  <c r="AD284" i="14"/>
  <c r="AM284" i="14" s="1"/>
  <c r="AA284" i="14"/>
  <c r="AD340" i="14"/>
  <c r="AM340" i="14" s="1"/>
  <c r="AA340" i="14"/>
  <c r="AA281" i="14"/>
  <c r="AD281" i="14"/>
  <c r="AM281" i="14" s="1"/>
  <c r="AD324" i="14"/>
  <c r="AM324" i="14" s="1"/>
  <c r="AA324" i="14"/>
  <c r="AD349" i="14"/>
  <c r="AM349" i="14" s="1"/>
  <c r="AA349" i="14"/>
  <c r="AA327" i="14"/>
  <c r="AD327" i="14"/>
  <c r="AM327" i="14" s="1"/>
  <c r="AD312" i="14"/>
  <c r="AM312" i="14" s="1"/>
  <c r="AA312" i="14"/>
  <c r="AD338" i="14"/>
  <c r="AM338" i="14" s="1"/>
  <c r="AA338" i="14"/>
  <c r="AD333" i="14"/>
  <c r="AM333" i="14" s="1"/>
  <c r="AA333" i="14"/>
  <c r="AD292" i="14"/>
  <c r="AM292" i="14" s="1"/>
  <c r="AA292" i="14"/>
  <c r="AD296" i="14"/>
  <c r="AM296" i="14" s="1"/>
  <c r="AA296" i="14"/>
  <c r="AD308" i="14"/>
  <c r="AM308" i="14" s="1"/>
  <c r="AA308" i="14"/>
  <c r="AD286" i="14"/>
  <c r="AM286" i="14" s="1"/>
  <c r="AA286" i="14"/>
  <c r="AA277" i="14"/>
  <c r="AD277" i="14"/>
  <c r="AM277" i="14" s="1"/>
  <c r="AD332" i="14"/>
  <c r="AM332" i="14" s="1"/>
  <c r="AA332" i="14"/>
  <c r="AD352" i="14"/>
  <c r="AM352" i="14" s="1"/>
  <c r="AA352" i="14"/>
  <c r="AA313" i="14"/>
  <c r="AD313" i="14"/>
  <c r="AM313" i="14" s="1"/>
  <c r="AA342" i="14"/>
  <c r="AD342" i="14"/>
  <c r="AM342" i="14" s="1"/>
  <c r="AA348" i="14"/>
  <c r="AD348" i="14"/>
  <c r="AM348" i="14" s="1"/>
  <c r="AD306" i="14"/>
  <c r="AM306" i="14" s="1"/>
  <c r="AA306" i="14"/>
  <c r="AD318" i="14"/>
  <c r="AM318" i="14" s="1"/>
  <c r="AA318" i="14"/>
  <c r="AD310" i="14"/>
  <c r="AM310" i="14" s="1"/>
  <c r="AA310" i="14"/>
  <c r="AD271" i="14"/>
  <c r="AM271" i="14" s="1"/>
  <c r="AA271" i="14"/>
  <c r="AA297" i="14"/>
  <c r="AD297" i="14"/>
  <c r="AM297" i="14" s="1"/>
  <c r="AD341" i="14"/>
  <c r="AM341" i="14" s="1"/>
  <c r="AA341" i="14"/>
  <c r="AA295" i="14"/>
  <c r="AD295" i="14"/>
  <c r="AM295" i="14" s="1"/>
  <c r="AD331" i="14"/>
  <c r="AM331" i="14" s="1"/>
  <c r="AA331" i="14"/>
  <c r="AD357" i="14"/>
  <c r="AM357" i="14" s="1"/>
  <c r="AA357" i="14"/>
  <c r="AD345" i="14"/>
  <c r="AM345" i="14" s="1"/>
  <c r="AA345" i="14"/>
  <c r="AA311" i="14"/>
  <c r="AD311" i="14"/>
  <c r="AM311" i="14" s="1"/>
  <c r="AA358" i="14"/>
  <c r="AD358" i="14"/>
  <c r="AM358" i="14" s="1"/>
  <c r="AA328" i="14"/>
  <c r="AD328" i="14"/>
  <c r="AM328" i="14" s="1"/>
  <c r="AD356" i="14"/>
  <c r="AM356" i="14" s="1"/>
  <c r="AA356" i="14"/>
  <c r="AA289" i="14"/>
  <c r="AD289" i="14"/>
  <c r="AM289" i="14" s="1"/>
  <c r="AD315" i="14"/>
  <c r="AM315" i="14" s="1"/>
  <c r="AA315" i="14"/>
  <c r="AD273" i="14"/>
  <c r="AM273" i="14" s="1"/>
  <c r="AA273" i="14"/>
  <c r="AA293" i="14"/>
  <c r="AD293" i="14"/>
  <c r="AM293" i="14" s="1"/>
  <c r="AD317" i="14"/>
  <c r="AM317" i="14" s="1"/>
  <c r="AA317" i="14"/>
  <c r="AD278" i="14"/>
  <c r="AM278" i="14" s="1"/>
  <c r="AA278" i="14"/>
  <c r="AD326" i="14"/>
  <c r="AM326" i="14" s="1"/>
  <c r="AA326" i="14"/>
  <c r="AD316" i="14"/>
  <c r="AM316" i="14" s="1"/>
  <c r="AA316" i="14"/>
  <c r="AD314" i="14"/>
  <c r="AM314" i="14" s="1"/>
  <c r="AA314" i="14"/>
  <c r="AD307" i="14"/>
  <c r="AM307" i="14" s="1"/>
  <c r="AA307" i="14"/>
  <c r="AD344" i="14"/>
  <c r="AM344" i="14" s="1"/>
  <c r="AA344" i="14"/>
  <c r="AD272" i="14"/>
  <c r="AM272" i="14" s="1"/>
  <c r="AA272" i="14"/>
  <c r="AA351" i="14"/>
  <c r="AD351" i="14"/>
  <c r="AM351" i="14" s="1"/>
  <c r="AA334" i="14"/>
  <c r="AD334" i="14"/>
  <c r="AM334" i="14" s="1"/>
  <c r="AD290" i="14"/>
  <c r="AM290" i="14" s="1"/>
  <c r="AA290" i="14"/>
  <c r="AD347" i="14"/>
  <c r="AM347" i="14" s="1"/>
  <c r="AA347" i="14"/>
  <c r="AD337" i="14"/>
  <c r="AM337" i="14" s="1"/>
  <c r="AA337" i="14"/>
  <c r="AA301" i="14"/>
  <c r="AD301" i="14"/>
  <c r="AM301" i="14" s="1"/>
  <c r="AD275" i="14"/>
  <c r="AM275" i="14" s="1"/>
  <c r="AA275" i="14"/>
  <c r="AA283" i="14"/>
  <c r="AD283" i="14"/>
  <c r="AM283" i="14" s="1"/>
  <c r="AA291" i="14"/>
  <c r="AD291" i="14"/>
  <c r="AM291" i="14" s="1"/>
  <c r="AD343" i="14"/>
  <c r="AM343" i="14" s="1"/>
  <c r="AA343" i="14"/>
  <c r="AD309" i="14"/>
  <c r="AM309" i="14" s="1"/>
  <c r="AA309" i="14"/>
  <c r="AA353" i="14"/>
  <c r="AD353" i="14"/>
  <c r="AM353" i="14" s="1"/>
  <c r="AD339" i="14"/>
  <c r="AM339" i="14" s="1"/>
  <c r="AA339" i="14"/>
  <c r="AD270" i="14"/>
  <c r="AM270" i="14" s="1"/>
  <c r="AA270" i="14"/>
  <c r="AD303" i="14"/>
  <c r="AM303" i="14" s="1"/>
  <c r="AA303" i="14"/>
  <c r="AD276" i="14"/>
  <c r="AM276" i="14" s="1"/>
  <c r="AA276" i="14"/>
  <c r="AD350" i="14"/>
  <c r="AM350" i="14" s="1"/>
  <c r="AA350" i="14"/>
  <c r="AA354" i="14"/>
  <c r="AD354" i="14"/>
  <c r="AM354" i="14" s="1"/>
  <c r="AD320" i="14"/>
  <c r="AM320" i="14" s="1"/>
  <c r="AA320" i="14"/>
  <c r="AD323" i="14"/>
  <c r="AM323" i="14" s="1"/>
  <c r="AA323" i="14"/>
  <c r="AA330" i="14"/>
  <c r="AD330" i="14"/>
  <c r="AM330" i="14" s="1"/>
  <c r="AD288" i="14"/>
  <c r="AM288" i="14" s="1"/>
  <c r="AA288" i="14"/>
  <c r="AA321" i="14"/>
  <c r="AD321" i="14"/>
  <c r="AM321" i="14" s="1"/>
  <c r="AD294" i="14"/>
  <c r="AM294" i="14" s="1"/>
  <c r="AA294" i="14"/>
  <c r="AD300" i="14"/>
  <c r="AM300" i="14" s="1"/>
  <c r="AA300" i="14"/>
  <c r="AA266" i="14"/>
  <c r="AD266" i="14"/>
  <c r="AM266" i="14" s="1"/>
  <c r="AD263" i="14"/>
  <c r="AM263" i="14" s="1"/>
  <c r="AA263" i="14"/>
  <c r="AD269" i="14"/>
  <c r="AM269" i="14" s="1"/>
  <c r="AA269" i="14"/>
  <c r="AD268" i="14"/>
  <c r="AM268" i="14" s="1"/>
  <c r="AA268" i="14"/>
  <c r="AM260" i="14"/>
  <c r="AA261" i="14"/>
  <c r="AD261" i="14"/>
  <c r="AM261" i="14" s="1"/>
  <c r="AD265" i="14"/>
  <c r="AM265" i="14" s="1"/>
  <c r="AA265" i="14"/>
  <c r="AD267" i="14"/>
  <c r="AM267" i="14" s="1"/>
  <c r="AA267" i="14"/>
  <c r="AD262" i="14"/>
  <c r="AM262" i="14" s="1"/>
  <c r="AA262" i="14"/>
  <c r="AD264" i="14"/>
  <c r="AM264" i="14" s="1"/>
  <c r="AA264" i="14"/>
  <c r="AD259" i="14"/>
  <c r="AM259" i="14" s="1"/>
  <c r="D261" i="14"/>
  <c r="D262" i="14"/>
  <c r="E262" i="14"/>
  <c r="E261" i="14"/>
  <c r="G261" i="14"/>
  <c r="G262" i="14"/>
  <c r="H261" i="14"/>
  <c r="H262" i="14"/>
  <c r="J262" i="14"/>
  <c r="J261" i="14"/>
  <c r="I262" i="14"/>
  <c r="I261" i="14"/>
  <c r="F262" i="14"/>
  <c r="F261" i="14"/>
  <c r="K262" i="14"/>
  <c r="K261" i="14"/>
  <c r="D262" i="15" l="1"/>
  <c r="D261" i="15"/>
  <c r="E261" i="15"/>
  <c r="E262" i="15"/>
  <c r="E263" i="15" s="1"/>
  <c r="F261" i="15"/>
  <c r="F262" i="15"/>
  <c r="F263" i="15" s="1"/>
  <c r="G261" i="15"/>
  <c r="G262" i="15"/>
  <c r="G263" i="15" s="1"/>
  <c r="H261" i="15"/>
  <c r="H262" i="15"/>
  <c r="H263" i="15" s="1"/>
  <c r="I262" i="15"/>
  <c r="I261" i="15"/>
  <c r="J262" i="15"/>
  <c r="J261" i="15"/>
  <c r="K262" i="15"/>
  <c r="K261" i="15"/>
  <c r="K263" i="15" s="1"/>
  <c r="AM259" i="15"/>
  <c r="C261" i="15"/>
  <c r="C262" i="15"/>
  <c r="C263" i="15" s="1"/>
  <c r="H263" i="14"/>
  <c r="D263" i="14"/>
  <c r="C262" i="14"/>
  <c r="C261" i="14"/>
  <c r="G263" i="14"/>
  <c r="E263" i="14"/>
  <c r="I263" i="14"/>
  <c r="J263" i="14"/>
  <c r="K263" i="14"/>
  <c r="F263" i="14"/>
  <c r="L262" i="14"/>
  <c r="L261" i="14"/>
  <c r="N267" i="14"/>
  <c r="J263" i="15" l="1"/>
  <c r="I263" i="15"/>
  <c r="D263" i="15"/>
  <c r="L261" i="15"/>
  <c r="N267" i="15"/>
  <c r="L262" i="15"/>
  <c r="L263" i="15" s="1"/>
  <c r="C263" i="14"/>
  <c r="L263" i="14"/>
  <c r="C16" i="11" l="1"/>
  <c r="B4" i="2"/>
  <c r="DJ5" i="10"/>
  <c r="DI6" i="10"/>
  <c r="DJ6" i="10"/>
  <c r="DH7" i="10"/>
  <c r="DI7" i="10"/>
  <c r="DJ7" i="10"/>
  <c r="DG8" i="10"/>
  <c r="DH8" i="10"/>
  <c r="DI8" i="10"/>
  <c r="DJ8" i="10"/>
  <c r="DF9" i="10"/>
  <c r="DG9" i="10"/>
  <c r="DH9" i="10"/>
  <c r="DI9" i="10"/>
  <c r="DJ9" i="10"/>
  <c r="DE10" i="10"/>
  <c r="DF10" i="10"/>
  <c r="DG10" i="10"/>
  <c r="DH10" i="10"/>
  <c r="DI10" i="10"/>
  <c r="DJ10" i="10"/>
  <c r="DD11" i="10"/>
  <c r="DE11" i="10"/>
  <c r="DF11" i="10"/>
  <c r="DG11" i="10"/>
  <c r="DH11" i="10"/>
  <c r="DI11" i="10"/>
  <c r="DJ11" i="10"/>
  <c r="DC12" i="10"/>
  <c r="DD12" i="10"/>
  <c r="DE12" i="10"/>
  <c r="DF12" i="10"/>
  <c r="DG12" i="10"/>
  <c r="DH12" i="10"/>
  <c r="DI12" i="10"/>
  <c r="DJ12" i="10"/>
  <c r="DB13" i="10"/>
  <c r="DC13" i="10"/>
  <c r="DD13" i="10"/>
  <c r="DE13" i="10"/>
  <c r="DF13" i="10"/>
  <c r="DG13" i="10"/>
  <c r="DH13" i="10"/>
  <c r="DI13" i="10"/>
  <c r="DJ13" i="10"/>
  <c r="DJ4" i="10"/>
  <c r="CW6" i="10"/>
  <c r="CV7" i="10"/>
  <c r="CW7" i="10"/>
  <c r="CU8" i="10"/>
  <c r="CV8" i="10"/>
  <c r="CW8" i="10"/>
  <c r="CT9" i="10"/>
  <c r="CU9" i="10"/>
  <c r="CV9" i="10"/>
  <c r="CW9" i="10"/>
  <c r="CS10" i="10"/>
  <c r="CT10" i="10"/>
  <c r="CU10" i="10"/>
  <c r="CV10" i="10"/>
  <c r="CW10" i="10"/>
  <c r="CR11" i="10"/>
  <c r="CS11" i="10"/>
  <c r="CT11" i="10"/>
  <c r="CU11" i="10"/>
  <c r="CV11" i="10"/>
  <c r="CW11" i="10"/>
  <c r="CQ12" i="10"/>
  <c r="CR12" i="10"/>
  <c r="CS12" i="10"/>
  <c r="CT12" i="10"/>
  <c r="CU12" i="10"/>
  <c r="CV12" i="10"/>
  <c r="CW12" i="10"/>
  <c r="CP13" i="10"/>
  <c r="CQ13" i="10"/>
  <c r="CR13" i="10"/>
  <c r="CS13" i="10"/>
  <c r="CT13" i="10"/>
  <c r="CU13" i="10"/>
  <c r="CV13" i="10"/>
  <c r="CW13" i="10"/>
  <c r="D36" i="8"/>
  <c r="D37" i="8"/>
  <c r="D38" i="8"/>
  <c r="D39" i="8"/>
  <c r="D40" i="8"/>
  <c r="D41" i="8"/>
  <c r="D42" i="8"/>
  <c r="D43" i="8"/>
  <c r="D35" i="8"/>
  <c r="D44" i="8" s="1"/>
  <c r="D21" i="8"/>
  <c r="D22" i="8"/>
  <c r="D23" i="8"/>
  <c r="D24" i="8"/>
  <c r="D25" i="8"/>
  <c r="D26" i="8"/>
  <c r="D27" i="8"/>
  <c r="D28" i="8"/>
  <c r="D20" i="8"/>
  <c r="D29" i="8" s="1"/>
  <c r="D6" i="8"/>
  <c r="D7" i="8"/>
  <c r="D8" i="8"/>
  <c r="D9" i="8"/>
  <c r="D10" i="8"/>
  <c r="D11" i="8"/>
  <c r="D12" i="8"/>
  <c r="D5" i="8"/>
  <c r="L42" i="11"/>
  <c r="L23" i="11"/>
  <c r="K51" i="11"/>
  <c r="L51" i="11" s="1"/>
  <c r="K50" i="11"/>
  <c r="L50" i="11" s="1"/>
  <c r="K49" i="11"/>
  <c r="L49" i="11" s="1"/>
  <c r="K48" i="11"/>
  <c r="L48" i="11" s="1"/>
  <c r="K47" i="11"/>
  <c r="L47" i="11" s="1"/>
  <c r="K46" i="11"/>
  <c r="L46" i="11" s="1"/>
  <c r="K45" i="11"/>
  <c r="L45" i="11" s="1"/>
  <c r="K44" i="11"/>
  <c r="L44" i="11" s="1"/>
  <c r="K43" i="11"/>
  <c r="L43" i="11" s="1"/>
  <c r="L52" i="11" s="1"/>
  <c r="K32" i="11"/>
  <c r="L32" i="11" s="1"/>
  <c r="K31" i="11"/>
  <c r="L31" i="11" s="1"/>
  <c r="K30" i="11"/>
  <c r="L30" i="11" s="1"/>
  <c r="K29" i="11"/>
  <c r="L29" i="11" s="1"/>
  <c r="K28" i="11"/>
  <c r="L28" i="11" s="1"/>
  <c r="K27" i="11"/>
  <c r="L27" i="11" s="1"/>
  <c r="K26" i="11"/>
  <c r="L26" i="11" s="1"/>
  <c r="K25" i="11"/>
  <c r="L25" i="11" s="1"/>
  <c r="K24" i="11"/>
  <c r="L24" i="11" s="1"/>
  <c r="L33" i="11" s="1"/>
  <c r="L12" i="11"/>
  <c r="L11" i="11"/>
  <c r="L10" i="11"/>
  <c r="L9" i="11"/>
  <c r="L8" i="11"/>
  <c r="L7" i="11"/>
  <c r="L6" i="11"/>
  <c r="L5" i="11"/>
  <c r="K12" i="11"/>
  <c r="K11" i="11"/>
  <c r="K10" i="11"/>
  <c r="K9" i="11"/>
  <c r="K8" i="11"/>
  <c r="K7" i="11"/>
  <c r="K6" i="11"/>
  <c r="K5" i="11"/>
  <c r="L4" i="11"/>
  <c r="J51" i="11"/>
  <c r="I51" i="11"/>
  <c r="H51" i="11"/>
  <c r="G51" i="11"/>
  <c r="F51" i="11"/>
  <c r="E51" i="11"/>
  <c r="D51" i="11"/>
  <c r="C51" i="11"/>
  <c r="B51" i="11"/>
  <c r="J50" i="11"/>
  <c r="I50" i="11"/>
  <c r="H50" i="11"/>
  <c r="G50" i="11"/>
  <c r="F50" i="11"/>
  <c r="E50" i="11"/>
  <c r="D50" i="11"/>
  <c r="B50" i="11"/>
  <c r="C50" i="11" s="1"/>
  <c r="J49" i="11"/>
  <c r="I49" i="11"/>
  <c r="H49" i="11"/>
  <c r="G49" i="11"/>
  <c r="F49" i="11"/>
  <c r="E49" i="11"/>
  <c r="B49" i="11"/>
  <c r="C49" i="11" s="1"/>
  <c r="D49" i="11" s="1"/>
  <c r="J48" i="11"/>
  <c r="I48" i="11"/>
  <c r="H48" i="11"/>
  <c r="G48" i="11"/>
  <c r="F48" i="11"/>
  <c r="B48" i="11"/>
  <c r="C48" i="11" s="1"/>
  <c r="D48" i="11" s="1"/>
  <c r="E48" i="11" s="1"/>
  <c r="J47" i="11"/>
  <c r="I47" i="11"/>
  <c r="H47" i="11"/>
  <c r="G47" i="11"/>
  <c r="B47" i="11"/>
  <c r="C47" i="11" s="1"/>
  <c r="D47" i="11" s="1"/>
  <c r="E47" i="11" s="1"/>
  <c r="F47" i="11" s="1"/>
  <c r="J46" i="11"/>
  <c r="I46" i="11"/>
  <c r="H46" i="11"/>
  <c r="B46" i="11"/>
  <c r="C46" i="11" s="1"/>
  <c r="D46" i="11" s="1"/>
  <c r="E46" i="11" s="1"/>
  <c r="F46" i="11" s="1"/>
  <c r="G46" i="11" s="1"/>
  <c r="J45" i="11"/>
  <c r="I45" i="11"/>
  <c r="B45" i="11"/>
  <c r="C45" i="11" s="1"/>
  <c r="D45" i="11" s="1"/>
  <c r="E45" i="11" s="1"/>
  <c r="F45" i="11" s="1"/>
  <c r="G45" i="11" s="1"/>
  <c r="H45" i="11" s="1"/>
  <c r="J44" i="11"/>
  <c r="B44" i="11"/>
  <c r="C44" i="11" s="1"/>
  <c r="D44" i="11" s="1"/>
  <c r="E44" i="11" s="1"/>
  <c r="F44" i="11" s="1"/>
  <c r="G44" i="11" s="1"/>
  <c r="H44" i="11" s="1"/>
  <c r="I44" i="11" s="1"/>
  <c r="B43" i="11"/>
  <c r="C43" i="11" s="1"/>
  <c r="D43" i="11" s="1"/>
  <c r="E43" i="11" s="1"/>
  <c r="F43" i="11" s="1"/>
  <c r="G43" i="11" s="1"/>
  <c r="H43" i="11" s="1"/>
  <c r="I43" i="11" s="1"/>
  <c r="J43" i="11" s="1"/>
  <c r="B42" i="11"/>
  <c r="C42" i="11" s="1"/>
  <c r="J32" i="11"/>
  <c r="I32" i="11"/>
  <c r="H32" i="11"/>
  <c r="G32" i="11"/>
  <c r="F32" i="11"/>
  <c r="E32" i="11"/>
  <c r="D32" i="11"/>
  <c r="C32" i="11"/>
  <c r="B32" i="11"/>
  <c r="J31" i="11"/>
  <c r="I31" i="11"/>
  <c r="H31" i="11"/>
  <c r="G31" i="11"/>
  <c r="F31" i="11"/>
  <c r="E31" i="11"/>
  <c r="D31" i="11"/>
  <c r="B31" i="11"/>
  <c r="C31" i="11" s="1"/>
  <c r="J30" i="11"/>
  <c r="I30" i="11"/>
  <c r="H30" i="11"/>
  <c r="G30" i="11"/>
  <c r="F30" i="11"/>
  <c r="E30" i="11"/>
  <c r="B30" i="11"/>
  <c r="C30" i="11" s="1"/>
  <c r="D30" i="11" s="1"/>
  <c r="J29" i="11"/>
  <c r="I29" i="11"/>
  <c r="H29" i="11"/>
  <c r="G29" i="11"/>
  <c r="F29" i="11"/>
  <c r="B29" i="11"/>
  <c r="C29" i="11" s="1"/>
  <c r="D29" i="11" s="1"/>
  <c r="E29" i="11" s="1"/>
  <c r="J28" i="11"/>
  <c r="I28" i="11"/>
  <c r="H28" i="11"/>
  <c r="G28" i="11"/>
  <c r="B28" i="11"/>
  <c r="C28" i="11" s="1"/>
  <c r="D28" i="11" s="1"/>
  <c r="E28" i="11" s="1"/>
  <c r="F28" i="11" s="1"/>
  <c r="J27" i="11"/>
  <c r="I27" i="11"/>
  <c r="H27" i="11"/>
  <c r="B27" i="11"/>
  <c r="C27" i="11" s="1"/>
  <c r="D27" i="11" s="1"/>
  <c r="E27" i="11" s="1"/>
  <c r="F27" i="11" s="1"/>
  <c r="G27" i="11" s="1"/>
  <c r="J26" i="11"/>
  <c r="I26" i="11"/>
  <c r="B26" i="11"/>
  <c r="C26" i="11" s="1"/>
  <c r="D26" i="11" s="1"/>
  <c r="E26" i="11" s="1"/>
  <c r="F26" i="11" s="1"/>
  <c r="G26" i="11" s="1"/>
  <c r="H26" i="11" s="1"/>
  <c r="J25" i="11"/>
  <c r="B25" i="11"/>
  <c r="C25" i="11" s="1"/>
  <c r="D25" i="11" s="1"/>
  <c r="E25" i="11" s="1"/>
  <c r="F25" i="11" s="1"/>
  <c r="G25" i="11" s="1"/>
  <c r="H25" i="11" s="1"/>
  <c r="I25" i="11" s="1"/>
  <c r="B24" i="11"/>
  <c r="C24" i="11" s="1"/>
  <c r="D24" i="11" s="1"/>
  <c r="E24" i="11" s="1"/>
  <c r="F24" i="11" s="1"/>
  <c r="G24" i="11" s="1"/>
  <c r="H24" i="11" s="1"/>
  <c r="I24" i="11" s="1"/>
  <c r="J24" i="11" s="1"/>
  <c r="B23" i="11"/>
  <c r="C23" i="11" s="1"/>
  <c r="B13" i="11"/>
  <c r="B12" i="11"/>
  <c r="C12" i="11" s="1"/>
  <c r="B11" i="11"/>
  <c r="C11" i="11" s="1"/>
  <c r="D11" i="11" s="1"/>
  <c r="B10" i="11"/>
  <c r="C10" i="11" s="1"/>
  <c r="D10" i="11" s="1"/>
  <c r="E10" i="11" s="1"/>
  <c r="B9" i="11"/>
  <c r="C9" i="11" s="1"/>
  <c r="D9" i="11" s="1"/>
  <c r="E9" i="11" s="1"/>
  <c r="F9" i="11" s="1"/>
  <c r="B8" i="11"/>
  <c r="C8" i="11" s="1"/>
  <c r="D8" i="11" s="1"/>
  <c r="E8" i="11" s="1"/>
  <c r="F8" i="11" s="1"/>
  <c r="G8" i="11" s="1"/>
  <c r="B7" i="11"/>
  <c r="C7" i="11" s="1"/>
  <c r="D7" i="11" s="1"/>
  <c r="E7" i="11" s="1"/>
  <c r="F7" i="11" s="1"/>
  <c r="G7" i="11" s="1"/>
  <c r="H7" i="11" s="1"/>
  <c r="B6" i="11"/>
  <c r="C6" i="11" s="1"/>
  <c r="D6" i="11" s="1"/>
  <c r="E6" i="11" s="1"/>
  <c r="F6" i="11" s="1"/>
  <c r="G6" i="11" s="1"/>
  <c r="H6" i="11" s="1"/>
  <c r="I6" i="11" s="1"/>
  <c r="B5" i="11"/>
  <c r="C5" i="11" s="1"/>
  <c r="D5" i="11" s="1"/>
  <c r="E5" i="11" s="1"/>
  <c r="F5" i="11" s="1"/>
  <c r="G5" i="11" s="1"/>
  <c r="H5" i="11" s="1"/>
  <c r="I5" i="11" s="1"/>
  <c r="J5" i="11" s="1"/>
  <c r="B4" i="11"/>
  <c r="C4" i="11" s="1"/>
  <c r="W44" i="10"/>
  <c r="W45" i="10"/>
  <c r="V45" i="10"/>
  <c r="U46" i="10"/>
  <c r="T47" i="10"/>
  <c r="S48" i="10"/>
  <c r="R49" i="10"/>
  <c r="Q50" i="10"/>
  <c r="P51" i="10"/>
  <c r="O52" i="10"/>
  <c r="N44" i="10"/>
  <c r="O44" i="10"/>
  <c r="P44" i="10"/>
  <c r="Q44" i="10"/>
  <c r="R44" i="10"/>
  <c r="S44" i="10"/>
  <c r="T44" i="10"/>
  <c r="U44" i="10"/>
  <c r="V44" i="10"/>
  <c r="N45" i="10"/>
  <c r="O45" i="10"/>
  <c r="P45" i="10"/>
  <c r="Q45" i="10"/>
  <c r="R45" i="10"/>
  <c r="S45" i="10"/>
  <c r="T45" i="10"/>
  <c r="U45" i="10"/>
  <c r="N46" i="10"/>
  <c r="O46" i="10"/>
  <c r="P46" i="10"/>
  <c r="Q46" i="10"/>
  <c r="R46" i="10"/>
  <c r="S46" i="10"/>
  <c r="T46" i="10"/>
  <c r="V46" i="10"/>
  <c r="W46" i="10"/>
  <c r="N47" i="10"/>
  <c r="O47" i="10"/>
  <c r="P47" i="10"/>
  <c r="Q47" i="10"/>
  <c r="R47" i="10"/>
  <c r="S47" i="10"/>
  <c r="U47" i="10"/>
  <c r="V47" i="10"/>
  <c r="W47" i="10"/>
  <c r="N48" i="10"/>
  <c r="O48" i="10"/>
  <c r="P48" i="10"/>
  <c r="Q48" i="10"/>
  <c r="R48" i="10"/>
  <c r="T48" i="10"/>
  <c r="U48" i="10"/>
  <c r="V48" i="10"/>
  <c r="W48" i="10"/>
  <c r="N49" i="10"/>
  <c r="O49" i="10"/>
  <c r="P49" i="10"/>
  <c r="Q49" i="10"/>
  <c r="S49" i="10"/>
  <c r="T49" i="10"/>
  <c r="U49" i="10"/>
  <c r="V49" i="10"/>
  <c r="W49" i="10"/>
  <c r="N50" i="10"/>
  <c r="O50" i="10"/>
  <c r="P50" i="10"/>
  <c r="R50" i="10"/>
  <c r="S50" i="10"/>
  <c r="T50" i="10"/>
  <c r="U50" i="10"/>
  <c r="V50" i="10"/>
  <c r="W50" i="10"/>
  <c r="N51" i="10"/>
  <c r="O51" i="10"/>
  <c r="Q51" i="10"/>
  <c r="R51" i="10"/>
  <c r="S51" i="10"/>
  <c r="T51" i="10"/>
  <c r="U51" i="10"/>
  <c r="V51" i="10"/>
  <c r="W51" i="10"/>
  <c r="N52" i="10"/>
  <c r="P52" i="10"/>
  <c r="Q52" i="10"/>
  <c r="R52" i="10"/>
  <c r="S52" i="10"/>
  <c r="T52" i="10"/>
  <c r="U52" i="10"/>
  <c r="V52" i="10"/>
  <c r="W52" i="10"/>
  <c r="N43" i="10"/>
  <c r="O43" i="10" s="1"/>
  <c r="P43" i="10" s="1"/>
  <c r="Q43" i="10" s="1"/>
  <c r="R43" i="10" s="1"/>
  <c r="S43" i="10" s="1"/>
  <c r="T43" i="10" s="1"/>
  <c r="U43" i="10" s="1"/>
  <c r="V43" i="10" s="1"/>
  <c r="W43" i="10" s="1"/>
  <c r="W24" i="10"/>
  <c r="V25" i="10"/>
  <c r="U26" i="10"/>
  <c r="T27" i="10"/>
  <c r="S28" i="10"/>
  <c r="R29" i="10"/>
  <c r="Q30" i="10"/>
  <c r="P31" i="10"/>
  <c r="O32" i="10"/>
  <c r="N24" i="10"/>
  <c r="O24" i="10"/>
  <c r="P24" i="10"/>
  <c r="Q24" i="10"/>
  <c r="R24" i="10"/>
  <c r="S24" i="10"/>
  <c r="T24" i="10"/>
  <c r="U24" i="10"/>
  <c r="V24" i="10"/>
  <c r="N25" i="10"/>
  <c r="O25" i="10"/>
  <c r="P25" i="10"/>
  <c r="Q25" i="10"/>
  <c r="R25" i="10"/>
  <c r="S25" i="10"/>
  <c r="T25" i="10"/>
  <c r="U25" i="10"/>
  <c r="W25" i="10"/>
  <c r="N26" i="10"/>
  <c r="O26" i="10"/>
  <c r="P26" i="10"/>
  <c r="Q26" i="10"/>
  <c r="R26" i="10"/>
  <c r="S26" i="10"/>
  <c r="T26" i="10"/>
  <c r="V26" i="10"/>
  <c r="W26" i="10"/>
  <c r="N27" i="10"/>
  <c r="O27" i="10"/>
  <c r="P27" i="10"/>
  <c r="Q27" i="10"/>
  <c r="R27" i="10"/>
  <c r="S27" i="10"/>
  <c r="U27" i="10"/>
  <c r="V27" i="10"/>
  <c r="W27" i="10"/>
  <c r="N28" i="10"/>
  <c r="O28" i="10"/>
  <c r="P28" i="10"/>
  <c r="Q28" i="10"/>
  <c r="R28" i="10"/>
  <c r="T28" i="10"/>
  <c r="U28" i="10"/>
  <c r="V28" i="10"/>
  <c r="W28" i="10"/>
  <c r="N29" i="10"/>
  <c r="O29" i="10"/>
  <c r="P29" i="10"/>
  <c r="Q29" i="10"/>
  <c r="S29" i="10"/>
  <c r="T29" i="10"/>
  <c r="U29" i="10"/>
  <c r="V29" i="10"/>
  <c r="W29" i="10"/>
  <c r="N30" i="10"/>
  <c r="O30" i="10"/>
  <c r="P30" i="10"/>
  <c r="R30" i="10"/>
  <c r="S30" i="10"/>
  <c r="T30" i="10"/>
  <c r="U30" i="10"/>
  <c r="V30" i="10"/>
  <c r="W30" i="10"/>
  <c r="N31" i="10"/>
  <c r="O31" i="10"/>
  <c r="Q31" i="10"/>
  <c r="R31" i="10"/>
  <c r="S31" i="10"/>
  <c r="T31" i="10"/>
  <c r="U31" i="10"/>
  <c r="V31" i="10"/>
  <c r="W31" i="10"/>
  <c r="N32" i="10"/>
  <c r="P32" i="10"/>
  <c r="Q32" i="10"/>
  <c r="R32" i="10"/>
  <c r="S32" i="10"/>
  <c r="T32" i="10"/>
  <c r="U32" i="10"/>
  <c r="V32" i="10"/>
  <c r="W32" i="10"/>
  <c r="N23" i="10"/>
  <c r="O23" i="10" s="1"/>
  <c r="P23" i="10" s="1"/>
  <c r="Q23" i="10" s="1"/>
  <c r="R23" i="10" s="1"/>
  <c r="S23" i="10" s="1"/>
  <c r="T23" i="10" s="1"/>
  <c r="U23" i="10" s="1"/>
  <c r="V23" i="10" s="1"/>
  <c r="W23" i="10" s="1"/>
  <c r="N4" i="10"/>
  <c r="K16" i="7"/>
  <c r="W5" i="10"/>
  <c r="V6" i="10"/>
  <c r="U7" i="10"/>
  <c r="T8" i="10"/>
  <c r="S9" i="10"/>
  <c r="R10" i="10"/>
  <c r="Q11" i="10"/>
  <c r="P12" i="10"/>
  <c r="O13" i="10"/>
  <c r="N5" i="10"/>
  <c r="O5" i="10"/>
  <c r="P5" i="10"/>
  <c r="Q5" i="10"/>
  <c r="R5" i="10"/>
  <c r="S5" i="10"/>
  <c r="T5" i="10"/>
  <c r="U5" i="10"/>
  <c r="V5" i="10"/>
  <c r="N6" i="10"/>
  <c r="O6" i="10"/>
  <c r="P6" i="10"/>
  <c r="Q6" i="10"/>
  <c r="R6" i="10"/>
  <c r="S6" i="10"/>
  <c r="T6" i="10"/>
  <c r="U6" i="10"/>
  <c r="W6" i="10"/>
  <c r="N7" i="10"/>
  <c r="O7" i="10"/>
  <c r="P7" i="10"/>
  <c r="Q7" i="10"/>
  <c r="R7" i="10"/>
  <c r="S7" i="10"/>
  <c r="T7" i="10"/>
  <c r="V7" i="10"/>
  <c r="W7" i="10"/>
  <c r="N8" i="10"/>
  <c r="O8" i="10"/>
  <c r="P8" i="10"/>
  <c r="Q8" i="10"/>
  <c r="R8" i="10"/>
  <c r="S8" i="10"/>
  <c r="U8" i="10"/>
  <c r="V8" i="10"/>
  <c r="W8" i="10"/>
  <c r="N9" i="10"/>
  <c r="O9" i="10"/>
  <c r="P9" i="10"/>
  <c r="Q9" i="10"/>
  <c r="R9" i="10"/>
  <c r="T9" i="10"/>
  <c r="U9" i="10"/>
  <c r="V9" i="10"/>
  <c r="W9" i="10"/>
  <c r="N10" i="10"/>
  <c r="O10" i="10"/>
  <c r="P10" i="10"/>
  <c r="Q10" i="10"/>
  <c r="S10" i="10"/>
  <c r="T10" i="10"/>
  <c r="U10" i="10"/>
  <c r="V10" i="10"/>
  <c r="W10" i="10"/>
  <c r="N11" i="10"/>
  <c r="O11" i="10"/>
  <c r="P11" i="10"/>
  <c r="R11" i="10"/>
  <c r="S11" i="10"/>
  <c r="T11" i="10"/>
  <c r="U11" i="10"/>
  <c r="V11" i="10"/>
  <c r="W11" i="10"/>
  <c r="N12" i="10"/>
  <c r="O12" i="10"/>
  <c r="Q12" i="10"/>
  <c r="R12" i="10"/>
  <c r="S12" i="10"/>
  <c r="T12" i="10"/>
  <c r="U12" i="10"/>
  <c r="V12" i="10"/>
  <c r="W12" i="10"/>
  <c r="N13" i="10"/>
  <c r="P13" i="10"/>
  <c r="Q13" i="10"/>
  <c r="R13" i="10"/>
  <c r="S13" i="10"/>
  <c r="T13" i="10"/>
  <c r="U13" i="10"/>
  <c r="V13" i="10"/>
  <c r="W13" i="10"/>
  <c r="O4" i="10"/>
  <c r="P4" i="10"/>
  <c r="Q4" i="10"/>
  <c r="R4" i="10"/>
  <c r="S4" i="10"/>
  <c r="T4" i="10"/>
  <c r="U4" i="10"/>
  <c r="V4" i="10"/>
  <c r="W4" i="10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4" i="1"/>
  <c r="B4" i="10"/>
  <c r="B4" i="7"/>
  <c r="C4" i="10"/>
  <c r="D4" i="10"/>
  <c r="E4" i="10"/>
  <c r="F4" i="10"/>
  <c r="G4" i="10"/>
  <c r="H4" i="10"/>
  <c r="I4" i="10"/>
  <c r="J4" i="10"/>
  <c r="K4" i="10"/>
  <c r="B5" i="10"/>
  <c r="C5" i="10"/>
  <c r="D5" i="10"/>
  <c r="E5" i="10"/>
  <c r="F5" i="10"/>
  <c r="G5" i="10"/>
  <c r="H5" i="10"/>
  <c r="I5" i="10"/>
  <c r="J5" i="10"/>
  <c r="B6" i="10"/>
  <c r="C6" i="10"/>
  <c r="D6" i="10"/>
  <c r="E6" i="10"/>
  <c r="F6" i="10"/>
  <c r="G6" i="10"/>
  <c r="H6" i="10"/>
  <c r="I6" i="10"/>
  <c r="B7" i="10"/>
  <c r="C7" i="10"/>
  <c r="D7" i="10"/>
  <c r="E7" i="10"/>
  <c r="F7" i="10"/>
  <c r="G7" i="10"/>
  <c r="H7" i="10"/>
  <c r="B8" i="10"/>
  <c r="C8" i="10"/>
  <c r="D8" i="10"/>
  <c r="E8" i="10"/>
  <c r="F8" i="10"/>
  <c r="G8" i="10"/>
  <c r="B9" i="10"/>
  <c r="C9" i="10"/>
  <c r="D9" i="10"/>
  <c r="E9" i="10"/>
  <c r="F9" i="10"/>
  <c r="B10" i="10"/>
  <c r="C10" i="10"/>
  <c r="D10" i="10"/>
  <c r="E10" i="10"/>
  <c r="B11" i="10"/>
  <c r="C11" i="10"/>
  <c r="D11" i="10"/>
  <c r="B12" i="10"/>
  <c r="C12" i="10"/>
  <c r="B13" i="10"/>
  <c r="D16" i="10"/>
  <c r="E16" i="10"/>
  <c r="F16" i="10"/>
  <c r="G16" i="10"/>
  <c r="H16" i="10"/>
  <c r="I16" i="10"/>
  <c r="J16" i="10"/>
  <c r="K16" i="10"/>
  <c r="J17" i="10" s="1"/>
  <c r="B23" i="10"/>
  <c r="C23" i="10"/>
  <c r="D23" i="10"/>
  <c r="E23" i="10"/>
  <c r="F23" i="10"/>
  <c r="G23" i="10"/>
  <c r="H23" i="10"/>
  <c r="I23" i="10"/>
  <c r="J23" i="10"/>
  <c r="K23" i="10"/>
  <c r="B24" i="10"/>
  <c r="C24" i="10"/>
  <c r="D24" i="10"/>
  <c r="E24" i="10"/>
  <c r="F24" i="10"/>
  <c r="G24" i="10"/>
  <c r="H24" i="10"/>
  <c r="I24" i="10"/>
  <c r="J24" i="10"/>
  <c r="B25" i="10"/>
  <c r="C25" i="10"/>
  <c r="D25" i="10"/>
  <c r="E25" i="10"/>
  <c r="F25" i="10"/>
  <c r="G25" i="10"/>
  <c r="H25" i="10"/>
  <c r="I25" i="10"/>
  <c r="B26" i="10"/>
  <c r="C26" i="10"/>
  <c r="D26" i="10"/>
  <c r="E26" i="10"/>
  <c r="F26" i="10"/>
  <c r="G26" i="10"/>
  <c r="H26" i="10"/>
  <c r="B27" i="10"/>
  <c r="C27" i="10"/>
  <c r="D27" i="10"/>
  <c r="E27" i="10" s="1"/>
  <c r="F27" i="10"/>
  <c r="G27" i="10"/>
  <c r="B28" i="10"/>
  <c r="C28" i="10"/>
  <c r="D28" i="10"/>
  <c r="E28" i="10"/>
  <c r="F28" i="10"/>
  <c r="B29" i="10"/>
  <c r="C29" i="10"/>
  <c r="D29" i="10"/>
  <c r="E29" i="10"/>
  <c r="B30" i="10"/>
  <c r="C30" i="10"/>
  <c r="D30" i="10"/>
  <c r="B31" i="10"/>
  <c r="C31" i="10"/>
  <c r="B32" i="10"/>
  <c r="C35" i="10"/>
  <c r="D35" i="10"/>
  <c r="E35" i="10"/>
  <c r="F35" i="10"/>
  <c r="G35" i="10"/>
  <c r="H35" i="10"/>
  <c r="I35" i="10"/>
  <c r="J35" i="10"/>
  <c r="K35" i="10"/>
  <c r="J36" i="10" s="1"/>
  <c r="B43" i="10"/>
  <c r="C43" i="10"/>
  <c r="D43" i="10"/>
  <c r="E43" i="10"/>
  <c r="F43" i="10"/>
  <c r="G43" i="10"/>
  <c r="H43" i="10"/>
  <c r="I43" i="10"/>
  <c r="J43" i="10"/>
  <c r="K43" i="10"/>
  <c r="B44" i="10"/>
  <c r="C44" i="10"/>
  <c r="D44" i="10"/>
  <c r="E44" i="10"/>
  <c r="F44" i="10"/>
  <c r="G44" i="10"/>
  <c r="H44" i="10"/>
  <c r="I44" i="10"/>
  <c r="J44" i="10"/>
  <c r="B45" i="10"/>
  <c r="C45" i="10"/>
  <c r="D45" i="10"/>
  <c r="E45" i="10"/>
  <c r="F45" i="10"/>
  <c r="G45" i="10"/>
  <c r="H45" i="10"/>
  <c r="I45" i="10"/>
  <c r="B46" i="10"/>
  <c r="C46" i="10"/>
  <c r="D46" i="10"/>
  <c r="E46" i="10"/>
  <c r="F46" i="10"/>
  <c r="G46" i="10"/>
  <c r="H46" i="10"/>
  <c r="B47" i="10"/>
  <c r="C47" i="10"/>
  <c r="D47" i="10"/>
  <c r="E47" i="10"/>
  <c r="F47" i="10"/>
  <c r="G47" i="10"/>
  <c r="B48" i="10"/>
  <c r="C48" i="10"/>
  <c r="D48" i="10"/>
  <c r="E48" i="10"/>
  <c r="F48" i="10"/>
  <c r="B49" i="10"/>
  <c r="C49" i="10"/>
  <c r="D49" i="10"/>
  <c r="E49" i="10"/>
  <c r="B50" i="10"/>
  <c r="C50" i="10"/>
  <c r="D50" i="10"/>
  <c r="B51" i="10"/>
  <c r="C51" i="10"/>
  <c r="B52" i="10"/>
  <c r="C55" i="10"/>
  <c r="D55" i="10"/>
  <c r="E55" i="10"/>
  <c r="F55" i="10"/>
  <c r="G55" i="10"/>
  <c r="H55" i="10"/>
  <c r="I55" i="10"/>
  <c r="J55" i="10"/>
  <c r="K55" i="10"/>
  <c r="J56" i="10" s="1"/>
  <c r="X51" i="7"/>
  <c r="X50" i="7"/>
  <c r="X49" i="7"/>
  <c r="X48" i="7"/>
  <c r="X47" i="7"/>
  <c r="X46" i="7"/>
  <c r="X45" i="7"/>
  <c r="X44" i="7"/>
  <c r="X43" i="7"/>
  <c r="W50" i="7"/>
  <c r="W51" i="7"/>
  <c r="W49" i="7"/>
  <c r="W48" i="7"/>
  <c r="W47" i="7"/>
  <c r="W46" i="7"/>
  <c r="W45" i="7"/>
  <c r="W44" i="7"/>
  <c r="W43" i="7"/>
  <c r="X32" i="7"/>
  <c r="X31" i="7"/>
  <c r="X30" i="7"/>
  <c r="X29" i="7"/>
  <c r="X28" i="7"/>
  <c r="X27" i="7"/>
  <c r="X25" i="7"/>
  <c r="X24" i="7"/>
  <c r="W32" i="7"/>
  <c r="W31" i="7"/>
  <c r="W30" i="7"/>
  <c r="W29" i="7"/>
  <c r="W28" i="7"/>
  <c r="W27" i="7"/>
  <c r="W26" i="7"/>
  <c r="W25" i="7"/>
  <c r="W24" i="7"/>
  <c r="F24" i="8"/>
  <c r="F28" i="8"/>
  <c r="F25" i="8"/>
  <c r="F36" i="8"/>
  <c r="F37" i="8"/>
  <c r="F38" i="8"/>
  <c r="F39" i="8"/>
  <c r="F40" i="8"/>
  <c r="F41" i="8"/>
  <c r="F42" i="8"/>
  <c r="F43" i="8"/>
  <c r="F35" i="8"/>
  <c r="F21" i="8"/>
  <c r="F22" i="8"/>
  <c r="F23" i="8"/>
  <c r="F26" i="8"/>
  <c r="F27" i="8"/>
  <c r="F20" i="8"/>
  <c r="F6" i="8"/>
  <c r="F7" i="8"/>
  <c r="F8" i="8"/>
  <c r="F9" i="8"/>
  <c r="F10" i="8"/>
  <c r="F11" i="8"/>
  <c r="F12" i="8"/>
  <c r="F13" i="8"/>
  <c r="F5" i="8"/>
  <c r="I17" i="10" l="1"/>
  <c r="H17" i="10"/>
  <c r="G17" i="10"/>
  <c r="F17" i="10"/>
  <c r="E17" i="10"/>
  <c r="D17" i="10"/>
  <c r="C17" i="10"/>
  <c r="AH7" i="10"/>
  <c r="AG7" i="10"/>
  <c r="AF7" i="10"/>
  <c r="AE7" i="10"/>
  <c r="AD7" i="10"/>
  <c r="AI9" i="10"/>
  <c r="AG9" i="10"/>
  <c r="AF9" i="10"/>
  <c r="AE9" i="10"/>
  <c r="AD9" i="10"/>
  <c r="I56" i="10"/>
  <c r="H56" i="10"/>
  <c r="G56" i="10"/>
  <c r="F56" i="10"/>
  <c r="E56" i="10"/>
  <c r="D56" i="10"/>
  <c r="C56" i="10"/>
  <c r="B56" i="10"/>
  <c r="I36" i="10"/>
  <c r="H36" i="10"/>
  <c r="G36" i="10"/>
  <c r="F36" i="10"/>
  <c r="E36" i="10"/>
  <c r="D36" i="10"/>
  <c r="C36" i="10"/>
  <c r="B36" i="10"/>
  <c r="C16" i="10"/>
  <c r="B17" i="10" s="1"/>
  <c r="D4" i="11"/>
  <c r="C35" i="11"/>
  <c r="D23" i="11"/>
  <c r="C54" i="11"/>
  <c r="D42" i="11"/>
  <c r="O35" i="10"/>
  <c r="O55" i="10"/>
  <c r="O16" i="10"/>
  <c r="K43" i="6"/>
  <c r="J43" i="6"/>
  <c r="I43" i="6"/>
  <c r="H43" i="6"/>
  <c r="G43" i="6"/>
  <c r="F43" i="6"/>
  <c r="E43" i="6"/>
  <c r="D43" i="6"/>
  <c r="C43" i="6"/>
  <c r="B43" i="6"/>
  <c r="K42" i="6"/>
  <c r="J42" i="6"/>
  <c r="I42" i="6"/>
  <c r="H42" i="6"/>
  <c r="G42" i="6"/>
  <c r="F42" i="6"/>
  <c r="E42" i="6"/>
  <c r="D42" i="6"/>
  <c r="B42" i="6"/>
  <c r="C42" i="6" s="1"/>
  <c r="K41" i="6"/>
  <c r="J41" i="6"/>
  <c r="I41" i="6"/>
  <c r="H41" i="6"/>
  <c r="G41" i="6"/>
  <c r="F41" i="6"/>
  <c r="E41" i="6"/>
  <c r="B41" i="6"/>
  <c r="C41" i="6" s="1"/>
  <c r="D41" i="6" s="1"/>
  <c r="K40" i="6"/>
  <c r="J40" i="6"/>
  <c r="I40" i="6"/>
  <c r="H40" i="6"/>
  <c r="G40" i="6"/>
  <c r="F40" i="6"/>
  <c r="B40" i="6"/>
  <c r="C40" i="6" s="1"/>
  <c r="D40" i="6" s="1"/>
  <c r="E40" i="6" s="1"/>
  <c r="K39" i="6"/>
  <c r="J39" i="6"/>
  <c r="I39" i="6"/>
  <c r="H39" i="6"/>
  <c r="G39" i="6"/>
  <c r="B39" i="6"/>
  <c r="C39" i="6" s="1"/>
  <c r="D39" i="6" s="1"/>
  <c r="E39" i="6" s="1"/>
  <c r="F39" i="6" s="1"/>
  <c r="K38" i="6"/>
  <c r="J38" i="6"/>
  <c r="I38" i="6"/>
  <c r="H38" i="6"/>
  <c r="B38" i="6"/>
  <c r="C38" i="6" s="1"/>
  <c r="D38" i="6" s="1"/>
  <c r="E38" i="6" s="1"/>
  <c r="F38" i="6" s="1"/>
  <c r="G38" i="6" s="1"/>
  <c r="K37" i="6"/>
  <c r="J37" i="6"/>
  <c r="I37" i="6"/>
  <c r="B37" i="6"/>
  <c r="C37" i="6" s="1"/>
  <c r="D37" i="6" s="1"/>
  <c r="E37" i="6" s="1"/>
  <c r="F37" i="6" s="1"/>
  <c r="G37" i="6" s="1"/>
  <c r="H37" i="6" s="1"/>
  <c r="K36" i="6"/>
  <c r="J36" i="6"/>
  <c r="B36" i="6"/>
  <c r="C36" i="6" s="1"/>
  <c r="D36" i="6" s="1"/>
  <c r="E36" i="6" s="1"/>
  <c r="F36" i="6" s="1"/>
  <c r="G36" i="6" s="1"/>
  <c r="H36" i="6" s="1"/>
  <c r="I36" i="6" s="1"/>
  <c r="K35" i="6"/>
  <c r="B35" i="6"/>
  <c r="C35" i="6" s="1"/>
  <c r="D35" i="6" s="1"/>
  <c r="E35" i="6" s="1"/>
  <c r="F35" i="6" s="1"/>
  <c r="G35" i="6" s="1"/>
  <c r="H35" i="6" s="1"/>
  <c r="I35" i="6" s="1"/>
  <c r="J35" i="6" s="1"/>
  <c r="B34" i="6"/>
  <c r="C34" i="6" s="1"/>
  <c r="K28" i="6"/>
  <c r="J28" i="6"/>
  <c r="I28" i="6"/>
  <c r="H28" i="6"/>
  <c r="G28" i="6"/>
  <c r="F28" i="6"/>
  <c r="E28" i="6"/>
  <c r="D28" i="6"/>
  <c r="C28" i="6"/>
  <c r="B28" i="6"/>
  <c r="K27" i="6"/>
  <c r="J27" i="6"/>
  <c r="I27" i="6"/>
  <c r="H27" i="6"/>
  <c r="G27" i="6"/>
  <c r="F27" i="6"/>
  <c r="E27" i="6"/>
  <c r="D27" i="6"/>
  <c r="B27" i="6"/>
  <c r="C27" i="6" s="1"/>
  <c r="K26" i="6"/>
  <c r="J26" i="6"/>
  <c r="I26" i="6"/>
  <c r="H26" i="6"/>
  <c r="G26" i="6"/>
  <c r="F26" i="6"/>
  <c r="E26" i="6"/>
  <c r="B26" i="6"/>
  <c r="C26" i="6" s="1"/>
  <c r="D26" i="6" s="1"/>
  <c r="K25" i="6"/>
  <c r="J25" i="6"/>
  <c r="I25" i="6"/>
  <c r="H25" i="6"/>
  <c r="G25" i="6"/>
  <c r="F25" i="6"/>
  <c r="B25" i="6"/>
  <c r="C25" i="6" s="1"/>
  <c r="D25" i="6" s="1"/>
  <c r="E25" i="6" s="1"/>
  <c r="K24" i="6"/>
  <c r="J24" i="6"/>
  <c r="I24" i="6"/>
  <c r="H24" i="6"/>
  <c r="G24" i="6"/>
  <c r="B24" i="6"/>
  <c r="C24" i="6" s="1"/>
  <c r="D24" i="6" s="1"/>
  <c r="E24" i="6" s="1"/>
  <c r="F24" i="6" s="1"/>
  <c r="K23" i="6"/>
  <c r="J23" i="6"/>
  <c r="I23" i="6"/>
  <c r="H23" i="6"/>
  <c r="B23" i="6"/>
  <c r="C23" i="6" s="1"/>
  <c r="D23" i="6" s="1"/>
  <c r="E23" i="6" s="1"/>
  <c r="F23" i="6" s="1"/>
  <c r="G23" i="6" s="1"/>
  <c r="K22" i="6"/>
  <c r="J22" i="6"/>
  <c r="I22" i="6"/>
  <c r="B22" i="6"/>
  <c r="C22" i="6" s="1"/>
  <c r="D22" i="6" s="1"/>
  <c r="E22" i="6" s="1"/>
  <c r="F22" i="6" s="1"/>
  <c r="G22" i="6" s="1"/>
  <c r="H22" i="6" s="1"/>
  <c r="K21" i="6"/>
  <c r="J21" i="6"/>
  <c r="B21" i="6"/>
  <c r="C21" i="6" s="1"/>
  <c r="D21" i="6" s="1"/>
  <c r="E21" i="6" s="1"/>
  <c r="F21" i="6" s="1"/>
  <c r="G21" i="6" s="1"/>
  <c r="H21" i="6" s="1"/>
  <c r="I21" i="6" s="1"/>
  <c r="K20" i="6"/>
  <c r="B20" i="6"/>
  <c r="C20" i="6" s="1"/>
  <c r="D20" i="6" s="1"/>
  <c r="E20" i="6" s="1"/>
  <c r="F20" i="6" s="1"/>
  <c r="G20" i="6" s="1"/>
  <c r="H20" i="6" s="1"/>
  <c r="I20" i="6" s="1"/>
  <c r="J20" i="6" s="1"/>
  <c r="B19" i="6"/>
  <c r="C19" i="6" s="1"/>
  <c r="D19" i="6" s="1"/>
  <c r="E19" i="6" s="1"/>
  <c r="F19" i="6" s="1"/>
  <c r="G19" i="6" s="1"/>
  <c r="H19" i="6" s="1"/>
  <c r="I19" i="6" s="1"/>
  <c r="J19" i="6" s="1"/>
  <c r="K19" i="6" s="1"/>
  <c r="K29" i="6" s="1"/>
  <c r="J30" i="6" s="1"/>
  <c r="K13" i="6"/>
  <c r="J13" i="6"/>
  <c r="I13" i="6"/>
  <c r="H13" i="6"/>
  <c r="G13" i="6"/>
  <c r="F13" i="6"/>
  <c r="E13" i="6"/>
  <c r="D13" i="6"/>
  <c r="C13" i="6"/>
  <c r="B13" i="6"/>
  <c r="K12" i="6"/>
  <c r="J12" i="6"/>
  <c r="I12" i="6"/>
  <c r="H12" i="6"/>
  <c r="G12" i="6"/>
  <c r="F12" i="6"/>
  <c r="E12" i="6"/>
  <c r="D12" i="6"/>
  <c r="B12" i="6"/>
  <c r="C12" i="6" s="1"/>
  <c r="K11" i="6"/>
  <c r="J11" i="6"/>
  <c r="I11" i="6"/>
  <c r="H11" i="6"/>
  <c r="G11" i="6"/>
  <c r="F11" i="6"/>
  <c r="E11" i="6"/>
  <c r="B11" i="6"/>
  <c r="C11" i="6" s="1"/>
  <c r="D11" i="6" s="1"/>
  <c r="K10" i="6"/>
  <c r="J10" i="6"/>
  <c r="I10" i="6"/>
  <c r="H10" i="6"/>
  <c r="G10" i="6"/>
  <c r="F10" i="6"/>
  <c r="B10" i="6"/>
  <c r="C10" i="6" s="1"/>
  <c r="D10" i="6" s="1"/>
  <c r="E10" i="6" s="1"/>
  <c r="K9" i="6"/>
  <c r="J9" i="6"/>
  <c r="I9" i="6"/>
  <c r="H9" i="6"/>
  <c r="G9" i="6"/>
  <c r="B9" i="6"/>
  <c r="C9" i="6" s="1"/>
  <c r="D9" i="6" s="1"/>
  <c r="E9" i="6" s="1"/>
  <c r="F9" i="6" s="1"/>
  <c r="K8" i="6"/>
  <c r="J8" i="6"/>
  <c r="I8" i="6"/>
  <c r="H8" i="6"/>
  <c r="B8" i="6"/>
  <c r="C8" i="6" s="1"/>
  <c r="D8" i="6" s="1"/>
  <c r="E8" i="6" s="1"/>
  <c r="F8" i="6" s="1"/>
  <c r="G8" i="6" s="1"/>
  <c r="K7" i="6"/>
  <c r="J7" i="6"/>
  <c r="I7" i="6"/>
  <c r="B7" i="6"/>
  <c r="C7" i="6" s="1"/>
  <c r="D7" i="6" s="1"/>
  <c r="E7" i="6" s="1"/>
  <c r="F7" i="6" s="1"/>
  <c r="G7" i="6" s="1"/>
  <c r="H7" i="6" s="1"/>
  <c r="K6" i="6"/>
  <c r="J6" i="6"/>
  <c r="B6" i="6"/>
  <c r="C6" i="6" s="1"/>
  <c r="D6" i="6" s="1"/>
  <c r="E6" i="6" s="1"/>
  <c r="F6" i="6" s="1"/>
  <c r="G6" i="6" s="1"/>
  <c r="H6" i="6" s="1"/>
  <c r="I6" i="6" s="1"/>
  <c r="K5" i="6"/>
  <c r="B5" i="6"/>
  <c r="C5" i="6" s="1"/>
  <c r="D5" i="6" s="1"/>
  <c r="E5" i="6" s="1"/>
  <c r="F5" i="6" s="1"/>
  <c r="G5" i="6" s="1"/>
  <c r="H5" i="6" s="1"/>
  <c r="I5" i="6" s="1"/>
  <c r="J5" i="6" s="1"/>
  <c r="B4" i="6"/>
  <c r="C4" i="6" s="1"/>
  <c r="D4" i="6" s="1"/>
  <c r="E4" i="6" s="1"/>
  <c r="F4" i="6" s="1"/>
  <c r="G4" i="6" s="1"/>
  <c r="H4" i="6" s="1"/>
  <c r="I4" i="6" s="1"/>
  <c r="J4" i="6" s="1"/>
  <c r="K4" i="6" s="1"/>
  <c r="K50" i="7"/>
  <c r="J50" i="7"/>
  <c r="I50" i="7"/>
  <c r="H50" i="7"/>
  <c r="G50" i="7"/>
  <c r="F50" i="7"/>
  <c r="E50" i="7"/>
  <c r="D50" i="7"/>
  <c r="B50" i="7"/>
  <c r="C50" i="7" s="1"/>
  <c r="K49" i="7"/>
  <c r="J49" i="7"/>
  <c r="I49" i="7"/>
  <c r="H49" i="7"/>
  <c r="G49" i="7"/>
  <c r="F49" i="7"/>
  <c r="E49" i="7"/>
  <c r="B49" i="7"/>
  <c r="C49" i="7" s="1"/>
  <c r="D49" i="7" s="1"/>
  <c r="K48" i="7"/>
  <c r="J48" i="7"/>
  <c r="I48" i="7"/>
  <c r="H48" i="7"/>
  <c r="G48" i="7"/>
  <c r="F48" i="7"/>
  <c r="B48" i="7"/>
  <c r="C48" i="7" s="1"/>
  <c r="D48" i="7" s="1"/>
  <c r="E48" i="7" s="1"/>
  <c r="K47" i="7"/>
  <c r="J47" i="7"/>
  <c r="I47" i="7"/>
  <c r="H47" i="7"/>
  <c r="G47" i="7"/>
  <c r="C47" i="7"/>
  <c r="D47" i="7" s="1"/>
  <c r="E47" i="7" s="1"/>
  <c r="F47" i="7" s="1"/>
  <c r="B47" i="7"/>
  <c r="K46" i="7"/>
  <c r="J46" i="7"/>
  <c r="I46" i="7"/>
  <c r="H46" i="7"/>
  <c r="B46" i="7"/>
  <c r="C46" i="7" s="1"/>
  <c r="D46" i="7" s="1"/>
  <c r="E46" i="7" s="1"/>
  <c r="F46" i="7" s="1"/>
  <c r="G46" i="7" s="1"/>
  <c r="K45" i="7"/>
  <c r="J45" i="7"/>
  <c r="I45" i="7"/>
  <c r="D45" i="7"/>
  <c r="E45" i="7" s="1"/>
  <c r="F45" i="7" s="1"/>
  <c r="G45" i="7" s="1"/>
  <c r="H45" i="7" s="1"/>
  <c r="C45" i="7"/>
  <c r="B45" i="7"/>
  <c r="K44" i="7"/>
  <c r="J44" i="7"/>
  <c r="B44" i="7"/>
  <c r="C44" i="7" s="1"/>
  <c r="D44" i="7" s="1"/>
  <c r="E44" i="7" s="1"/>
  <c r="F44" i="7" s="1"/>
  <c r="G44" i="7" s="1"/>
  <c r="H44" i="7" s="1"/>
  <c r="I44" i="7" s="1"/>
  <c r="K43" i="7"/>
  <c r="B43" i="7"/>
  <c r="C43" i="7" s="1"/>
  <c r="D43" i="7" s="1"/>
  <c r="E43" i="7" s="1"/>
  <c r="F43" i="7" s="1"/>
  <c r="G43" i="7" s="1"/>
  <c r="H43" i="7" s="1"/>
  <c r="I43" i="7" s="1"/>
  <c r="J43" i="7" s="1"/>
  <c r="B42" i="7"/>
  <c r="C42" i="7" s="1"/>
  <c r="D42" i="7" s="1"/>
  <c r="E42" i="7" s="1"/>
  <c r="F42" i="7" s="1"/>
  <c r="G42" i="7" s="1"/>
  <c r="H42" i="7" s="1"/>
  <c r="I42" i="7" s="1"/>
  <c r="J42" i="7" s="1"/>
  <c r="K42" i="7" s="1"/>
  <c r="K32" i="7"/>
  <c r="J32" i="7"/>
  <c r="I32" i="7"/>
  <c r="H32" i="7"/>
  <c r="G32" i="7"/>
  <c r="F32" i="7"/>
  <c r="E32" i="7"/>
  <c r="D32" i="7"/>
  <c r="C32" i="7"/>
  <c r="B32" i="7"/>
  <c r="K31" i="7"/>
  <c r="J31" i="7"/>
  <c r="I31" i="7"/>
  <c r="H31" i="7"/>
  <c r="G31" i="7"/>
  <c r="F31" i="7"/>
  <c r="E31" i="7"/>
  <c r="D31" i="7"/>
  <c r="B31" i="7"/>
  <c r="C31" i="7" s="1"/>
  <c r="K30" i="7"/>
  <c r="J30" i="7"/>
  <c r="I30" i="7"/>
  <c r="H30" i="7"/>
  <c r="G30" i="7"/>
  <c r="F30" i="7"/>
  <c r="E30" i="7"/>
  <c r="D30" i="7"/>
  <c r="C30" i="7"/>
  <c r="B30" i="7"/>
  <c r="K29" i="7"/>
  <c r="J29" i="7"/>
  <c r="I29" i="7"/>
  <c r="H29" i="7"/>
  <c r="G29" i="7"/>
  <c r="F29" i="7"/>
  <c r="B29" i="7"/>
  <c r="C29" i="7" s="1"/>
  <c r="D29" i="7" s="1"/>
  <c r="E29" i="7" s="1"/>
  <c r="K28" i="7"/>
  <c r="J28" i="7"/>
  <c r="I28" i="7"/>
  <c r="H28" i="7"/>
  <c r="G28" i="7"/>
  <c r="B28" i="7"/>
  <c r="C28" i="7" s="1"/>
  <c r="D28" i="7" s="1"/>
  <c r="E28" i="7" s="1"/>
  <c r="F28" i="7" s="1"/>
  <c r="K27" i="7"/>
  <c r="J27" i="7"/>
  <c r="I27" i="7"/>
  <c r="H27" i="7"/>
  <c r="B27" i="7"/>
  <c r="C27" i="7" s="1"/>
  <c r="D27" i="7" s="1"/>
  <c r="E27" i="7" s="1"/>
  <c r="F27" i="7" s="1"/>
  <c r="G27" i="7" s="1"/>
  <c r="K26" i="7"/>
  <c r="J26" i="7"/>
  <c r="I26" i="7"/>
  <c r="C26" i="7"/>
  <c r="D26" i="7" s="1"/>
  <c r="E26" i="7" s="1"/>
  <c r="F26" i="7" s="1"/>
  <c r="G26" i="7" s="1"/>
  <c r="H26" i="7" s="1"/>
  <c r="B26" i="7"/>
  <c r="K25" i="7"/>
  <c r="J25" i="7"/>
  <c r="B25" i="7"/>
  <c r="C25" i="7" s="1"/>
  <c r="D25" i="7" s="1"/>
  <c r="E25" i="7" s="1"/>
  <c r="F25" i="7" s="1"/>
  <c r="G25" i="7" s="1"/>
  <c r="H25" i="7" s="1"/>
  <c r="I25" i="7" s="1"/>
  <c r="K24" i="7"/>
  <c r="D24" i="7"/>
  <c r="E24" i="7" s="1"/>
  <c r="F24" i="7" s="1"/>
  <c r="G24" i="7" s="1"/>
  <c r="H24" i="7" s="1"/>
  <c r="I24" i="7" s="1"/>
  <c r="J24" i="7" s="1"/>
  <c r="C24" i="7"/>
  <c r="B24" i="7"/>
  <c r="B23" i="7"/>
  <c r="C23" i="7" s="1"/>
  <c r="D23" i="7" s="1"/>
  <c r="E23" i="7" s="1"/>
  <c r="F23" i="7" s="1"/>
  <c r="G23" i="7" s="1"/>
  <c r="H23" i="7" s="1"/>
  <c r="I23" i="7" s="1"/>
  <c r="J23" i="7" s="1"/>
  <c r="K23" i="7" s="1"/>
  <c r="K13" i="7"/>
  <c r="J13" i="7"/>
  <c r="I13" i="7"/>
  <c r="H13" i="7"/>
  <c r="G13" i="7"/>
  <c r="F13" i="7"/>
  <c r="E13" i="7"/>
  <c r="D13" i="7"/>
  <c r="C13" i="7"/>
  <c r="B13" i="7"/>
  <c r="K12" i="7"/>
  <c r="J12" i="7"/>
  <c r="I12" i="7"/>
  <c r="H12" i="7"/>
  <c r="G12" i="7"/>
  <c r="F12" i="7"/>
  <c r="E12" i="7"/>
  <c r="D12" i="7"/>
  <c r="B12" i="7"/>
  <c r="C12" i="7" s="1"/>
  <c r="K11" i="7"/>
  <c r="J11" i="7"/>
  <c r="I11" i="7"/>
  <c r="H11" i="7"/>
  <c r="G11" i="7"/>
  <c r="F11" i="7"/>
  <c r="E11" i="7"/>
  <c r="C11" i="7"/>
  <c r="D11" i="7" s="1"/>
  <c r="B11" i="7"/>
  <c r="K10" i="7"/>
  <c r="J10" i="7"/>
  <c r="I10" i="7"/>
  <c r="H10" i="7"/>
  <c r="G10" i="7"/>
  <c r="F10" i="7"/>
  <c r="B10" i="7"/>
  <c r="C10" i="7" s="1"/>
  <c r="D10" i="7" s="1"/>
  <c r="E10" i="7" s="1"/>
  <c r="K9" i="7"/>
  <c r="J9" i="7"/>
  <c r="I9" i="7"/>
  <c r="H9" i="7"/>
  <c r="G9" i="7"/>
  <c r="D9" i="7"/>
  <c r="E9" i="7" s="1"/>
  <c r="F9" i="7" s="1"/>
  <c r="C9" i="7"/>
  <c r="B9" i="7"/>
  <c r="K8" i="7"/>
  <c r="J8" i="7"/>
  <c r="I8" i="7"/>
  <c r="H8" i="7"/>
  <c r="B8" i="7"/>
  <c r="C8" i="7" s="1"/>
  <c r="D8" i="7" s="1"/>
  <c r="E8" i="7" s="1"/>
  <c r="F8" i="7" s="1"/>
  <c r="G8" i="7" s="1"/>
  <c r="K7" i="7"/>
  <c r="J7" i="7"/>
  <c r="I7" i="7"/>
  <c r="B7" i="7"/>
  <c r="C7" i="7" s="1"/>
  <c r="D7" i="7" s="1"/>
  <c r="E7" i="7" s="1"/>
  <c r="F7" i="7" s="1"/>
  <c r="G7" i="7" s="1"/>
  <c r="H7" i="7" s="1"/>
  <c r="K6" i="7"/>
  <c r="J6" i="7"/>
  <c r="B6" i="7"/>
  <c r="C6" i="7" s="1"/>
  <c r="D6" i="7" s="1"/>
  <c r="E6" i="7" s="1"/>
  <c r="F6" i="7" s="1"/>
  <c r="G6" i="7" s="1"/>
  <c r="H6" i="7" s="1"/>
  <c r="I6" i="7" s="1"/>
  <c r="K5" i="7"/>
  <c r="C5" i="7"/>
  <c r="D5" i="7" s="1"/>
  <c r="E5" i="7" s="1"/>
  <c r="F5" i="7" s="1"/>
  <c r="G5" i="7" s="1"/>
  <c r="H5" i="7" s="1"/>
  <c r="I5" i="7" s="1"/>
  <c r="J5" i="7" s="1"/>
  <c r="B5" i="7"/>
  <c r="C4" i="7"/>
  <c r="D4" i="7" s="1"/>
  <c r="E4" i="7" s="1"/>
  <c r="F4" i="7" s="1"/>
  <c r="G4" i="7" s="1"/>
  <c r="H4" i="7" s="1"/>
  <c r="I4" i="7" s="1"/>
  <c r="J4" i="7" s="1"/>
  <c r="K4" i="7" s="1"/>
  <c r="K42" i="5"/>
  <c r="J42" i="5"/>
  <c r="I42" i="5"/>
  <c r="H42" i="5"/>
  <c r="G42" i="5"/>
  <c r="F42" i="5"/>
  <c r="E42" i="5"/>
  <c r="D42" i="5"/>
  <c r="C42" i="5"/>
  <c r="B42" i="5"/>
  <c r="K41" i="5"/>
  <c r="J41" i="5"/>
  <c r="I41" i="5"/>
  <c r="H41" i="5"/>
  <c r="G41" i="5"/>
  <c r="F41" i="5"/>
  <c r="E41" i="5"/>
  <c r="B41" i="5"/>
  <c r="C41" i="5" s="1"/>
  <c r="D41" i="5" s="1"/>
  <c r="K40" i="5"/>
  <c r="J40" i="5"/>
  <c r="I40" i="5"/>
  <c r="H40" i="5"/>
  <c r="G40" i="5"/>
  <c r="F40" i="5"/>
  <c r="B40" i="5"/>
  <c r="C40" i="5" s="1"/>
  <c r="D40" i="5" s="1"/>
  <c r="E40" i="5" s="1"/>
  <c r="K39" i="5"/>
  <c r="J39" i="5"/>
  <c r="I39" i="5"/>
  <c r="H39" i="5"/>
  <c r="G39" i="5"/>
  <c r="B39" i="5"/>
  <c r="C39" i="5" s="1"/>
  <c r="D39" i="5" s="1"/>
  <c r="E39" i="5" s="1"/>
  <c r="F39" i="5" s="1"/>
  <c r="K38" i="5"/>
  <c r="J38" i="5"/>
  <c r="I38" i="5"/>
  <c r="H38" i="5"/>
  <c r="C38" i="5"/>
  <c r="D38" i="5" s="1"/>
  <c r="E38" i="5" s="1"/>
  <c r="F38" i="5" s="1"/>
  <c r="G38" i="5" s="1"/>
  <c r="B38" i="5"/>
  <c r="K37" i="5"/>
  <c r="J37" i="5"/>
  <c r="I37" i="5"/>
  <c r="B37" i="5"/>
  <c r="C37" i="5" s="1"/>
  <c r="D37" i="5" s="1"/>
  <c r="E37" i="5" s="1"/>
  <c r="F37" i="5" s="1"/>
  <c r="G37" i="5" s="1"/>
  <c r="H37" i="5" s="1"/>
  <c r="K36" i="5"/>
  <c r="J36" i="5"/>
  <c r="C36" i="5"/>
  <c r="D36" i="5" s="1"/>
  <c r="E36" i="5" s="1"/>
  <c r="F36" i="5" s="1"/>
  <c r="G36" i="5" s="1"/>
  <c r="H36" i="5" s="1"/>
  <c r="I36" i="5" s="1"/>
  <c r="B36" i="5"/>
  <c r="K35" i="5"/>
  <c r="B35" i="5"/>
  <c r="C35" i="5" s="1"/>
  <c r="D35" i="5" s="1"/>
  <c r="E35" i="5" s="1"/>
  <c r="F35" i="5" s="1"/>
  <c r="G35" i="5" s="1"/>
  <c r="H35" i="5" s="1"/>
  <c r="I35" i="5" s="1"/>
  <c r="J35" i="5" s="1"/>
  <c r="B34" i="5"/>
  <c r="C34" i="5" s="1"/>
  <c r="D34" i="5" s="1"/>
  <c r="E34" i="5" s="1"/>
  <c r="F34" i="5" s="1"/>
  <c r="G34" i="5" s="1"/>
  <c r="H34" i="5" s="1"/>
  <c r="I34" i="5" s="1"/>
  <c r="J34" i="5" s="1"/>
  <c r="K34" i="5" s="1"/>
  <c r="K28" i="5"/>
  <c r="J28" i="5"/>
  <c r="I28" i="5"/>
  <c r="H28" i="5"/>
  <c r="G28" i="5"/>
  <c r="F28" i="5"/>
  <c r="E28" i="5"/>
  <c r="D28" i="5"/>
  <c r="C28" i="5"/>
  <c r="B28" i="5"/>
  <c r="K27" i="5"/>
  <c r="J27" i="5"/>
  <c r="I27" i="5"/>
  <c r="H27" i="5"/>
  <c r="G27" i="5"/>
  <c r="F27" i="5"/>
  <c r="E27" i="5"/>
  <c r="D27" i="5"/>
  <c r="C27" i="5"/>
  <c r="B27" i="5"/>
  <c r="K26" i="5"/>
  <c r="J26" i="5"/>
  <c r="I26" i="5"/>
  <c r="H26" i="5"/>
  <c r="G26" i="5"/>
  <c r="F26" i="5"/>
  <c r="E26" i="5"/>
  <c r="B26" i="5"/>
  <c r="C26" i="5" s="1"/>
  <c r="D26" i="5" s="1"/>
  <c r="K25" i="5"/>
  <c r="J25" i="5"/>
  <c r="I25" i="5"/>
  <c r="H25" i="5"/>
  <c r="G25" i="5"/>
  <c r="F25" i="5"/>
  <c r="C25" i="5"/>
  <c r="D25" i="5" s="1"/>
  <c r="E25" i="5" s="1"/>
  <c r="B25" i="5"/>
  <c r="K24" i="5"/>
  <c r="J24" i="5"/>
  <c r="I24" i="5"/>
  <c r="H24" i="5"/>
  <c r="G24" i="5"/>
  <c r="B24" i="5"/>
  <c r="C24" i="5" s="1"/>
  <c r="D24" i="5" s="1"/>
  <c r="E24" i="5" s="1"/>
  <c r="F24" i="5" s="1"/>
  <c r="K23" i="5"/>
  <c r="J23" i="5"/>
  <c r="I23" i="5"/>
  <c r="H23" i="5"/>
  <c r="B23" i="5"/>
  <c r="C23" i="5" s="1"/>
  <c r="D23" i="5" s="1"/>
  <c r="E23" i="5" s="1"/>
  <c r="F23" i="5" s="1"/>
  <c r="G23" i="5" s="1"/>
  <c r="K22" i="5"/>
  <c r="J22" i="5"/>
  <c r="I22" i="5"/>
  <c r="B22" i="5"/>
  <c r="C22" i="5" s="1"/>
  <c r="D22" i="5" s="1"/>
  <c r="E22" i="5" s="1"/>
  <c r="F22" i="5" s="1"/>
  <c r="G22" i="5" s="1"/>
  <c r="H22" i="5" s="1"/>
  <c r="K21" i="5"/>
  <c r="J21" i="5"/>
  <c r="C21" i="5"/>
  <c r="D21" i="5" s="1"/>
  <c r="E21" i="5" s="1"/>
  <c r="F21" i="5" s="1"/>
  <c r="G21" i="5" s="1"/>
  <c r="H21" i="5" s="1"/>
  <c r="I21" i="5" s="1"/>
  <c r="B21" i="5"/>
  <c r="K20" i="5"/>
  <c r="B20" i="5"/>
  <c r="C20" i="5" s="1"/>
  <c r="D20" i="5" s="1"/>
  <c r="E20" i="5" s="1"/>
  <c r="F20" i="5" s="1"/>
  <c r="G20" i="5" s="1"/>
  <c r="H20" i="5" s="1"/>
  <c r="I20" i="5" s="1"/>
  <c r="J20" i="5" s="1"/>
  <c r="C19" i="5"/>
  <c r="D19" i="5" s="1"/>
  <c r="E19" i="5" s="1"/>
  <c r="F19" i="5" s="1"/>
  <c r="G19" i="5" s="1"/>
  <c r="H19" i="5" s="1"/>
  <c r="I19" i="5" s="1"/>
  <c r="J19" i="5" s="1"/>
  <c r="K19" i="5" s="1"/>
  <c r="B19" i="5"/>
  <c r="K13" i="5"/>
  <c r="J13" i="5"/>
  <c r="I13" i="5"/>
  <c r="H13" i="5"/>
  <c r="G13" i="5"/>
  <c r="F13" i="5"/>
  <c r="E13" i="5"/>
  <c r="D13" i="5"/>
  <c r="C13" i="5"/>
  <c r="B13" i="5"/>
  <c r="K12" i="5"/>
  <c r="J12" i="5"/>
  <c r="I12" i="5"/>
  <c r="H12" i="5"/>
  <c r="G12" i="5"/>
  <c r="F12" i="5"/>
  <c r="E12" i="5"/>
  <c r="D12" i="5"/>
  <c r="B12" i="5"/>
  <c r="C12" i="5" s="1"/>
  <c r="K11" i="5"/>
  <c r="J11" i="5"/>
  <c r="I11" i="5"/>
  <c r="H11" i="5"/>
  <c r="G11" i="5"/>
  <c r="F11" i="5"/>
  <c r="E11" i="5"/>
  <c r="B11" i="5"/>
  <c r="C11" i="5" s="1"/>
  <c r="D11" i="5" s="1"/>
  <c r="K10" i="5"/>
  <c r="J10" i="5"/>
  <c r="I10" i="5"/>
  <c r="H10" i="5"/>
  <c r="G10" i="5"/>
  <c r="F10" i="5"/>
  <c r="C10" i="5"/>
  <c r="D10" i="5" s="1"/>
  <c r="E10" i="5" s="1"/>
  <c r="B10" i="5"/>
  <c r="K9" i="5"/>
  <c r="J9" i="5"/>
  <c r="I9" i="5"/>
  <c r="H9" i="5"/>
  <c r="G9" i="5"/>
  <c r="B9" i="5"/>
  <c r="C9" i="5" s="1"/>
  <c r="D9" i="5" s="1"/>
  <c r="E9" i="5" s="1"/>
  <c r="F9" i="5" s="1"/>
  <c r="K8" i="5"/>
  <c r="J8" i="5"/>
  <c r="I8" i="5"/>
  <c r="H8" i="5"/>
  <c r="C8" i="5"/>
  <c r="D8" i="5" s="1"/>
  <c r="E8" i="5" s="1"/>
  <c r="F8" i="5" s="1"/>
  <c r="G8" i="5" s="1"/>
  <c r="B8" i="5"/>
  <c r="K7" i="5"/>
  <c r="J7" i="5"/>
  <c r="I7" i="5"/>
  <c r="B7" i="5"/>
  <c r="C7" i="5" s="1"/>
  <c r="D7" i="5" s="1"/>
  <c r="E7" i="5" s="1"/>
  <c r="F7" i="5" s="1"/>
  <c r="G7" i="5" s="1"/>
  <c r="H7" i="5" s="1"/>
  <c r="K6" i="5"/>
  <c r="J6" i="5"/>
  <c r="B6" i="5"/>
  <c r="C6" i="5" s="1"/>
  <c r="D6" i="5" s="1"/>
  <c r="E6" i="5" s="1"/>
  <c r="F6" i="5" s="1"/>
  <c r="G6" i="5" s="1"/>
  <c r="H6" i="5" s="1"/>
  <c r="I6" i="5" s="1"/>
  <c r="K5" i="5"/>
  <c r="B5" i="5"/>
  <c r="C5" i="5" s="1"/>
  <c r="D5" i="5" s="1"/>
  <c r="E5" i="5" s="1"/>
  <c r="F5" i="5" s="1"/>
  <c r="G5" i="5" s="1"/>
  <c r="H5" i="5" s="1"/>
  <c r="I5" i="5" s="1"/>
  <c r="J5" i="5" s="1"/>
  <c r="C4" i="5"/>
  <c r="D4" i="5" s="1"/>
  <c r="E4" i="5" s="1"/>
  <c r="F4" i="5" s="1"/>
  <c r="G4" i="5" s="1"/>
  <c r="H4" i="5" s="1"/>
  <c r="I4" i="5" s="1"/>
  <c r="J4" i="5" s="1"/>
  <c r="K4" i="5" s="1"/>
  <c r="B4" i="5"/>
  <c r="K43" i="5"/>
  <c r="J43" i="5"/>
  <c r="I43" i="5"/>
  <c r="H43" i="5"/>
  <c r="G43" i="5"/>
  <c r="F43" i="5"/>
  <c r="E43" i="5"/>
  <c r="D43" i="5"/>
  <c r="C43" i="5"/>
  <c r="B43" i="5"/>
  <c r="K51" i="7"/>
  <c r="J51" i="7"/>
  <c r="I51" i="7"/>
  <c r="H51" i="7"/>
  <c r="G51" i="7"/>
  <c r="F51" i="7"/>
  <c r="E51" i="7"/>
  <c r="D51" i="7"/>
  <c r="C51" i="7"/>
  <c r="B51" i="7"/>
  <c r="AB6" i="10" l="1"/>
  <c r="BQ13" i="10"/>
  <c r="BQ12" i="10"/>
  <c r="BQ11" i="10"/>
  <c r="BQ10" i="10"/>
  <c r="BQ9" i="10"/>
  <c r="BQ8" i="10"/>
  <c r="BQ7" i="10"/>
  <c r="BQ6" i="10"/>
  <c r="BQ5" i="10"/>
  <c r="BQ4" i="10"/>
  <c r="AC6" i="10"/>
  <c r="BR12" i="10"/>
  <c r="BR11" i="10"/>
  <c r="BR10" i="10"/>
  <c r="BR9" i="10"/>
  <c r="BR8" i="10"/>
  <c r="BR7" i="10"/>
  <c r="BR6" i="10"/>
  <c r="BR5" i="10"/>
  <c r="BR4" i="10"/>
  <c r="AT11" i="10"/>
  <c r="AT10" i="10"/>
  <c r="AT9" i="10"/>
  <c r="AT8" i="10"/>
  <c r="AT7" i="10"/>
  <c r="AT6" i="10"/>
  <c r="AT5" i="10"/>
  <c r="AT4" i="10"/>
  <c r="AD6" i="10"/>
  <c r="BS11" i="10"/>
  <c r="BS10" i="10"/>
  <c r="BS9" i="10"/>
  <c r="BS8" i="10"/>
  <c r="BS7" i="10"/>
  <c r="BS6" i="10"/>
  <c r="BS5" i="10"/>
  <c r="BS4" i="10"/>
  <c r="AU10" i="10"/>
  <c r="AU9" i="10"/>
  <c r="AU8" i="10"/>
  <c r="AU7" i="10"/>
  <c r="AU6" i="10"/>
  <c r="AU5" i="10"/>
  <c r="AU4" i="10"/>
  <c r="AE6" i="10"/>
  <c r="BT10" i="10"/>
  <c r="BT9" i="10"/>
  <c r="BT8" i="10"/>
  <c r="BT7" i="10"/>
  <c r="BT6" i="10"/>
  <c r="BT5" i="10"/>
  <c r="BT4" i="10"/>
  <c r="AV9" i="10"/>
  <c r="AV8" i="10"/>
  <c r="AV7" i="10"/>
  <c r="AV6" i="10"/>
  <c r="AV5" i="10"/>
  <c r="AV4" i="10"/>
  <c r="AF6" i="10"/>
  <c r="BU9" i="10"/>
  <c r="BU8" i="10"/>
  <c r="BU7" i="10"/>
  <c r="BU6" i="10"/>
  <c r="BU5" i="10"/>
  <c r="BU4" i="10"/>
  <c r="AW8" i="10"/>
  <c r="AW7" i="10"/>
  <c r="AW6" i="10"/>
  <c r="AW5" i="10"/>
  <c r="AW4" i="10"/>
  <c r="AG6" i="10"/>
  <c r="BV8" i="10"/>
  <c r="BV7" i="10"/>
  <c r="BV6" i="10"/>
  <c r="BV5" i="10"/>
  <c r="BV4" i="10"/>
  <c r="AX7" i="10"/>
  <c r="AX6" i="10"/>
  <c r="AX5" i="10"/>
  <c r="AX4" i="10"/>
  <c r="AH6" i="10"/>
  <c r="BW7" i="10"/>
  <c r="BW6" i="10"/>
  <c r="BW5" i="10"/>
  <c r="BW4" i="10"/>
  <c r="AY6" i="10"/>
  <c r="AY5" i="10"/>
  <c r="AY4" i="10"/>
  <c r="AI6" i="10"/>
  <c r="BX6" i="10"/>
  <c r="BX5" i="10"/>
  <c r="BX4" i="10"/>
  <c r="AZ5" i="10"/>
  <c r="AZ4" i="10"/>
  <c r="AJ6" i="10"/>
  <c r="BY5" i="10"/>
  <c r="BY4" i="10"/>
  <c r="D54" i="11"/>
  <c r="E42" i="11"/>
  <c r="D35" i="11"/>
  <c r="E23" i="11"/>
  <c r="D16" i="11"/>
  <c r="E4" i="11"/>
  <c r="P55" i="10"/>
  <c r="P35" i="10"/>
  <c r="P16" i="10"/>
  <c r="D34" i="6"/>
  <c r="C44" i="6"/>
  <c r="F14" i="6"/>
  <c r="J14" i="6"/>
  <c r="D29" i="6"/>
  <c r="K14" i="6"/>
  <c r="J15" i="6" s="1"/>
  <c r="E29" i="6"/>
  <c r="F29" i="6"/>
  <c r="G29" i="6"/>
  <c r="H29" i="6"/>
  <c r="C14" i="6"/>
  <c r="I29" i="6"/>
  <c r="D14" i="6"/>
  <c r="J29" i="6"/>
  <c r="I30" i="6" s="1"/>
  <c r="E14" i="6"/>
  <c r="G14" i="6"/>
  <c r="H14" i="6"/>
  <c r="I14" i="6"/>
  <c r="C29" i="6"/>
  <c r="F29" i="8"/>
  <c r="F44" i="8"/>
  <c r="F14" i="8"/>
  <c r="C16" i="7"/>
  <c r="C35" i="7"/>
  <c r="C54" i="7"/>
  <c r="H30" i="6" l="1"/>
  <c r="BF4" i="10"/>
  <c r="DB4" i="10" s="1"/>
  <c r="BF11" i="10"/>
  <c r="DB11" i="10" s="1"/>
  <c r="BF10" i="10"/>
  <c r="DB10" i="10" s="1"/>
  <c r="BF9" i="10"/>
  <c r="DB9" i="10" s="1"/>
  <c r="BF8" i="10"/>
  <c r="DB8" i="10" s="1"/>
  <c r="BF7" i="10"/>
  <c r="DB7" i="10" s="1"/>
  <c r="BF6" i="10"/>
  <c r="DB6" i="10" s="1"/>
  <c r="BF5" i="10"/>
  <c r="DB5" i="10" s="1"/>
  <c r="DB12" i="10"/>
  <c r="CK4" i="10"/>
  <c r="CW4" i="10" s="1"/>
  <c r="CK5" i="10"/>
  <c r="CJ4" i="10"/>
  <c r="CV4" i="10" s="1"/>
  <c r="CJ6" i="10"/>
  <c r="CJ5" i="10"/>
  <c r="CV5" i="10" s="1"/>
  <c r="AH10" i="10"/>
  <c r="CI4" i="10"/>
  <c r="CU4" i="10" s="1"/>
  <c r="CI7" i="10"/>
  <c r="CI6" i="10"/>
  <c r="CU6" i="10" s="1"/>
  <c r="CI5" i="10"/>
  <c r="CU5" i="10" s="1"/>
  <c r="AG10" i="10"/>
  <c r="CH4" i="10"/>
  <c r="CT4" i="10" s="1"/>
  <c r="CH8" i="10"/>
  <c r="CT8" i="10" s="1"/>
  <c r="CH7" i="10"/>
  <c r="CT7" i="10" s="1"/>
  <c r="CH6" i="10"/>
  <c r="CT6" i="10" s="1"/>
  <c r="CH5" i="10"/>
  <c r="CT5" i="10" s="1"/>
  <c r="AF10" i="10"/>
  <c r="CG4" i="10"/>
  <c r="CS4" i="10" s="1"/>
  <c r="CG9" i="10"/>
  <c r="CS9" i="10" s="1"/>
  <c r="CG8" i="10"/>
  <c r="CS8" i="10" s="1"/>
  <c r="CG7" i="10"/>
  <c r="CS7" i="10" s="1"/>
  <c r="CG6" i="10"/>
  <c r="CS6" i="10" s="1"/>
  <c r="CG5" i="10"/>
  <c r="CS5" i="10" s="1"/>
  <c r="CF4" i="10"/>
  <c r="CR4" i="10" s="1"/>
  <c r="CF10" i="10"/>
  <c r="CR10" i="10" s="1"/>
  <c r="CF9" i="10"/>
  <c r="CR9" i="10" s="1"/>
  <c r="CF8" i="10"/>
  <c r="CR8" i="10" s="1"/>
  <c r="CF7" i="10"/>
  <c r="CR7" i="10" s="1"/>
  <c r="CF6" i="10"/>
  <c r="CR6" i="10" s="1"/>
  <c r="CF5" i="10"/>
  <c r="CR5" i="10" s="1"/>
  <c r="AD10" i="10"/>
  <c r="CE4" i="10"/>
  <c r="CQ4" i="10" s="1"/>
  <c r="CE11" i="10"/>
  <c r="CQ11" i="10" s="1"/>
  <c r="CE10" i="10"/>
  <c r="CQ10" i="10" s="1"/>
  <c r="CE9" i="10"/>
  <c r="CQ9" i="10" s="1"/>
  <c r="CE8" i="10"/>
  <c r="CQ8" i="10" s="1"/>
  <c r="CE7" i="10"/>
  <c r="CQ7" i="10" s="1"/>
  <c r="CE6" i="10"/>
  <c r="CQ6" i="10" s="1"/>
  <c r="CE5" i="10"/>
  <c r="CQ5" i="10" s="1"/>
  <c r="AC10" i="10"/>
  <c r="CD4" i="10"/>
  <c r="CP4" i="10" s="1"/>
  <c r="CD12" i="10"/>
  <c r="CP12" i="10" s="1"/>
  <c r="CD11" i="10"/>
  <c r="CP11" i="10" s="1"/>
  <c r="CD10" i="10"/>
  <c r="CP10" i="10" s="1"/>
  <c r="CD9" i="10"/>
  <c r="CP9" i="10" s="1"/>
  <c r="CD8" i="10"/>
  <c r="CP8" i="10" s="1"/>
  <c r="CD7" i="10"/>
  <c r="CP7" i="10" s="1"/>
  <c r="CD6" i="10"/>
  <c r="CP6" i="10" s="1"/>
  <c r="CD5" i="10"/>
  <c r="CP5" i="10" s="1"/>
  <c r="CC13" i="10"/>
  <c r="CC12" i="10"/>
  <c r="CC11" i="10"/>
  <c r="CC10" i="10"/>
  <c r="CC9" i="10"/>
  <c r="CC8" i="10"/>
  <c r="CC7" i="10"/>
  <c r="CC6" i="10"/>
  <c r="CC5" i="10"/>
  <c r="CC4" i="10"/>
  <c r="AS12" i="10"/>
  <c r="AS11" i="10"/>
  <c r="AS8" i="10"/>
  <c r="AS7" i="10"/>
  <c r="AS6" i="10"/>
  <c r="CO5" i="10"/>
  <c r="BE4" i="10"/>
  <c r="DA4" i="10" s="1"/>
  <c r="DA12" i="10"/>
  <c r="BE11" i="10"/>
  <c r="DA11" i="10" s="1"/>
  <c r="BE10" i="10"/>
  <c r="DA10" i="10" s="1"/>
  <c r="BE9" i="10"/>
  <c r="DA9" i="10" s="1"/>
  <c r="BE8" i="10"/>
  <c r="DA8" i="10" s="1"/>
  <c r="BE7" i="10"/>
  <c r="DA7" i="10" s="1"/>
  <c r="BE6" i="10"/>
  <c r="DA6" i="10" s="1"/>
  <c r="BE5" i="10"/>
  <c r="DA5" i="10" s="1"/>
  <c r="DA13" i="10"/>
  <c r="E16" i="11"/>
  <c r="F4" i="11"/>
  <c r="E35" i="11"/>
  <c r="F23" i="11"/>
  <c r="E54" i="11"/>
  <c r="F42" i="11"/>
  <c r="Q35" i="10"/>
  <c r="Q55" i="10"/>
  <c r="Q16" i="10"/>
  <c r="H15" i="6"/>
  <c r="F30" i="6"/>
  <c r="E30" i="6"/>
  <c r="G30" i="6"/>
  <c r="B15" i="6"/>
  <c r="D30" i="6"/>
  <c r="F15" i="6"/>
  <c r="I15" i="6"/>
  <c r="E15" i="6"/>
  <c r="B30" i="6"/>
  <c r="C30" i="6"/>
  <c r="G15" i="6"/>
  <c r="D15" i="6"/>
  <c r="C15" i="6"/>
  <c r="E34" i="6"/>
  <c r="D44" i="6"/>
  <c r="D54" i="7"/>
  <c r="D35" i="7"/>
  <c r="D16" i="7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I1341" i="1"/>
  <c r="H1342" i="1"/>
  <c r="I1342" i="1"/>
  <c r="H1343" i="1"/>
  <c r="I1343" i="1"/>
  <c r="H1344" i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I1378" i="1"/>
  <c r="H1379" i="1"/>
  <c r="I1379" i="1"/>
  <c r="H1380" i="1"/>
  <c r="I1380" i="1"/>
  <c r="H1381" i="1"/>
  <c r="I1381" i="1"/>
  <c r="H1382" i="1"/>
  <c r="I1382" i="1"/>
  <c r="H1383" i="1"/>
  <c r="I1383" i="1"/>
  <c r="H1384" i="1"/>
  <c r="I1384" i="1"/>
  <c r="H1385" i="1"/>
  <c r="I1385" i="1"/>
  <c r="H1386" i="1"/>
  <c r="I1386" i="1"/>
  <c r="H1387" i="1"/>
  <c r="I1387" i="1"/>
  <c r="H1388" i="1"/>
  <c r="I1388" i="1"/>
  <c r="H1389" i="1"/>
  <c r="I1389" i="1"/>
  <c r="H1390" i="1"/>
  <c r="I1390" i="1"/>
  <c r="H1391" i="1"/>
  <c r="I1391" i="1"/>
  <c r="H1392" i="1"/>
  <c r="I1392" i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I1403" i="1"/>
  <c r="H1404" i="1"/>
  <c r="I1404" i="1"/>
  <c r="H1405" i="1"/>
  <c r="I1405" i="1"/>
  <c r="H1406" i="1"/>
  <c r="I1406" i="1"/>
  <c r="H1407" i="1"/>
  <c r="I1407" i="1"/>
  <c r="H1408" i="1"/>
  <c r="I1408" i="1"/>
  <c r="H1409" i="1"/>
  <c r="I1409" i="1"/>
  <c r="H1410" i="1"/>
  <c r="I1410" i="1"/>
  <c r="H1411" i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I1419" i="1"/>
  <c r="H1420" i="1"/>
  <c r="I1420" i="1"/>
  <c r="H1421" i="1"/>
  <c r="I1421" i="1"/>
  <c r="H1422" i="1"/>
  <c r="I1422" i="1"/>
  <c r="H1423" i="1"/>
  <c r="I1423" i="1"/>
  <c r="H1424" i="1"/>
  <c r="I1424" i="1"/>
  <c r="H1425" i="1"/>
  <c r="I1425" i="1"/>
  <c r="H1426" i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I1432" i="1"/>
  <c r="H1433" i="1"/>
  <c r="I1433" i="1"/>
  <c r="H1434" i="1"/>
  <c r="I1434" i="1"/>
  <c r="H1435" i="1"/>
  <c r="I1435" i="1"/>
  <c r="H1436" i="1"/>
  <c r="I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I1445" i="1"/>
  <c r="H1446" i="1"/>
  <c r="I1446" i="1"/>
  <c r="H1447" i="1"/>
  <c r="I1447" i="1"/>
  <c r="H1448" i="1"/>
  <c r="I1448" i="1"/>
  <c r="H1449" i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I1501" i="1"/>
  <c r="H1502" i="1"/>
  <c r="I1502" i="1"/>
  <c r="H1503" i="1"/>
  <c r="I1503" i="1"/>
  <c r="H1504" i="1"/>
  <c r="I1504" i="1"/>
  <c r="H1505" i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I1511" i="1"/>
  <c r="H1512" i="1"/>
  <c r="I1512" i="1"/>
  <c r="H1513" i="1"/>
  <c r="I1513" i="1"/>
  <c r="H1514" i="1"/>
  <c r="I1514" i="1"/>
  <c r="H1515" i="1"/>
  <c r="I1515" i="1"/>
  <c r="H1516" i="1"/>
  <c r="I1516" i="1"/>
  <c r="H1517" i="1"/>
  <c r="I1517" i="1"/>
  <c r="H1518" i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I1528" i="1"/>
  <c r="H1529" i="1"/>
  <c r="I1529" i="1"/>
  <c r="H1530" i="1"/>
  <c r="I1530" i="1"/>
  <c r="H1531" i="1"/>
  <c r="I1531" i="1"/>
  <c r="H1532" i="1"/>
  <c r="I1532" i="1"/>
  <c r="H1533" i="1"/>
  <c r="I1533" i="1"/>
  <c r="H1534" i="1"/>
  <c r="I1534" i="1"/>
  <c r="H1535" i="1"/>
  <c r="I1535" i="1"/>
  <c r="H1536" i="1"/>
  <c r="I1536" i="1"/>
  <c r="H1537" i="1"/>
  <c r="I1537" i="1"/>
  <c r="H1538" i="1"/>
  <c r="I1538" i="1"/>
  <c r="H1539" i="1"/>
  <c r="I1539" i="1"/>
  <c r="H1540" i="1"/>
  <c r="I1540" i="1"/>
  <c r="H1541" i="1"/>
  <c r="I1541" i="1"/>
  <c r="H1542" i="1"/>
  <c r="I1542" i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H1552" i="1"/>
  <c r="I1552" i="1"/>
  <c r="H1553" i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I1561" i="1"/>
  <c r="H1562" i="1"/>
  <c r="I1562" i="1"/>
  <c r="H1563" i="1"/>
  <c r="I1563" i="1"/>
  <c r="H1564" i="1"/>
  <c r="I1564" i="1"/>
  <c r="H1565" i="1"/>
  <c r="I1565" i="1"/>
  <c r="H1566" i="1"/>
  <c r="I1566" i="1"/>
  <c r="H1567" i="1"/>
  <c r="I1567" i="1"/>
  <c r="H1568" i="1"/>
  <c r="I1568" i="1"/>
  <c r="H1569" i="1"/>
  <c r="I1569" i="1"/>
  <c r="H1570" i="1"/>
  <c r="I1570" i="1"/>
  <c r="H1571" i="1"/>
  <c r="I1571" i="1"/>
  <c r="H1572" i="1"/>
  <c r="I1572" i="1"/>
  <c r="H1573" i="1"/>
  <c r="I1573" i="1"/>
  <c r="H1574" i="1"/>
  <c r="I1574" i="1"/>
  <c r="H1575" i="1"/>
  <c r="I1575" i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I1589" i="1"/>
  <c r="H1590" i="1"/>
  <c r="I1590" i="1"/>
  <c r="H1591" i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H1617" i="1"/>
  <c r="I1617" i="1"/>
  <c r="H1618" i="1"/>
  <c r="I1618" i="1"/>
  <c r="H1619" i="1"/>
  <c r="I1619" i="1"/>
  <c r="H1620" i="1"/>
  <c r="I1620" i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H1632" i="1"/>
  <c r="I1632" i="1"/>
  <c r="H1633" i="1"/>
  <c r="I1633" i="1"/>
  <c r="H1634" i="1"/>
  <c r="I1634" i="1"/>
  <c r="H1635" i="1"/>
  <c r="I1635" i="1"/>
  <c r="H1636" i="1"/>
  <c r="I1636" i="1"/>
  <c r="H1637" i="1"/>
  <c r="I1637" i="1"/>
  <c r="H1638" i="1"/>
  <c r="I1638" i="1"/>
  <c r="H1639" i="1"/>
  <c r="I1639" i="1"/>
  <c r="H1640" i="1"/>
  <c r="I1640" i="1"/>
  <c r="H1641" i="1"/>
  <c r="I1641" i="1"/>
  <c r="H1642" i="1"/>
  <c r="I1642" i="1"/>
  <c r="H1643" i="1"/>
  <c r="I1643" i="1"/>
  <c r="H1644" i="1"/>
  <c r="I1644" i="1"/>
  <c r="H1645" i="1"/>
  <c r="I1645" i="1"/>
  <c r="H1646" i="1"/>
  <c r="I1646" i="1"/>
  <c r="H1647" i="1"/>
  <c r="I1647" i="1"/>
  <c r="H1648" i="1"/>
  <c r="I1648" i="1"/>
  <c r="H1649" i="1"/>
  <c r="I1649" i="1"/>
  <c r="H1650" i="1"/>
  <c r="I1650" i="1"/>
  <c r="H1651" i="1"/>
  <c r="I1651" i="1"/>
  <c r="H1652" i="1"/>
  <c r="I1652" i="1"/>
  <c r="H1653" i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H1663" i="1"/>
  <c r="I1663" i="1"/>
  <c r="H1664" i="1"/>
  <c r="I1664" i="1"/>
  <c r="H1665" i="1"/>
  <c r="I1665" i="1"/>
  <c r="H1666" i="1"/>
  <c r="I1666" i="1"/>
  <c r="H1667" i="1"/>
  <c r="I1667" i="1"/>
  <c r="H1668" i="1"/>
  <c r="I1668" i="1"/>
  <c r="H1669" i="1"/>
  <c r="I1669" i="1"/>
  <c r="H1670" i="1"/>
  <c r="I1670" i="1"/>
  <c r="H1671" i="1"/>
  <c r="I1671" i="1"/>
  <c r="H1672" i="1"/>
  <c r="I1672" i="1"/>
  <c r="H1673" i="1"/>
  <c r="I1673" i="1"/>
  <c r="H1674" i="1"/>
  <c r="I1674" i="1"/>
  <c r="H1675" i="1"/>
  <c r="I1675" i="1"/>
  <c r="H1676" i="1"/>
  <c r="I1676" i="1"/>
  <c r="H1677" i="1"/>
  <c r="I1677" i="1"/>
  <c r="H1678" i="1"/>
  <c r="I1678" i="1"/>
  <c r="H1679" i="1"/>
  <c r="I1679" i="1"/>
  <c r="H1680" i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H1695" i="1"/>
  <c r="I1695" i="1"/>
  <c r="H1696" i="1"/>
  <c r="I1696" i="1"/>
  <c r="H1697" i="1"/>
  <c r="I1697" i="1"/>
  <c r="H1698" i="1"/>
  <c r="I1698" i="1"/>
  <c r="H1699" i="1"/>
  <c r="I1699" i="1"/>
  <c r="H1700" i="1"/>
  <c r="I1700" i="1"/>
  <c r="H1701" i="1"/>
  <c r="I1701" i="1"/>
  <c r="H1702" i="1"/>
  <c r="I1702" i="1"/>
  <c r="H1703" i="1"/>
  <c r="I1703" i="1"/>
  <c r="H1704" i="1"/>
  <c r="I1704" i="1"/>
  <c r="H1705" i="1"/>
  <c r="I1705" i="1"/>
  <c r="H1706" i="1"/>
  <c r="I1706" i="1"/>
  <c r="H1707" i="1"/>
  <c r="I1707" i="1"/>
  <c r="H1708" i="1"/>
  <c r="I1708" i="1"/>
  <c r="H1709" i="1"/>
  <c r="I1709" i="1"/>
  <c r="H1710" i="1"/>
  <c r="I1710" i="1"/>
  <c r="H1711" i="1"/>
  <c r="I1711" i="1"/>
  <c r="H1712" i="1"/>
  <c r="I1712" i="1"/>
  <c r="H1713" i="1"/>
  <c r="I1713" i="1"/>
  <c r="H1714" i="1"/>
  <c r="I1714" i="1"/>
  <c r="H1715" i="1"/>
  <c r="I1715" i="1"/>
  <c r="H1716" i="1"/>
  <c r="I1716" i="1"/>
  <c r="H1717" i="1"/>
  <c r="I1717" i="1"/>
  <c r="H1718" i="1"/>
  <c r="I1718" i="1"/>
  <c r="H1719" i="1"/>
  <c r="I1719" i="1"/>
  <c r="H1720" i="1"/>
  <c r="I1720" i="1"/>
  <c r="H1721" i="1"/>
  <c r="I1721" i="1"/>
  <c r="H1722" i="1"/>
  <c r="I1722" i="1"/>
  <c r="H1723" i="1"/>
  <c r="I1723" i="1"/>
  <c r="H1724" i="1"/>
  <c r="I1724" i="1"/>
  <c r="H1725" i="1"/>
  <c r="I1725" i="1"/>
  <c r="H1726" i="1"/>
  <c r="I1726" i="1"/>
  <c r="H1727" i="1"/>
  <c r="I1727" i="1"/>
  <c r="H1728" i="1"/>
  <c r="I1728" i="1"/>
  <c r="H1729" i="1"/>
  <c r="I1729" i="1"/>
  <c r="H1730" i="1"/>
  <c r="I1730" i="1"/>
  <c r="H1731" i="1"/>
  <c r="I1731" i="1"/>
  <c r="H1732" i="1"/>
  <c r="I1732" i="1"/>
  <c r="H1733" i="1"/>
  <c r="I1733" i="1"/>
  <c r="H1734" i="1"/>
  <c r="I1734" i="1"/>
  <c r="H1735" i="1"/>
  <c r="I1735" i="1"/>
  <c r="H1736" i="1"/>
  <c r="I1736" i="1"/>
  <c r="H1737" i="1"/>
  <c r="I1737" i="1"/>
  <c r="H1738" i="1"/>
  <c r="I1738" i="1"/>
  <c r="H1739" i="1"/>
  <c r="I1739" i="1"/>
  <c r="H1740" i="1"/>
  <c r="I1740" i="1"/>
  <c r="H1741" i="1"/>
  <c r="I1741" i="1"/>
  <c r="H1742" i="1"/>
  <c r="I1742" i="1"/>
  <c r="H1743" i="1"/>
  <c r="I1743" i="1"/>
  <c r="H1744" i="1"/>
  <c r="I1744" i="1"/>
  <c r="H1745" i="1"/>
  <c r="I1745" i="1"/>
  <c r="H1746" i="1"/>
  <c r="I1746" i="1"/>
  <c r="H1747" i="1"/>
  <c r="I1747" i="1"/>
  <c r="H1748" i="1"/>
  <c r="I1748" i="1"/>
  <c r="H1749" i="1"/>
  <c r="I1749" i="1"/>
  <c r="H1750" i="1"/>
  <c r="I1750" i="1"/>
  <c r="H1751" i="1"/>
  <c r="I1751" i="1"/>
  <c r="H1752" i="1"/>
  <c r="I1752" i="1"/>
  <c r="H1753" i="1"/>
  <c r="I1753" i="1"/>
  <c r="H1754" i="1"/>
  <c r="I1754" i="1"/>
  <c r="H1755" i="1"/>
  <c r="I1755" i="1"/>
  <c r="H1756" i="1"/>
  <c r="I1756" i="1"/>
  <c r="H1757" i="1"/>
  <c r="I1757" i="1"/>
  <c r="H1758" i="1"/>
  <c r="I1758" i="1"/>
  <c r="H1759" i="1"/>
  <c r="I1759" i="1"/>
  <c r="H1760" i="1"/>
  <c r="I1760" i="1"/>
  <c r="H1761" i="1"/>
  <c r="I1761" i="1"/>
  <c r="H1762" i="1"/>
  <c r="I1762" i="1"/>
  <c r="H1763" i="1"/>
  <c r="I1763" i="1"/>
  <c r="H1764" i="1"/>
  <c r="I1764" i="1"/>
  <c r="H1765" i="1"/>
  <c r="I1765" i="1"/>
  <c r="H1766" i="1"/>
  <c r="I1766" i="1"/>
  <c r="H1767" i="1"/>
  <c r="I1767" i="1"/>
  <c r="H1768" i="1"/>
  <c r="I1768" i="1"/>
  <c r="H1769" i="1"/>
  <c r="I1769" i="1"/>
  <c r="H1770" i="1"/>
  <c r="I1770" i="1"/>
  <c r="H1771" i="1"/>
  <c r="I1771" i="1"/>
  <c r="H1772" i="1"/>
  <c r="I1772" i="1"/>
  <c r="H1773" i="1"/>
  <c r="I1773" i="1"/>
  <c r="H1774" i="1"/>
  <c r="I1774" i="1"/>
  <c r="H1775" i="1"/>
  <c r="I1775" i="1"/>
  <c r="H1776" i="1"/>
  <c r="I1776" i="1"/>
  <c r="H1777" i="1"/>
  <c r="I1777" i="1"/>
  <c r="H1778" i="1"/>
  <c r="I1778" i="1"/>
  <c r="H1779" i="1"/>
  <c r="I1779" i="1"/>
  <c r="H1780" i="1"/>
  <c r="I1780" i="1"/>
  <c r="H1781" i="1"/>
  <c r="I1781" i="1"/>
  <c r="H1782" i="1"/>
  <c r="I1782" i="1"/>
  <c r="H1783" i="1"/>
  <c r="I1783" i="1"/>
  <c r="H1784" i="1"/>
  <c r="I1784" i="1"/>
  <c r="H1785" i="1"/>
  <c r="I1785" i="1"/>
  <c r="H1786" i="1"/>
  <c r="I1786" i="1"/>
  <c r="H1787" i="1"/>
  <c r="I1787" i="1"/>
  <c r="H1788" i="1"/>
  <c r="I1788" i="1"/>
  <c r="H1789" i="1"/>
  <c r="I1789" i="1"/>
  <c r="H1790" i="1"/>
  <c r="I1790" i="1"/>
  <c r="H1791" i="1"/>
  <c r="I1791" i="1"/>
  <c r="H1792" i="1"/>
  <c r="I1792" i="1"/>
  <c r="H1793" i="1"/>
  <c r="I1793" i="1"/>
  <c r="H1794" i="1"/>
  <c r="I1794" i="1"/>
  <c r="H1795" i="1"/>
  <c r="I1795" i="1"/>
  <c r="H1796" i="1"/>
  <c r="I1796" i="1"/>
  <c r="H1797" i="1"/>
  <c r="I1797" i="1"/>
  <c r="H1798" i="1"/>
  <c r="I1798" i="1"/>
  <c r="H1799" i="1"/>
  <c r="I1799" i="1"/>
  <c r="H1800" i="1"/>
  <c r="I1800" i="1"/>
  <c r="H1801" i="1"/>
  <c r="I1801" i="1"/>
  <c r="H1802" i="1"/>
  <c r="I1802" i="1"/>
  <c r="H1803" i="1"/>
  <c r="I1803" i="1"/>
  <c r="H1804" i="1"/>
  <c r="I1804" i="1"/>
  <c r="H1805" i="1"/>
  <c r="I1805" i="1"/>
  <c r="H1806" i="1"/>
  <c r="I1806" i="1"/>
  <c r="H1807" i="1"/>
  <c r="I1807" i="1"/>
  <c r="H1808" i="1"/>
  <c r="I1808" i="1"/>
  <c r="H1809" i="1"/>
  <c r="I1809" i="1"/>
  <c r="H1810" i="1"/>
  <c r="I1810" i="1"/>
  <c r="H1811" i="1"/>
  <c r="I1811" i="1"/>
  <c r="H1812" i="1"/>
  <c r="I1812" i="1"/>
  <c r="H1813" i="1"/>
  <c r="I1813" i="1"/>
  <c r="H1814" i="1"/>
  <c r="I1814" i="1"/>
  <c r="H1815" i="1"/>
  <c r="I1815" i="1"/>
  <c r="H1816" i="1"/>
  <c r="I1816" i="1"/>
  <c r="H1817" i="1"/>
  <c r="I1817" i="1"/>
  <c r="H1818" i="1"/>
  <c r="I1818" i="1"/>
  <c r="H1819" i="1"/>
  <c r="I1819" i="1"/>
  <c r="H1820" i="1"/>
  <c r="I1820" i="1"/>
  <c r="H1821" i="1"/>
  <c r="I1821" i="1"/>
  <c r="H1822" i="1"/>
  <c r="I1822" i="1"/>
  <c r="H1823" i="1"/>
  <c r="I1823" i="1"/>
  <c r="H1824" i="1"/>
  <c r="I1824" i="1"/>
  <c r="H1825" i="1"/>
  <c r="I1825" i="1"/>
  <c r="H1826" i="1"/>
  <c r="I1826" i="1"/>
  <c r="H1827" i="1"/>
  <c r="I1827" i="1"/>
  <c r="H1828" i="1"/>
  <c r="I1828" i="1"/>
  <c r="H1829" i="1"/>
  <c r="I1829" i="1"/>
  <c r="H1830" i="1"/>
  <c r="I1830" i="1"/>
  <c r="H1831" i="1"/>
  <c r="I1831" i="1"/>
  <c r="H1832" i="1"/>
  <c r="I1832" i="1"/>
  <c r="H1833" i="1"/>
  <c r="I1833" i="1"/>
  <c r="H1834" i="1"/>
  <c r="I1834" i="1"/>
  <c r="H1835" i="1"/>
  <c r="I1835" i="1"/>
  <c r="H1836" i="1"/>
  <c r="I1836" i="1"/>
  <c r="H1837" i="1"/>
  <c r="I1837" i="1"/>
  <c r="H1838" i="1"/>
  <c r="I1838" i="1"/>
  <c r="H1839" i="1"/>
  <c r="I1839" i="1"/>
  <c r="H1840" i="1"/>
  <c r="I1840" i="1"/>
  <c r="H1841" i="1"/>
  <c r="I1841" i="1"/>
  <c r="H1842" i="1"/>
  <c r="I1842" i="1"/>
  <c r="H1843" i="1"/>
  <c r="I1843" i="1"/>
  <c r="H1844" i="1"/>
  <c r="I1844" i="1"/>
  <c r="H1845" i="1"/>
  <c r="I1845" i="1"/>
  <c r="H1846" i="1"/>
  <c r="I1846" i="1"/>
  <c r="H1847" i="1"/>
  <c r="I1847" i="1"/>
  <c r="H1848" i="1"/>
  <c r="I1848" i="1"/>
  <c r="H1849" i="1"/>
  <c r="I1849" i="1"/>
  <c r="H1850" i="1"/>
  <c r="I1850" i="1"/>
  <c r="H1851" i="1"/>
  <c r="I1851" i="1"/>
  <c r="H1852" i="1"/>
  <c r="I1852" i="1"/>
  <c r="H1853" i="1"/>
  <c r="I1853" i="1"/>
  <c r="H1854" i="1"/>
  <c r="I1854" i="1"/>
  <c r="H1855" i="1"/>
  <c r="I1855" i="1"/>
  <c r="H1856" i="1"/>
  <c r="I1856" i="1"/>
  <c r="H1857" i="1"/>
  <c r="I1857" i="1"/>
  <c r="H1858" i="1"/>
  <c r="I1858" i="1"/>
  <c r="H1859" i="1"/>
  <c r="I1859" i="1"/>
  <c r="H1860" i="1"/>
  <c r="I1860" i="1"/>
  <c r="H1861" i="1"/>
  <c r="I1861" i="1"/>
  <c r="H1862" i="1"/>
  <c r="I1862" i="1"/>
  <c r="H1863" i="1"/>
  <c r="I1863" i="1"/>
  <c r="H1864" i="1"/>
  <c r="I1864" i="1"/>
  <c r="H1865" i="1"/>
  <c r="I1865" i="1"/>
  <c r="H1866" i="1"/>
  <c r="I1866" i="1"/>
  <c r="H1867" i="1"/>
  <c r="I1867" i="1"/>
  <c r="H1868" i="1"/>
  <c r="I1868" i="1"/>
  <c r="H1869" i="1"/>
  <c r="I1869" i="1"/>
  <c r="H1870" i="1"/>
  <c r="I1870" i="1"/>
  <c r="H1871" i="1"/>
  <c r="I1871" i="1"/>
  <c r="H1872" i="1"/>
  <c r="I1872" i="1"/>
  <c r="H1873" i="1"/>
  <c r="I1873" i="1"/>
  <c r="H1874" i="1"/>
  <c r="I1874" i="1"/>
  <c r="H1875" i="1"/>
  <c r="I1875" i="1"/>
  <c r="H1876" i="1"/>
  <c r="I1876" i="1"/>
  <c r="H1877" i="1"/>
  <c r="I1877" i="1"/>
  <c r="H1878" i="1"/>
  <c r="I1878" i="1"/>
  <c r="H1879" i="1"/>
  <c r="I1879" i="1"/>
  <c r="H1880" i="1"/>
  <c r="I1880" i="1"/>
  <c r="H1881" i="1"/>
  <c r="I1881" i="1"/>
  <c r="H1882" i="1"/>
  <c r="I1882" i="1"/>
  <c r="H1883" i="1"/>
  <c r="I1883" i="1"/>
  <c r="H1884" i="1"/>
  <c r="I1884" i="1"/>
  <c r="H1885" i="1"/>
  <c r="I1885" i="1"/>
  <c r="H1886" i="1"/>
  <c r="I1886" i="1"/>
  <c r="H1887" i="1"/>
  <c r="I1887" i="1"/>
  <c r="H1888" i="1"/>
  <c r="I1888" i="1"/>
  <c r="H1889" i="1"/>
  <c r="I1889" i="1"/>
  <c r="H1890" i="1"/>
  <c r="I1890" i="1"/>
  <c r="H1891" i="1"/>
  <c r="I1891" i="1"/>
  <c r="H1892" i="1"/>
  <c r="I1892" i="1"/>
  <c r="H1893" i="1"/>
  <c r="I1893" i="1"/>
  <c r="H1894" i="1"/>
  <c r="I1894" i="1"/>
  <c r="H1895" i="1"/>
  <c r="I1895" i="1"/>
  <c r="H1896" i="1"/>
  <c r="I1896" i="1"/>
  <c r="H1897" i="1"/>
  <c r="I1897" i="1"/>
  <c r="H1898" i="1"/>
  <c r="I1898" i="1"/>
  <c r="H1899" i="1"/>
  <c r="I1899" i="1"/>
  <c r="H1900" i="1"/>
  <c r="I1900" i="1"/>
  <c r="H1901" i="1"/>
  <c r="I1901" i="1"/>
  <c r="H1902" i="1"/>
  <c r="I1902" i="1"/>
  <c r="H1903" i="1"/>
  <c r="I1903" i="1"/>
  <c r="H1904" i="1"/>
  <c r="I1904" i="1"/>
  <c r="H1905" i="1"/>
  <c r="I1905" i="1"/>
  <c r="H1906" i="1"/>
  <c r="I1906" i="1"/>
  <c r="H1907" i="1"/>
  <c r="I1907" i="1"/>
  <c r="H1908" i="1"/>
  <c r="I1908" i="1"/>
  <c r="H1909" i="1"/>
  <c r="I1909" i="1"/>
  <c r="H1910" i="1"/>
  <c r="I1910" i="1"/>
  <c r="H1911" i="1"/>
  <c r="I1911" i="1"/>
  <c r="H1912" i="1"/>
  <c r="I1912" i="1"/>
  <c r="H1913" i="1"/>
  <c r="I1913" i="1"/>
  <c r="H1914" i="1"/>
  <c r="I1914" i="1"/>
  <c r="H1915" i="1"/>
  <c r="I1915" i="1"/>
  <c r="H1916" i="1"/>
  <c r="I1916" i="1"/>
  <c r="H1917" i="1"/>
  <c r="I1917" i="1"/>
  <c r="H1918" i="1"/>
  <c r="I1918" i="1"/>
  <c r="H1919" i="1"/>
  <c r="I1919" i="1"/>
  <c r="H1920" i="1"/>
  <c r="I1920" i="1"/>
  <c r="H1921" i="1"/>
  <c r="I1921" i="1"/>
  <c r="H1922" i="1"/>
  <c r="I1922" i="1"/>
  <c r="H1923" i="1"/>
  <c r="I1923" i="1"/>
  <c r="H1924" i="1"/>
  <c r="I1924" i="1"/>
  <c r="H1925" i="1"/>
  <c r="I1925" i="1"/>
  <c r="H1926" i="1"/>
  <c r="I1926" i="1"/>
  <c r="H1927" i="1"/>
  <c r="I1927" i="1"/>
  <c r="H1928" i="1"/>
  <c r="I1928" i="1"/>
  <c r="H1929" i="1"/>
  <c r="I1929" i="1"/>
  <c r="H1930" i="1"/>
  <c r="I1930" i="1"/>
  <c r="H1931" i="1"/>
  <c r="I1931" i="1"/>
  <c r="H1932" i="1"/>
  <c r="I1932" i="1"/>
  <c r="H1933" i="1"/>
  <c r="I1933" i="1"/>
  <c r="H1934" i="1"/>
  <c r="I1934" i="1"/>
  <c r="H1935" i="1"/>
  <c r="I1935" i="1"/>
  <c r="H1936" i="1"/>
  <c r="I1936" i="1"/>
  <c r="H1937" i="1"/>
  <c r="I1937" i="1"/>
  <c r="H1938" i="1"/>
  <c r="I1938" i="1"/>
  <c r="H1939" i="1"/>
  <c r="I1939" i="1"/>
  <c r="H1940" i="1"/>
  <c r="I1940" i="1"/>
  <c r="H1941" i="1"/>
  <c r="I1941" i="1"/>
  <c r="H1942" i="1"/>
  <c r="I1942" i="1"/>
  <c r="H1943" i="1"/>
  <c r="I1943" i="1"/>
  <c r="H1944" i="1"/>
  <c r="I1944" i="1"/>
  <c r="H1945" i="1"/>
  <c r="I1945" i="1"/>
  <c r="H1946" i="1"/>
  <c r="I1946" i="1"/>
  <c r="H1947" i="1"/>
  <c r="I1947" i="1"/>
  <c r="H1948" i="1"/>
  <c r="I1948" i="1"/>
  <c r="H1949" i="1"/>
  <c r="I1949" i="1"/>
  <c r="H1950" i="1"/>
  <c r="I1950" i="1"/>
  <c r="H1951" i="1"/>
  <c r="I1951" i="1"/>
  <c r="H1952" i="1"/>
  <c r="I1952" i="1"/>
  <c r="H1953" i="1"/>
  <c r="I1953" i="1"/>
  <c r="H1954" i="1"/>
  <c r="I1954" i="1"/>
  <c r="H1955" i="1"/>
  <c r="I1955" i="1"/>
  <c r="H1956" i="1"/>
  <c r="I1956" i="1"/>
  <c r="H1957" i="1"/>
  <c r="I1957" i="1"/>
  <c r="H1958" i="1"/>
  <c r="I1958" i="1"/>
  <c r="H1959" i="1"/>
  <c r="I1959" i="1"/>
  <c r="H1960" i="1"/>
  <c r="I1960" i="1"/>
  <c r="H1961" i="1"/>
  <c r="I1961" i="1"/>
  <c r="H1962" i="1"/>
  <c r="I1962" i="1"/>
  <c r="H1963" i="1"/>
  <c r="I1963" i="1"/>
  <c r="H1964" i="1"/>
  <c r="I1964" i="1"/>
  <c r="H1965" i="1"/>
  <c r="I1965" i="1"/>
  <c r="H1966" i="1"/>
  <c r="I1966" i="1"/>
  <c r="H1967" i="1"/>
  <c r="I1967" i="1"/>
  <c r="H1968" i="1"/>
  <c r="I1968" i="1"/>
  <c r="H1969" i="1"/>
  <c r="I1969" i="1"/>
  <c r="H1970" i="1"/>
  <c r="I1970" i="1"/>
  <c r="H1971" i="1"/>
  <c r="I1971" i="1"/>
  <c r="H1972" i="1"/>
  <c r="I1972" i="1"/>
  <c r="H1973" i="1"/>
  <c r="I1973" i="1"/>
  <c r="H1974" i="1"/>
  <c r="I1974" i="1"/>
  <c r="H1975" i="1"/>
  <c r="I1975" i="1"/>
  <c r="H1976" i="1"/>
  <c r="I1976" i="1"/>
  <c r="H1977" i="1"/>
  <c r="I1977" i="1"/>
  <c r="H1978" i="1"/>
  <c r="I1978" i="1"/>
  <c r="H1979" i="1"/>
  <c r="I1979" i="1"/>
  <c r="H1980" i="1"/>
  <c r="I1980" i="1"/>
  <c r="H1981" i="1"/>
  <c r="I1981" i="1"/>
  <c r="H1982" i="1"/>
  <c r="I1982" i="1"/>
  <c r="H1983" i="1"/>
  <c r="I1983" i="1"/>
  <c r="H1984" i="1"/>
  <c r="I1984" i="1"/>
  <c r="H1985" i="1"/>
  <c r="I1985" i="1"/>
  <c r="H1986" i="1"/>
  <c r="I1986" i="1"/>
  <c r="H1987" i="1"/>
  <c r="I1987" i="1"/>
  <c r="H1988" i="1"/>
  <c r="I1988" i="1"/>
  <c r="H1989" i="1"/>
  <c r="I1989" i="1"/>
  <c r="H1990" i="1"/>
  <c r="I1990" i="1"/>
  <c r="H1991" i="1"/>
  <c r="I1991" i="1"/>
  <c r="H1992" i="1"/>
  <c r="I1992" i="1"/>
  <c r="H1993" i="1"/>
  <c r="I1993" i="1"/>
  <c r="H1994" i="1"/>
  <c r="I1994" i="1"/>
  <c r="H1995" i="1"/>
  <c r="I1995" i="1"/>
  <c r="H1996" i="1"/>
  <c r="I1996" i="1"/>
  <c r="H1997" i="1"/>
  <c r="I1997" i="1"/>
  <c r="H1998" i="1"/>
  <c r="I1998" i="1"/>
  <c r="H1999" i="1"/>
  <c r="I1999" i="1"/>
  <c r="H2000" i="1"/>
  <c r="I2000" i="1"/>
  <c r="H2001" i="1"/>
  <c r="I2001" i="1"/>
  <c r="H2002" i="1"/>
  <c r="I2002" i="1"/>
  <c r="H2003" i="1"/>
  <c r="I2003" i="1"/>
  <c r="H2004" i="1"/>
  <c r="I2004" i="1"/>
  <c r="H2005" i="1"/>
  <c r="I2005" i="1"/>
  <c r="H2006" i="1"/>
  <c r="I2006" i="1"/>
  <c r="H2007" i="1"/>
  <c r="I2007" i="1"/>
  <c r="H2008" i="1"/>
  <c r="I2008" i="1"/>
  <c r="H2009" i="1"/>
  <c r="I2009" i="1"/>
  <c r="H2010" i="1"/>
  <c r="I2010" i="1"/>
  <c r="H2011" i="1"/>
  <c r="I2011" i="1"/>
  <c r="H2012" i="1"/>
  <c r="I2012" i="1"/>
  <c r="H2013" i="1"/>
  <c r="I2013" i="1"/>
  <c r="H2014" i="1"/>
  <c r="I2014" i="1"/>
  <c r="H2015" i="1"/>
  <c r="I2015" i="1"/>
  <c r="H2016" i="1"/>
  <c r="I2016" i="1"/>
  <c r="H2017" i="1"/>
  <c r="I2017" i="1"/>
  <c r="H2018" i="1"/>
  <c r="I2018" i="1"/>
  <c r="H2019" i="1"/>
  <c r="I2019" i="1"/>
  <c r="H2020" i="1"/>
  <c r="I2020" i="1"/>
  <c r="H2021" i="1"/>
  <c r="I2021" i="1"/>
  <c r="H2022" i="1"/>
  <c r="I2022" i="1"/>
  <c r="H2023" i="1"/>
  <c r="I2023" i="1"/>
  <c r="H2024" i="1"/>
  <c r="I2024" i="1"/>
  <c r="H2025" i="1"/>
  <c r="I2025" i="1"/>
  <c r="H2026" i="1"/>
  <c r="I2026" i="1"/>
  <c r="H2027" i="1"/>
  <c r="I2027" i="1"/>
  <c r="H2028" i="1"/>
  <c r="I2028" i="1"/>
  <c r="H2029" i="1"/>
  <c r="I2029" i="1"/>
  <c r="H2030" i="1"/>
  <c r="I2030" i="1"/>
  <c r="H2031" i="1"/>
  <c r="I2031" i="1"/>
  <c r="H2032" i="1"/>
  <c r="I2032" i="1"/>
  <c r="H2033" i="1"/>
  <c r="I2033" i="1"/>
  <c r="H2034" i="1"/>
  <c r="I2034" i="1"/>
  <c r="H2035" i="1"/>
  <c r="I2035" i="1"/>
  <c r="H2036" i="1"/>
  <c r="I2036" i="1"/>
  <c r="H2037" i="1"/>
  <c r="I2037" i="1"/>
  <c r="H2038" i="1"/>
  <c r="I2038" i="1"/>
  <c r="H2039" i="1"/>
  <c r="I2039" i="1"/>
  <c r="H2040" i="1"/>
  <c r="I2040" i="1"/>
  <c r="H2041" i="1"/>
  <c r="I2041" i="1"/>
  <c r="H2042" i="1"/>
  <c r="I2042" i="1"/>
  <c r="H2043" i="1"/>
  <c r="I2043" i="1"/>
  <c r="H2044" i="1"/>
  <c r="I2044" i="1"/>
  <c r="H2045" i="1"/>
  <c r="I2045" i="1"/>
  <c r="H2046" i="1"/>
  <c r="I2046" i="1"/>
  <c r="H2047" i="1"/>
  <c r="I2047" i="1"/>
  <c r="H2048" i="1"/>
  <c r="I2048" i="1"/>
  <c r="H2049" i="1"/>
  <c r="I2049" i="1"/>
  <c r="H2050" i="1"/>
  <c r="I2050" i="1"/>
  <c r="H2051" i="1"/>
  <c r="I2051" i="1"/>
  <c r="H2052" i="1"/>
  <c r="I2052" i="1"/>
  <c r="H2053" i="1"/>
  <c r="I2053" i="1"/>
  <c r="H2054" i="1"/>
  <c r="I2054" i="1"/>
  <c r="H2055" i="1"/>
  <c r="I2055" i="1"/>
  <c r="H2056" i="1"/>
  <c r="I2056" i="1"/>
  <c r="H2057" i="1"/>
  <c r="I2057" i="1"/>
  <c r="H2058" i="1"/>
  <c r="I2058" i="1"/>
  <c r="H2059" i="1"/>
  <c r="I2059" i="1"/>
  <c r="H2060" i="1"/>
  <c r="I2060" i="1"/>
  <c r="H2061" i="1"/>
  <c r="I2061" i="1"/>
  <c r="H2062" i="1"/>
  <c r="I2062" i="1"/>
  <c r="H2063" i="1"/>
  <c r="I2063" i="1"/>
  <c r="H2064" i="1"/>
  <c r="I2064" i="1"/>
  <c r="H2065" i="1"/>
  <c r="I2065" i="1"/>
  <c r="H2066" i="1"/>
  <c r="I2066" i="1"/>
  <c r="H2067" i="1"/>
  <c r="I2067" i="1"/>
  <c r="H2068" i="1"/>
  <c r="I2068" i="1"/>
  <c r="H2069" i="1"/>
  <c r="I2069" i="1"/>
  <c r="H2070" i="1"/>
  <c r="I2070" i="1"/>
  <c r="H2071" i="1"/>
  <c r="I2071" i="1"/>
  <c r="H2072" i="1"/>
  <c r="I2072" i="1"/>
  <c r="H2073" i="1"/>
  <c r="I2073" i="1"/>
  <c r="H2074" i="1"/>
  <c r="I2074" i="1"/>
  <c r="H2075" i="1"/>
  <c r="I2075" i="1"/>
  <c r="H2076" i="1"/>
  <c r="I2076" i="1"/>
  <c r="H2077" i="1"/>
  <c r="I2077" i="1"/>
  <c r="H2078" i="1"/>
  <c r="I2078" i="1"/>
  <c r="H2079" i="1"/>
  <c r="I2079" i="1"/>
  <c r="H2080" i="1"/>
  <c r="I2080" i="1"/>
  <c r="H2081" i="1"/>
  <c r="I2081" i="1"/>
  <c r="H2082" i="1"/>
  <c r="I2082" i="1"/>
  <c r="H2083" i="1"/>
  <c r="I2083" i="1"/>
  <c r="H2084" i="1"/>
  <c r="I2084" i="1"/>
  <c r="H2085" i="1"/>
  <c r="I2085" i="1"/>
  <c r="H2086" i="1"/>
  <c r="I2086" i="1"/>
  <c r="H2087" i="1"/>
  <c r="I2087" i="1"/>
  <c r="H2088" i="1"/>
  <c r="I2088" i="1"/>
  <c r="H2089" i="1"/>
  <c r="I2089" i="1"/>
  <c r="H2090" i="1"/>
  <c r="I2090" i="1"/>
  <c r="H2091" i="1"/>
  <c r="I2091" i="1"/>
  <c r="H2092" i="1"/>
  <c r="I2092" i="1"/>
  <c r="H2093" i="1"/>
  <c r="I2093" i="1"/>
  <c r="H2094" i="1"/>
  <c r="I2094" i="1"/>
  <c r="H2095" i="1"/>
  <c r="I2095" i="1"/>
  <c r="H2096" i="1"/>
  <c r="I2096" i="1"/>
  <c r="H2097" i="1"/>
  <c r="I2097" i="1"/>
  <c r="H2098" i="1"/>
  <c r="I2098" i="1"/>
  <c r="H2099" i="1"/>
  <c r="I2099" i="1"/>
  <c r="H2100" i="1"/>
  <c r="I2100" i="1"/>
  <c r="H2101" i="1"/>
  <c r="I2101" i="1"/>
  <c r="H2102" i="1"/>
  <c r="I2102" i="1"/>
  <c r="H2103" i="1"/>
  <c r="I2103" i="1"/>
  <c r="H2104" i="1"/>
  <c r="I2104" i="1"/>
  <c r="H2105" i="1"/>
  <c r="I2105" i="1"/>
  <c r="H2106" i="1"/>
  <c r="I2106" i="1"/>
  <c r="H2107" i="1"/>
  <c r="I2107" i="1"/>
  <c r="H2108" i="1"/>
  <c r="I2108" i="1"/>
  <c r="H2109" i="1"/>
  <c r="I2109" i="1"/>
  <c r="H2110" i="1"/>
  <c r="I2110" i="1"/>
  <c r="H2111" i="1"/>
  <c r="I2111" i="1"/>
  <c r="H2112" i="1"/>
  <c r="I2112" i="1"/>
  <c r="H2113" i="1"/>
  <c r="I2113" i="1"/>
  <c r="H2114" i="1"/>
  <c r="I2114" i="1"/>
  <c r="H2115" i="1"/>
  <c r="I2115" i="1"/>
  <c r="H2116" i="1"/>
  <c r="I2116" i="1"/>
  <c r="H2117" i="1"/>
  <c r="I2117" i="1"/>
  <c r="H2118" i="1"/>
  <c r="I2118" i="1"/>
  <c r="H2119" i="1"/>
  <c r="I2119" i="1"/>
  <c r="H2120" i="1"/>
  <c r="I2120" i="1"/>
  <c r="H2121" i="1"/>
  <c r="I2121" i="1"/>
  <c r="H2122" i="1"/>
  <c r="I2122" i="1"/>
  <c r="H2123" i="1"/>
  <c r="I2123" i="1"/>
  <c r="H2124" i="1"/>
  <c r="I2124" i="1"/>
  <c r="H2125" i="1"/>
  <c r="I2125" i="1"/>
  <c r="H2126" i="1"/>
  <c r="I2126" i="1"/>
  <c r="H2127" i="1"/>
  <c r="I2127" i="1"/>
  <c r="H2128" i="1"/>
  <c r="I2128" i="1"/>
  <c r="H2129" i="1"/>
  <c r="I2129" i="1"/>
  <c r="H2130" i="1"/>
  <c r="I2130" i="1"/>
  <c r="H2131" i="1"/>
  <c r="I2131" i="1"/>
  <c r="H2132" i="1"/>
  <c r="I2132" i="1"/>
  <c r="H2133" i="1"/>
  <c r="I2133" i="1"/>
  <c r="H2134" i="1"/>
  <c r="I2134" i="1"/>
  <c r="H2135" i="1"/>
  <c r="I2135" i="1"/>
  <c r="H2136" i="1"/>
  <c r="I2136" i="1"/>
  <c r="H2137" i="1"/>
  <c r="I2137" i="1"/>
  <c r="H2138" i="1"/>
  <c r="I2138" i="1"/>
  <c r="H2139" i="1"/>
  <c r="I2139" i="1"/>
  <c r="H2140" i="1"/>
  <c r="I2140" i="1"/>
  <c r="H2141" i="1"/>
  <c r="I2141" i="1"/>
  <c r="H2142" i="1"/>
  <c r="I2142" i="1"/>
  <c r="H2143" i="1"/>
  <c r="I2143" i="1"/>
  <c r="H2144" i="1"/>
  <c r="I2144" i="1"/>
  <c r="H2145" i="1"/>
  <c r="I2145" i="1"/>
  <c r="H2146" i="1"/>
  <c r="I2146" i="1"/>
  <c r="H2147" i="1"/>
  <c r="I2147" i="1"/>
  <c r="H2148" i="1"/>
  <c r="I2148" i="1"/>
  <c r="H2149" i="1"/>
  <c r="I2149" i="1"/>
  <c r="H2150" i="1"/>
  <c r="I2150" i="1"/>
  <c r="H2151" i="1"/>
  <c r="I2151" i="1"/>
  <c r="H2152" i="1"/>
  <c r="I2152" i="1"/>
  <c r="H2153" i="1"/>
  <c r="I2153" i="1"/>
  <c r="H2154" i="1"/>
  <c r="I2154" i="1"/>
  <c r="H2155" i="1"/>
  <c r="I2155" i="1"/>
  <c r="H2156" i="1"/>
  <c r="I2156" i="1"/>
  <c r="H2157" i="1"/>
  <c r="I2157" i="1"/>
  <c r="H2158" i="1"/>
  <c r="I2158" i="1"/>
  <c r="H2159" i="1"/>
  <c r="I2159" i="1"/>
  <c r="H2160" i="1"/>
  <c r="I2160" i="1"/>
  <c r="H2161" i="1"/>
  <c r="I2161" i="1"/>
  <c r="H2162" i="1"/>
  <c r="I2162" i="1"/>
  <c r="H2163" i="1"/>
  <c r="I2163" i="1"/>
  <c r="H2164" i="1"/>
  <c r="I2164" i="1"/>
  <c r="H2165" i="1"/>
  <c r="I2165" i="1"/>
  <c r="H2166" i="1"/>
  <c r="I2166" i="1"/>
  <c r="H2167" i="1"/>
  <c r="I2167" i="1"/>
  <c r="H2168" i="1"/>
  <c r="I2168" i="1"/>
  <c r="H2169" i="1"/>
  <c r="I2169" i="1"/>
  <c r="H2170" i="1"/>
  <c r="I2170" i="1"/>
  <c r="H2171" i="1"/>
  <c r="I2171" i="1"/>
  <c r="H2172" i="1"/>
  <c r="I2172" i="1"/>
  <c r="H2173" i="1"/>
  <c r="I2173" i="1"/>
  <c r="H2174" i="1"/>
  <c r="I2174" i="1"/>
  <c r="H2175" i="1"/>
  <c r="I2175" i="1"/>
  <c r="H2176" i="1"/>
  <c r="I2176" i="1"/>
  <c r="H2177" i="1"/>
  <c r="I2177" i="1"/>
  <c r="H2178" i="1"/>
  <c r="I2178" i="1"/>
  <c r="H2179" i="1"/>
  <c r="I2179" i="1"/>
  <c r="H2180" i="1"/>
  <c r="I2180" i="1"/>
  <c r="H2181" i="1"/>
  <c r="I2181" i="1"/>
  <c r="H2182" i="1"/>
  <c r="I2182" i="1"/>
  <c r="H2183" i="1"/>
  <c r="I2183" i="1"/>
  <c r="H2184" i="1"/>
  <c r="I2184" i="1"/>
  <c r="H2185" i="1"/>
  <c r="I2185" i="1"/>
  <c r="H2186" i="1"/>
  <c r="I2186" i="1"/>
  <c r="H2187" i="1"/>
  <c r="I2187" i="1"/>
  <c r="H2188" i="1"/>
  <c r="I2188" i="1"/>
  <c r="H2189" i="1"/>
  <c r="I2189" i="1"/>
  <c r="H2190" i="1"/>
  <c r="I2190" i="1"/>
  <c r="H2191" i="1"/>
  <c r="I2191" i="1"/>
  <c r="H2192" i="1"/>
  <c r="I2192" i="1"/>
  <c r="H2193" i="1"/>
  <c r="I2193" i="1"/>
  <c r="H2194" i="1"/>
  <c r="I2194" i="1"/>
  <c r="H2195" i="1"/>
  <c r="I2195" i="1"/>
  <c r="H2196" i="1"/>
  <c r="I2196" i="1"/>
  <c r="H2197" i="1"/>
  <c r="I2197" i="1"/>
  <c r="H2198" i="1"/>
  <c r="I2198" i="1"/>
  <c r="H2199" i="1"/>
  <c r="I2199" i="1"/>
  <c r="H2200" i="1"/>
  <c r="I2200" i="1"/>
  <c r="H2201" i="1"/>
  <c r="I2201" i="1"/>
  <c r="H2202" i="1"/>
  <c r="I2202" i="1"/>
  <c r="H2203" i="1"/>
  <c r="I2203" i="1"/>
  <c r="H2204" i="1"/>
  <c r="I2204" i="1"/>
  <c r="H2205" i="1"/>
  <c r="I2205" i="1"/>
  <c r="H2206" i="1"/>
  <c r="I2206" i="1"/>
  <c r="H2207" i="1"/>
  <c r="I2207" i="1"/>
  <c r="H2208" i="1"/>
  <c r="I2208" i="1"/>
  <c r="H2209" i="1"/>
  <c r="I2209" i="1"/>
  <c r="H2210" i="1"/>
  <c r="I2210" i="1"/>
  <c r="H2211" i="1"/>
  <c r="I2211" i="1"/>
  <c r="H2212" i="1"/>
  <c r="I2212" i="1"/>
  <c r="H2213" i="1"/>
  <c r="I2213" i="1"/>
  <c r="H2214" i="1"/>
  <c r="I2214" i="1"/>
  <c r="H2215" i="1"/>
  <c r="I2215" i="1"/>
  <c r="H2216" i="1"/>
  <c r="I2216" i="1"/>
  <c r="H2217" i="1"/>
  <c r="I2217" i="1"/>
  <c r="H2218" i="1"/>
  <c r="I2218" i="1"/>
  <c r="H2219" i="1"/>
  <c r="I2219" i="1"/>
  <c r="H2220" i="1"/>
  <c r="I2220" i="1"/>
  <c r="H2221" i="1"/>
  <c r="I2221" i="1"/>
  <c r="H2222" i="1"/>
  <c r="I2222" i="1"/>
  <c r="H2223" i="1"/>
  <c r="I2223" i="1"/>
  <c r="H2224" i="1"/>
  <c r="I2224" i="1"/>
  <c r="H2225" i="1"/>
  <c r="I2225" i="1"/>
  <c r="H2226" i="1"/>
  <c r="I2226" i="1"/>
  <c r="H2227" i="1"/>
  <c r="I2227" i="1"/>
  <c r="H2228" i="1"/>
  <c r="I2228" i="1"/>
  <c r="H2229" i="1"/>
  <c r="I2229" i="1"/>
  <c r="H2230" i="1"/>
  <c r="I2230" i="1"/>
  <c r="H2231" i="1"/>
  <c r="I2231" i="1"/>
  <c r="H2232" i="1"/>
  <c r="I2232" i="1"/>
  <c r="H2233" i="1"/>
  <c r="I2233" i="1"/>
  <c r="H2234" i="1"/>
  <c r="I2234" i="1"/>
  <c r="H2235" i="1"/>
  <c r="I2235" i="1"/>
  <c r="H2236" i="1"/>
  <c r="I2236" i="1"/>
  <c r="H2237" i="1"/>
  <c r="I2237" i="1"/>
  <c r="H2238" i="1"/>
  <c r="I2238" i="1"/>
  <c r="H2239" i="1"/>
  <c r="I2239" i="1"/>
  <c r="H2240" i="1"/>
  <c r="I2240" i="1"/>
  <c r="H2241" i="1"/>
  <c r="I2241" i="1"/>
  <c r="H2242" i="1"/>
  <c r="I2242" i="1"/>
  <c r="H2243" i="1"/>
  <c r="I2243" i="1"/>
  <c r="H2244" i="1"/>
  <c r="I2244" i="1"/>
  <c r="H2245" i="1"/>
  <c r="I2245" i="1"/>
  <c r="H2246" i="1"/>
  <c r="I2246" i="1"/>
  <c r="H2247" i="1"/>
  <c r="I2247" i="1"/>
  <c r="H2248" i="1"/>
  <c r="I2248" i="1"/>
  <c r="H2249" i="1"/>
  <c r="I2249" i="1"/>
  <c r="H2250" i="1"/>
  <c r="I2250" i="1"/>
  <c r="H2251" i="1"/>
  <c r="I2251" i="1"/>
  <c r="H2252" i="1"/>
  <c r="I2252" i="1"/>
  <c r="H2253" i="1"/>
  <c r="I2253" i="1"/>
  <c r="H2254" i="1"/>
  <c r="I2254" i="1"/>
  <c r="H2255" i="1"/>
  <c r="I2255" i="1"/>
  <c r="H2256" i="1"/>
  <c r="I2256" i="1"/>
  <c r="H2257" i="1"/>
  <c r="I2257" i="1"/>
  <c r="H2258" i="1"/>
  <c r="I2258" i="1"/>
  <c r="H2259" i="1"/>
  <c r="I2259" i="1"/>
  <c r="H2260" i="1"/>
  <c r="I2260" i="1"/>
  <c r="H2261" i="1"/>
  <c r="I2261" i="1"/>
  <c r="H2262" i="1"/>
  <c r="I2262" i="1"/>
  <c r="H2263" i="1"/>
  <c r="I2263" i="1"/>
  <c r="H2264" i="1"/>
  <c r="I2264" i="1"/>
  <c r="H2265" i="1"/>
  <c r="I2265" i="1"/>
  <c r="H2266" i="1"/>
  <c r="I2266" i="1"/>
  <c r="H2267" i="1"/>
  <c r="I2267" i="1"/>
  <c r="H2268" i="1"/>
  <c r="I2268" i="1"/>
  <c r="H2269" i="1"/>
  <c r="I2269" i="1"/>
  <c r="H2270" i="1"/>
  <c r="I2270" i="1"/>
  <c r="H2271" i="1"/>
  <c r="I2271" i="1"/>
  <c r="H2272" i="1"/>
  <c r="I2272" i="1"/>
  <c r="H2273" i="1"/>
  <c r="I2273" i="1"/>
  <c r="H2274" i="1"/>
  <c r="I2274" i="1"/>
  <c r="H2275" i="1"/>
  <c r="I2275" i="1"/>
  <c r="H2276" i="1"/>
  <c r="I2276" i="1"/>
  <c r="H2277" i="1"/>
  <c r="I2277" i="1"/>
  <c r="H2278" i="1"/>
  <c r="I2278" i="1"/>
  <c r="H2279" i="1"/>
  <c r="I2279" i="1"/>
  <c r="H2280" i="1"/>
  <c r="I2280" i="1"/>
  <c r="H2281" i="1"/>
  <c r="I2281" i="1"/>
  <c r="H2282" i="1"/>
  <c r="I2282" i="1"/>
  <c r="H2283" i="1"/>
  <c r="I2283" i="1"/>
  <c r="H2284" i="1"/>
  <c r="I2284" i="1"/>
  <c r="H2285" i="1"/>
  <c r="I2285" i="1"/>
  <c r="H2286" i="1"/>
  <c r="I2286" i="1"/>
  <c r="H2287" i="1"/>
  <c r="I2287" i="1"/>
  <c r="H2288" i="1"/>
  <c r="I2288" i="1"/>
  <c r="H2289" i="1"/>
  <c r="I2289" i="1"/>
  <c r="H2290" i="1"/>
  <c r="I2290" i="1"/>
  <c r="H2291" i="1"/>
  <c r="I2291" i="1"/>
  <c r="H2292" i="1"/>
  <c r="I2292" i="1"/>
  <c r="H2293" i="1"/>
  <c r="I2293" i="1"/>
  <c r="H2294" i="1"/>
  <c r="I2294" i="1"/>
  <c r="H2295" i="1"/>
  <c r="I2295" i="1"/>
  <c r="H2296" i="1"/>
  <c r="I2296" i="1"/>
  <c r="H2297" i="1"/>
  <c r="I2297" i="1"/>
  <c r="H2298" i="1"/>
  <c r="I2298" i="1"/>
  <c r="H2299" i="1"/>
  <c r="I2299" i="1"/>
  <c r="H2300" i="1"/>
  <c r="I2300" i="1"/>
  <c r="H2301" i="1"/>
  <c r="I2301" i="1"/>
  <c r="H2302" i="1"/>
  <c r="I2302" i="1"/>
  <c r="H2303" i="1"/>
  <c r="I2303" i="1"/>
  <c r="H2304" i="1"/>
  <c r="I2304" i="1"/>
  <c r="H2305" i="1"/>
  <c r="I2305" i="1"/>
  <c r="H2306" i="1"/>
  <c r="I2306" i="1"/>
  <c r="H2307" i="1"/>
  <c r="I2307" i="1"/>
  <c r="H2308" i="1"/>
  <c r="I2308" i="1"/>
  <c r="H2309" i="1"/>
  <c r="I2309" i="1"/>
  <c r="H2310" i="1"/>
  <c r="I2310" i="1"/>
  <c r="H2311" i="1"/>
  <c r="I2311" i="1"/>
  <c r="H2312" i="1"/>
  <c r="I2312" i="1"/>
  <c r="H2313" i="1"/>
  <c r="I2313" i="1"/>
  <c r="H2314" i="1"/>
  <c r="I2314" i="1"/>
  <c r="H2315" i="1"/>
  <c r="I2315" i="1"/>
  <c r="H2316" i="1"/>
  <c r="I2316" i="1"/>
  <c r="H2317" i="1"/>
  <c r="I2317" i="1"/>
  <c r="H2318" i="1"/>
  <c r="I2318" i="1"/>
  <c r="H2319" i="1"/>
  <c r="I2319" i="1"/>
  <c r="H2320" i="1"/>
  <c r="I2320" i="1"/>
  <c r="H2321" i="1"/>
  <c r="I2321" i="1"/>
  <c r="H2322" i="1"/>
  <c r="I2322" i="1"/>
  <c r="H2323" i="1"/>
  <c r="I2323" i="1"/>
  <c r="H2324" i="1"/>
  <c r="I2324" i="1"/>
  <c r="H2325" i="1"/>
  <c r="I2325" i="1"/>
  <c r="H2326" i="1"/>
  <c r="I2326" i="1"/>
  <c r="H2327" i="1"/>
  <c r="I2327" i="1"/>
  <c r="H2328" i="1"/>
  <c r="I2328" i="1"/>
  <c r="H2329" i="1"/>
  <c r="I2329" i="1"/>
  <c r="H2330" i="1"/>
  <c r="I2330" i="1"/>
  <c r="H2331" i="1"/>
  <c r="I2331" i="1"/>
  <c r="H2332" i="1"/>
  <c r="I2332" i="1"/>
  <c r="H2333" i="1"/>
  <c r="I2333" i="1"/>
  <c r="H2334" i="1"/>
  <c r="I2334" i="1"/>
  <c r="H2335" i="1"/>
  <c r="I2335" i="1"/>
  <c r="H2336" i="1"/>
  <c r="I2336" i="1"/>
  <c r="H2337" i="1"/>
  <c r="I2337" i="1"/>
  <c r="H2338" i="1"/>
  <c r="I2338" i="1"/>
  <c r="H2339" i="1"/>
  <c r="I2339" i="1"/>
  <c r="H2340" i="1"/>
  <c r="I2340" i="1"/>
  <c r="H2341" i="1"/>
  <c r="I2341" i="1"/>
  <c r="H2342" i="1"/>
  <c r="I2342" i="1"/>
  <c r="H2343" i="1"/>
  <c r="I2343" i="1"/>
  <c r="H2344" i="1"/>
  <c r="I2344" i="1"/>
  <c r="H2345" i="1"/>
  <c r="I2345" i="1"/>
  <c r="H2346" i="1"/>
  <c r="I2346" i="1"/>
  <c r="H2347" i="1"/>
  <c r="I2347" i="1"/>
  <c r="H2348" i="1"/>
  <c r="I2348" i="1"/>
  <c r="H2349" i="1"/>
  <c r="I2349" i="1"/>
  <c r="H2350" i="1"/>
  <c r="I2350" i="1"/>
  <c r="H2351" i="1"/>
  <c r="I2351" i="1"/>
  <c r="H2352" i="1"/>
  <c r="I2352" i="1"/>
  <c r="H2353" i="1"/>
  <c r="I2353" i="1"/>
  <c r="H2354" i="1"/>
  <c r="I2354" i="1"/>
  <c r="H2355" i="1"/>
  <c r="I2355" i="1"/>
  <c r="H2356" i="1"/>
  <c r="I2356" i="1"/>
  <c r="H2357" i="1"/>
  <c r="I2357" i="1"/>
  <c r="H2358" i="1"/>
  <c r="I2358" i="1"/>
  <c r="H2359" i="1"/>
  <c r="I2359" i="1"/>
  <c r="H2360" i="1"/>
  <c r="I2360" i="1"/>
  <c r="H2361" i="1"/>
  <c r="I2361" i="1"/>
  <c r="H2362" i="1"/>
  <c r="I2362" i="1"/>
  <c r="H2363" i="1"/>
  <c r="I2363" i="1"/>
  <c r="H2364" i="1"/>
  <c r="I2364" i="1"/>
  <c r="H2365" i="1"/>
  <c r="I2365" i="1"/>
  <c r="H2366" i="1"/>
  <c r="I2366" i="1"/>
  <c r="H2367" i="1"/>
  <c r="I2367" i="1"/>
  <c r="H2368" i="1"/>
  <c r="I2368" i="1"/>
  <c r="H2369" i="1"/>
  <c r="I2369" i="1"/>
  <c r="H2370" i="1"/>
  <c r="I2370" i="1"/>
  <c r="H2371" i="1"/>
  <c r="I2371" i="1"/>
  <c r="H2372" i="1"/>
  <c r="I2372" i="1"/>
  <c r="H2373" i="1"/>
  <c r="I2373" i="1"/>
  <c r="H2374" i="1"/>
  <c r="I2374" i="1"/>
  <c r="H2375" i="1"/>
  <c r="I2375" i="1"/>
  <c r="H2376" i="1"/>
  <c r="I2376" i="1"/>
  <c r="H2377" i="1"/>
  <c r="I2377" i="1"/>
  <c r="H2378" i="1"/>
  <c r="I2378" i="1"/>
  <c r="H2379" i="1"/>
  <c r="I2379" i="1"/>
  <c r="H2380" i="1"/>
  <c r="I2380" i="1"/>
  <c r="H2381" i="1"/>
  <c r="I2381" i="1"/>
  <c r="H2382" i="1"/>
  <c r="I2382" i="1"/>
  <c r="H2383" i="1"/>
  <c r="I2383" i="1"/>
  <c r="H2384" i="1"/>
  <c r="I2384" i="1"/>
  <c r="H2385" i="1"/>
  <c r="I2385" i="1"/>
  <c r="H2386" i="1"/>
  <c r="I2386" i="1"/>
  <c r="H2387" i="1"/>
  <c r="I2387" i="1"/>
  <c r="H2388" i="1"/>
  <c r="I2388" i="1"/>
  <c r="H2389" i="1"/>
  <c r="I2389" i="1"/>
  <c r="H2390" i="1"/>
  <c r="I2390" i="1"/>
  <c r="H2391" i="1"/>
  <c r="I2391" i="1"/>
  <c r="H2392" i="1"/>
  <c r="I2392" i="1"/>
  <c r="H2393" i="1"/>
  <c r="I2393" i="1"/>
  <c r="H2394" i="1"/>
  <c r="I2394" i="1"/>
  <c r="H2395" i="1"/>
  <c r="I2395" i="1"/>
  <c r="H2396" i="1"/>
  <c r="I2396" i="1"/>
  <c r="H2397" i="1"/>
  <c r="I2397" i="1"/>
  <c r="H2398" i="1"/>
  <c r="I2398" i="1"/>
  <c r="H2399" i="1"/>
  <c r="I2399" i="1"/>
  <c r="H2400" i="1"/>
  <c r="I2400" i="1"/>
  <c r="H2401" i="1"/>
  <c r="I2401" i="1"/>
  <c r="H2402" i="1"/>
  <c r="I2402" i="1"/>
  <c r="H2403" i="1"/>
  <c r="I2403" i="1"/>
  <c r="H2404" i="1"/>
  <c r="I2404" i="1"/>
  <c r="H2405" i="1"/>
  <c r="I2405" i="1"/>
  <c r="H2406" i="1"/>
  <c r="I2406" i="1"/>
  <c r="H2407" i="1"/>
  <c r="I2407" i="1"/>
  <c r="H2408" i="1"/>
  <c r="I2408" i="1"/>
  <c r="H2409" i="1"/>
  <c r="I2409" i="1"/>
  <c r="H2410" i="1"/>
  <c r="I2410" i="1"/>
  <c r="H2411" i="1"/>
  <c r="I2411" i="1"/>
  <c r="H2412" i="1"/>
  <c r="I2412" i="1"/>
  <c r="H2413" i="1"/>
  <c r="I2413" i="1"/>
  <c r="H2414" i="1"/>
  <c r="I2414" i="1"/>
  <c r="H2415" i="1"/>
  <c r="I2415" i="1"/>
  <c r="H2416" i="1"/>
  <c r="I2416" i="1"/>
  <c r="H2417" i="1"/>
  <c r="I2417" i="1"/>
  <c r="H2418" i="1"/>
  <c r="I2418" i="1"/>
  <c r="H2419" i="1"/>
  <c r="I2419" i="1"/>
  <c r="H2420" i="1"/>
  <c r="I2420" i="1"/>
  <c r="H2421" i="1"/>
  <c r="I2421" i="1"/>
  <c r="H2422" i="1"/>
  <c r="I2422" i="1"/>
  <c r="H2423" i="1"/>
  <c r="I2423" i="1"/>
  <c r="H2424" i="1"/>
  <c r="I2424" i="1"/>
  <c r="H2425" i="1"/>
  <c r="I2425" i="1"/>
  <c r="H2426" i="1"/>
  <c r="I2426" i="1"/>
  <c r="H2427" i="1"/>
  <c r="I2427" i="1"/>
  <c r="H2428" i="1"/>
  <c r="I2428" i="1"/>
  <c r="H2429" i="1"/>
  <c r="I2429" i="1"/>
  <c r="H2430" i="1"/>
  <c r="I2430" i="1"/>
  <c r="H2431" i="1"/>
  <c r="I2431" i="1"/>
  <c r="H2432" i="1"/>
  <c r="I2432" i="1"/>
  <c r="H2433" i="1"/>
  <c r="I2433" i="1"/>
  <c r="H2434" i="1"/>
  <c r="I2434" i="1"/>
  <c r="H2435" i="1"/>
  <c r="I2435" i="1"/>
  <c r="H2436" i="1"/>
  <c r="I2436" i="1"/>
  <c r="H2437" i="1"/>
  <c r="I2437" i="1"/>
  <c r="H2438" i="1"/>
  <c r="I2438" i="1"/>
  <c r="H2439" i="1"/>
  <c r="I2439" i="1"/>
  <c r="H2440" i="1"/>
  <c r="I2440" i="1"/>
  <c r="H2441" i="1"/>
  <c r="I2441" i="1"/>
  <c r="H2442" i="1"/>
  <c r="I2442" i="1"/>
  <c r="H2443" i="1"/>
  <c r="I2443" i="1"/>
  <c r="H2444" i="1"/>
  <c r="I2444" i="1"/>
  <c r="H2445" i="1"/>
  <c r="I2445" i="1"/>
  <c r="H2446" i="1"/>
  <c r="I2446" i="1"/>
  <c r="H2447" i="1"/>
  <c r="I2447" i="1"/>
  <c r="H2448" i="1"/>
  <c r="I2448" i="1"/>
  <c r="H2449" i="1"/>
  <c r="I2449" i="1"/>
  <c r="H2450" i="1"/>
  <c r="I2450" i="1"/>
  <c r="H2451" i="1"/>
  <c r="I2451" i="1"/>
  <c r="H2452" i="1"/>
  <c r="I2452" i="1"/>
  <c r="H2453" i="1"/>
  <c r="I2453" i="1"/>
  <c r="H2454" i="1"/>
  <c r="I2454" i="1"/>
  <c r="H2455" i="1"/>
  <c r="I2455" i="1"/>
  <c r="H2456" i="1"/>
  <c r="I2456" i="1"/>
  <c r="H2457" i="1"/>
  <c r="I2457" i="1"/>
  <c r="H2458" i="1"/>
  <c r="I2458" i="1"/>
  <c r="H2459" i="1"/>
  <c r="I2459" i="1"/>
  <c r="H2460" i="1"/>
  <c r="I2460" i="1"/>
  <c r="H2461" i="1"/>
  <c r="I2461" i="1"/>
  <c r="H2462" i="1"/>
  <c r="I2462" i="1"/>
  <c r="H2463" i="1"/>
  <c r="I2463" i="1"/>
  <c r="I4" i="1"/>
  <c r="H4" i="1"/>
  <c r="CF15" i="10" l="1"/>
  <c r="CO4" i="10"/>
  <c r="CO6" i="10"/>
  <c r="CO7" i="10"/>
  <c r="CO8" i="10"/>
  <c r="CO9" i="10"/>
  <c r="CO10" i="10"/>
  <c r="CR15" i="10" s="1"/>
  <c r="DO7" i="10" s="1"/>
  <c r="CO11" i="10"/>
  <c r="CO12" i="10"/>
  <c r="CO13" i="10"/>
  <c r="BG4" i="10"/>
  <c r="DC4" i="10" s="1"/>
  <c r="BG10" i="10"/>
  <c r="DC10" i="10" s="1"/>
  <c r="BG9" i="10"/>
  <c r="DC9" i="10" s="1"/>
  <c r="BG8" i="10"/>
  <c r="DC8" i="10" s="1"/>
  <c r="BG7" i="10"/>
  <c r="DC7" i="10" s="1"/>
  <c r="BG6" i="10"/>
  <c r="DC6" i="10" s="1"/>
  <c r="BG5" i="10"/>
  <c r="DC5" i="10" s="1"/>
  <c r="DC11" i="10"/>
  <c r="F54" i="11"/>
  <c r="G42" i="11"/>
  <c r="F35" i="11"/>
  <c r="G23" i="11"/>
  <c r="F16" i="11"/>
  <c r="G4" i="11"/>
  <c r="R55" i="10"/>
  <c r="R35" i="10"/>
  <c r="R16" i="10"/>
  <c r="N4" i="6"/>
  <c r="N19" i="6"/>
  <c r="X9" i="6"/>
  <c r="S12" i="6"/>
  <c r="W13" i="6"/>
  <c r="Y6" i="6"/>
  <c r="Z6" i="6" s="1"/>
  <c r="G6" i="8" s="1"/>
  <c r="Y9" i="6"/>
  <c r="Z9" i="6" s="1"/>
  <c r="G9" i="8" s="1"/>
  <c r="U10" i="6"/>
  <c r="T12" i="6"/>
  <c r="X13" i="6"/>
  <c r="X6" i="6"/>
  <c r="U9" i="6"/>
  <c r="V10" i="6"/>
  <c r="U12" i="6"/>
  <c r="X7" i="6"/>
  <c r="Y10" i="6"/>
  <c r="Z10" i="6" s="1"/>
  <c r="G10" i="8" s="1"/>
  <c r="W10" i="6"/>
  <c r="V12" i="6"/>
  <c r="Y7" i="6"/>
  <c r="Z7" i="6" s="1"/>
  <c r="G7" i="8" s="1"/>
  <c r="Y11" i="6"/>
  <c r="Z11" i="6" s="1"/>
  <c r="G11" i="8" s="1"/>
  <c r="X10" i="6"/>
  <c r="W12" i="6"/>
  <c r="W7" i="6"/>
  <c r="Y12" i="6"/>
  <c r="Z12" i="6" s="1"/>
  <c r="G12" i="8" s="1"/>
  <c r="T10" i="6"/>
  <c r="X12" i="6"/>
  <c r="Y5" i="6"/>
  <c r="Z5" i="6" s="1"/>
  <c r="G5" i="8" s="1"/>
  <c r="W8" i="6"/>
  <c r="Y13" i="6"/>
  <c r="Z13" i="6" s="1"/>
  <c r="G13" i="8" s="1"/>
  <c r="T11" i="6"/>
  <c r="R12" i="6"/>
  <c r="X8" i="6"/>
  <c r="U11" i="6"/>
  <c r="R13" i="6"/>
  <c r="Y8" i="6"/>
  <c r="Z8" i="6" s="1"/>
  <c r="G8" i="8" s="1"/>
  <c r="V11" i="6"/>
  <c r="S13" i="6"/>
  <c r="V8" i="6"/>
  <c r="W11" i="6"/>
  <c r="T13" i="6"/>
  <c r="V9" i="6"/>
  <c r="X11" i="6"/>
  <c r="U13" i="6"/>
  <c r="W9" i="6"/>
  <c r="S11" i="6"/>
  <c r="V13" i="6"/>
  <c r="Q13" i="6"/>
  <c r="F34" i="6"/>
  <c r="E44" i="6"/>
  <c r="E16" i="7"/>
  <c r="E35" i="7"/>
  <c r="E54" i="7"/>
  <c r="J20" i="2"/>
  <c r="F5" i="2"/>
  <c r="H13" i="2"/>
  <c r="I27" i="2"/>
  <c r="C43" i="2"/>
  <c r="E6" i="2"/>
  <c r="F12" i="2"/>
  <c r="F34" i="2"/>
  <c r="D11" i="2"/>
  <c r="J4" i="2"/>
  <c r="B10" i="2"/>
  <c r="J8" i="2"/>
  <c r="B35" i="2"/>
  <c r="B36" i="2"/>
  <c r="H7" i="2"/>
  <c r="D37" i="2"/>
  <c r="K28" i="2"/>
  <c r="G20" i="2"/>
  <c r="I13" i="2"/>
  <c r="G12" i="2"/>
  <c r="E11" i="2"/>
  <c r="C10" i="2"/>
  <c r="K8" i="2"/>
  <c r="I7" i="2"/>
  <c r="G6" i="2"/>
  <c r="E5" i="2"/>
  <c r="D19" i="2"/>
  <c r="K27" i="2"/>
  <c r="I26" i="2"/>
  <c r="G25" i="2"/>
  <c r="E24" i="2"/>
  <c r="C23" i="2"/>
  <c r="K21" i="2"/>
  <c r="I20" i="2"/>
  <c r="H34" i="2"/>
  <c r="E43" i="2"/>
  <c r="C42" i="2"/>
  <c r="K40" i="2"/>
  <c r="I39" i="2"/>
  <c r="G38" i="2"/>
  <c r="E37" i="2"/>
  <c r="C36" i="2"/>
  <c r="E12" i="2"/>
  <c r="E25" i="2"/>
  <c r="G39" i="2"/>
  <c r="C37" i="2"/>
  <c r="K35" i="2"/>
  <c r="I4" i="2"/>
  <c r="F13" i="2"/>
  <c r="D12" i="2"/>
  <c r="B11" i="2"/>
  <c r="J9" i="2"/>
  <c r="H8" i="2"/>
  <c r="F7" i="2"/>
  <c r="D6" i="2"/>
  <c r="B5" i="2"/>
  <c r="J28" i="2"/>
  <c r="H27" i="2"/>
  <c r="F26" i="2"/>
  <c r="D25" i="2"/>
  <c r="B24" i="2"/>
  <c r="J22" i="2"/>
  <c r="H21" i="2"/>
  <c r="F20" i="2"/>
  <c r="E34" i="2"/>
  <c r="B43" i="2"/>
  <c r="J41" i="2"/>
  <c r="H40" i="2"/>
  <c r="F39" i="2"/>
  <c r="D38" i="2"/>
  <c r="B37" i="2"/>
  <c r="J35" i="2"/>
  <c r="H26" i="2"/>
  <c r="D43" i="2"/>
  <c r="G13" i="2"/>
  <c r="G26" i="2"/>
  <c r="E38" i="2"/>
  <c r="H4" i="2"/>
  <c r="E13" i="2"/>
  <c r="C12" i="2"/>
  <c r="K10" i="2"/>
  <c r="I9" i="2"/>
  <c r="G8" i="2"/>
  <c r="E7" i="2"/>
  <c r="C6" i="2"/>
  <c r="B19" i="2"/>
  <c r="I28" i="2"/>
  <c r="G27" i="2"/>
  <c r="E26" i="2"/>
  <c r="C25" i="2"/>
  <c r="K23" i="2"/>
  <c r="I22" i="2"/>
  <c r="G21" i="2"/>
  <c r="E20" i="2"/>
  <c r="D34" i="2"/>
  <c r="K42" i="2"/>
  <c r="I41" i="2"/>
  <c r="G40" i="2"/>
  <c r="E39" i="2"/>
  <c r="C38" i="2"/>
  <c r="K36" i="2"/>
  <c r="I35" i="2"/>
  <c r="B23" i="2"/>
  <c r="F38" i="2"/>
  <c r="K9" i="2"/>
  <c r="K22" i="2"/>
  <c r="G4" i="2"/>
  <c r="D13" i="2"/>
  <c r="B12" i="2"/>
  <c r="J10" i="2"/>
  <c r="H9" i="2"/>
  <c r="F8" i="2"/>
  <c r="D7" i="2"/>
  <c r="B6" i="2"/>
  <c r="K19" i="2"/>
  <c r="H28" i="2"/>
  <c r="F27" i="2"/>
  <c r="D26" i="2"/>
  <c r="B25" i="2"/>
  <c r="J23" i="2"/>
  <c r="H22" i="2"/>
  <c r="F21" i="2"/>
  <c r="D20" i="2"/>
  <c r="C34" i="2"/>
  <c r="J42" i="2"/>
  <c r="H41" i="2"/>
  <c r="F40" i="2"/>
  <c r="D39" i="2"/>
  <c r="B38" i="2"/>
  <c r="J36" i="2"/>
  <c r="H35" i="2"/>
  <c r="D5" i="2"/>
  <c r="J40" i="2"/>
  <c r="G7" i="2"/>
  <c r="F4" i="2"/>
  <c r="C13" i="2"/>
  <c r="K11" i="2"/>
  <c r="I10" i="2"/>
  <c r="G9" i="2"/>
  <c r="E8" i="2"/>
  <c r="C7" i="2"/>
  <c r="K5" i="2"/>
  <c r="J19" i="2"/>
  <c r="G28" i="2"/>
  <c r="E27" i="2"/>
  <c r="C26" i="2"/>
  <c r="K24" i="2"/>
  <c r="I23" i="2"/>
  <c r="G22" i="2"/>
  <c r="E21" i="2"/>
  <c r="C20" i="2"/>
  <c r="K43" i="2"/>
  <c r="I42" i="2"/>
  <c r="G41" i="2"/>
  <c r="E40" i="2"/>
  <c r="C39" i="2"/>
  <c r="K37" i="2"/>
  <c r="I36" i="2"/>
  <c r="G35" i="2"/>
  <c r="K4" i="2"/>
  <c r="D24" i="2"/>
  <c r="J21" i="2"/>
  <c r="I8" i="2"/>
  <c r="C24" i="2"/>
  <c r="E4" i="2"/>
  <c r="B13" i="2"/>
  <c r="J11" i="2"/>
  <c r="H10" i="2"/>
  <c r="F9" i="2"/>
  <c r="D8" i="2"/>
  <c r="B7" i="2"/>
  <c r="J5" i="2"/>
  <c r="I19" i="2"/>
  <c r="F28" i="2"/>
  <c r="D27" i="2"/>
  <c r="B26" i="2"/>
  <c r="J24" i="2"/>
  <c r="H23" i="2"/>
  <c r="F22" i="2"/>
  <c r="D21" i="2"/>
  <c r="B20" i="2"/>
  <c r="J43" i="2"/>
  <c r="H42" i="2"/>
  <c r="F41" i="2"/>
  <c r="D40" i="2"/>
  <c r="B39" i="2"/>
  <c r="J37" i="2"/>
  <c r="H36" i="2"/>
  <c r="F35" i="2"/>
  <c r="F25" i="2"/>
  <c r="B42" i="2"/>
  <c r="C5" i="2"/>
  <c r="I40" i="2"/>
  <c r="D4" i="2"/>
  <c r="K12" i="2"/>
  <c r="I11" i="2"/>
  <c r="G10" i="2"/>
  <c r="E9" i="2"/>
  <c r="C8" i="2"/>
  <c r="K6" i="2"/>
  <c r="I5" i="2"/>
  <c r="H19" i="2"/>
  <c r="E28" i="2"/>
  <c r="C27" i="2"/>
  <c r="K25" i="2"/>
  <c r="I24" i="2"/>
  <c r="G23" i="2"/>
  <c r="E22" i="2"/>
  <c r="C21" i="2"/>
  <c r="B34" i="2"/>
  <c r="I43" i="2"/>
  <c r="G42" i="2"/>
  <c r="E41" i="2"/>
  <c r="C40" i="2"/>
  <c r="K38" i="2"/>
  <c r="I37" i="2"/>
  <c r="G36" i="2"/>
  <c r="E35" i="2"/>
  <c r="F6" i="2"/>
  <c r="H20" i="2"/>
  <c r="C11" i="2"/>
  <c r="I21" i="2"/>
  <c r="C4" i="2"/>
  <c r="J12" i="2"/>
  <c r="H11" i="2"/>
  <c r="F10" i="2"/>
  <c r="D9" i="2"/>
  <c r="B8" i="2"/>
  <c r="J6" i="2"/>
  <c r="H5" i="2"/>
  <c r="G19" i="2"/>
  <c r="D28" i="2"/>
  <c r="B27" i="2"/>
  <c r="J25" i="2"/>
  <c r="H24" i="2"/>
  <c r="F23" i="2"/>
  <c r="D22" i="2"/>
  <c r="B21" i="2"/>
  <c r="K34" i="2"/>
  <c r="H43" i="2"/>
  <c r="F42" i="2"/>
  <c r="D41" i="2"/>
  <c r="B40" i="2"/>
  <c r="J38" i="2"/>
  <c r="H37" i="2"/>
  <c r="F36" i="2"/>
  <c r="D35" i="2"/>
  <c r="C19" i="2"/>
  <c r="H39" i="2"/>
  <c r="K41" i="2"/>
  <c r="K13" i="2"/>
  <c r="I12" i="2"/>
  <c r="G11" i="2"/>
  <c r="E10" i="2"/>
  <c r="C9" i="2"/>
  <c r="K7" i="2"/>
  <c r="I6" i="2"/>
  <c r="G5" i="2"/>
  <c r="F19" i="2"/>
  <c r="C28" i="2"/>
  <c r="K26" i="2"/>
  <c r="I25" i="2"/>
  <c r="G24" i="2"/>
  <c r="E23" i="2"/>
  <c r="C22" i="2"/>
  <c r="K20" i="2"/>
  <c r="J34" i="2"/>
  <c r="G43" i="2"/>
  <c r="E42" i="2"/>
  <c r="C41" i="2"/>
  <c r="K39" i="2"/>
  <c r="I38" i="2"/>
  <c r="G37" i="2"/>
  <c r="E36" i="2"/>
  <c r="C35" i="2"/>
  <c r="J27" i="2"/>
  <c r="G34" i="2"/>
  <c r="J13" i="2"/>
  <c r="H12" i="2"/>
  <c r="F11" i="2"/>
  <c r="D10" i="2"/>
  <c r="B9" i="2"/>
  <c r="J7" i="2"/>
  <c r="H6" i="2"/>
  <c r="E19" i="2"/>
  <c r="B28" i="2"/>
  <c r="J26" i="2"/>
  <c r="H25" i="2"/>
  <c r="F24" i="2"/>
  <c r="D23" i="2"/>
  <c r="B22" i="2"/>
  <c r="I34" i="2"/>
  <c r="F43" i="2"/>
  <c r="D42" i="2"/>
  <c r="B41" i="2"/>
  <c r="J39" i="2"/>
  <c r="H38" i="2"/>
  <c r="F37" i="2"/>
  <c r="D36" i="2"/>
  <c r="D12" i="10" l="1"/>
  <c r="E12" i="10" s="1"/>
  <c r="F12" i="10" s="1"/>
  <c r="G12" i="10" s="1"/>
  <c r="H12" i="10" s="1"/>
  <c r="I12" i="10" s="1"/>
  <c r="J12" i="10" s="1"/>
  <c r="K12" i="10" s="1"/>
  <c r="L12" i="10" s="1"/>
  <c r="E12" i="8" s="1"/>
  <c r="E11" i="10"/>
  <c r="F11" i="10" s="1"/>
  <c r="G11" i="10" s="1"/>
  <c r="H11" i="10" s="1"/>
  <c r="I11" i="10" s="1"/>
  <c r="J11" i="10" s="1"/>
  <c r="K11" i="10" s="1"/>
  <c r="L11" i="10" s="1"/>
  <c r="E11" i="8" s="1"/>
  <c r="F10" i="10"/>
  <c r="G10" i="10" s="1"/>
  <c r="H10" i="10" s="1"/>
  <c r="I10" i="10" s="1"/>
  <c r="J10" i="10" s="1"/>
  <c r="K10" i="10" s="1"/>
  <c r="L10" i="10" s="1"/>
  <c r="E10" i="8" s="1"/>
  <c r="G9" i="10"/>
  <c r="H9" i="10" s="1"/>
  <c r="I9" i="10" s="1"/>
  <c r="J9" i="10" s="1"/>
  <c r="K9" i="10" s="1"/>
  <c r="L9" i="10" s="1"/>
  <c r="E9" i="8" s="1"/>
  <c r="H8" i="10"/>
  <c r="I8" i="10" s="1"/>
  <c r="J8" i="10" s="1"/>
  <c r="K8" i="10" s="1"/>
  <c r="L8" i="10" s="1"/>
  <c r="E8" i="8" s="1"/>
  <c r="I7" i="10"/>
  <c r="J7" i="10" s="1"/>
  <c r="K7" i="10" s="1"/>
  <c r="L7" i="10" s="1"/>
  <c r="E7" i="8" s="1"/>
  <c r="J6" i="10"/>
  <c r="K6" i="10" s="1"/>
  <c r="L6" i="10" s="1"/>
  <c r="E6" i="8" s="1"/>
  <c r="L5" i="10"/>
  <c r="C13" i="10"/>
  <c r="D13" i="10" s="1"/>
  <c r="E13" i="10" s="1"/>
  <c r="F13" i="10" s="1"/>
  <c r="G13" i="10" s="1"/>
  <c r="H13" i="10" s="1"/>
  <c r="I13" i="10" s="1"/>
  <c r="J13" i="10" s="1"/>
  <c r="K13" i="10" s="1"/>
  <c r="L13" i="10" s="1"/>
  <c r="E13" i="8" s="1"/>
  <c r="E5" i="8"/>
  <c r="E14" i="8" s="1"/>
  <c r="L14" i="10"/>
  <c r="BH4" i="10"/>
  <c r="DD4" i="10" s="1"/>
  <c r="BH9" i="10"/>
  <c r="DD9" i="10" s="1"/>
  <c r="BH8" i="10"/>
  <c r="DD8" i="10" s="1"/>
  <c r="BH7" i="10"/>
  <c r="DD7" i="10" s="1"/>
  <c r="BH6" i="10"/>
  <c r="DD6" i="10" s="1"/>
  <c r="BH5" i="10"/>
  <c r="DD5" i="10" s="1"/>
  <c r="DD10" i="10"/>
  <c r="G16" i="11"/>
  <c r="H4" i="11"/>
  <c r="G35" i="11"/>
  <c r="H23" i="11"/>
  <c r="G54" i="11"/>
  <c r="H42" i="11"/>
  <c r="S35" i="10"/>
  <c r="S55" i="10"/>
  <c r="S16" i="10"/>
  <c r="G14" i="8"/>
  <c r="Y21" i="6"/>
  <c r="Z21" i="6" s="1"/>
  <c r="G21" i="8" s="1"/>
  <c r="Y23" i="6"/>
  <c r="Y24" i="6"/>
  <c r="Z24" i="6" s="1"/>
  <c r="G24" i="8" s="1"/>
  <c r="Y25" i="6"/>
  <c r="Z25" i="6" s="1"/>
  <c r="G25" i="8" s="1"/>
  <c r="Y26" i="6"/>
  <c r="Z26" i="6" s="1"/>
  <c r="G26" i="8" s="1"/>
  <c r="Y20" i="6"/>
  <c r="Z20" i="6" s="1"/>
  <c r="G20" i="8" s="1"/>
  <c r="Y22" i="6"/>
  <c r="Z22" i="6" s="1"/>
  <c r="G22" i="8" s="1"/>
  <c r="Y27" i="6"/>
  <c r="Z27" i="6" s="1"/>
  <c r="G27" i="8" s="1"/>
  <c r="Y28" i="6"/>
  <c r="Z28" i="6" s="1"/>
  <c r="G28" i="8" s="1"/>
  <c r="Z23" i="6"/>
  <c r="G23" i="8" s="1"/>
  <c r="G34" i="6"/>
  <c r="F44" i="6"/>
  <c r="F54" i="7"/>
  <c r="F35" i="7"/>
  <c r="F16" i="7"/>
  <c r="BI4" i="10" l="1"/>
  <c r="DE4" i="10" s="1"/>
  <c r="BI8" i="10"/>
  <c r="DE8" i="10" s="1"/>
  <c r="BI7" i="10"/>
  <c r="DE7" i="10" s="1"/>
  <c r="BI6" i="10"/>
  <c r="DE6" i="10" s="1"/>
  <c r="BI5" i="10"/>
  <c r="DE5" i="10" s="1"/>
  <c r="DE9" i="10"/>
  <c r="H54" i="11"/>
  <c r="I42" i="11"/>
  <c r="H35" i="11"/>
  <c r="I23" i="11"/>
  <c r="H16" i="11"/>
  <c r="I4" i="11"/>
  <c r="T55" i="10"/>
  <c r="T35" i="10"/>
  <c r="T16" i="10"/>
  <c r="G29" i="8"/>
  <c r="H34" i="6"/>
  <c r="G44" i="6"/>
  <c r="G16" i="7"/>
  <c r="G35" i="7"/>
  <c r="G54" i="7"/>
  <c r="BJ4" i="10" l="1"/>
  <c r="DF4" i="10" s="1"/>
  <c r="BJ7" i="10"/>
  <c r="DF7" i="10" s="1"/>
  <c r="BJ6" i="10"/>
  <c r="DF6" i="10" s="1"/>
  <c r="BJ5" i="10"/>
  <c r="DF5" i="10" s="1"/>
  <c r="DF8" i="10"/>
  <c r="I16" i="11"/>
  <c r="J4" i="11"/>
  <c r="I35" i="11"/>
  <c r="J23" i="11"/>
  <c r="I54" i="11"/>
  <c r="J42" i="11"/>
  <c r="U35" i="10"/>
  <c r="U55" i="10"/>
  <c r="U16" i="10"/>
  <c r="I34" i="6"/>
  <c r="H44" i="6"/>
  <c r="H54" i="7"/>
  <c r="H35" i="7"/>
  <c r="H16" i="7"/>
  <c r="BK4" i="10" l="1"/>
  <c r="DG4" i="10" s="1"/>
  <c r="BK6" i="10"/>
  <c r="DG6" i="10" s="1"/>
  <c r="BK5" i="10"/>
  <c r="DG5" i="10" s="1"/>
  <c r="DG7" i="10"/>
  <c r="J54" i="11"/>
  <c r="K42" i="11"/>
  <c r="K54" i="11" s="1"/>
  <c r="J55" i="11" s="1"/>
  <c r="H55" i="11"/>
  <c r="F55" i="11"/>
  <c r="D55" i="11"/>
  <c r="B55" i="11"/>
  <c r="J35" i="11"/>
  <c r="K23" i="11"/>
  <c r="K35" i="11" s="1"/>
  <c r="J36" i="11" s="1"/>
  <c r="H36" i="11"/>
  <c r="F36" i="11"/>
  <c r="D36" i="11"/>
  <c r="B36" i="11"/>
  <c r="J16" i="11"/>
  <c r="K4" i="11"/>
  <c r="K16" i="11" s="1"/>
  <c r="J17" i="11" s="1"/>
  <c r="H17" i="11"/>
  <c r="F17" i="11"/>
  <c r="D17" i="11"/>
  <c r="B17" i="11"/>
  <c r="K13" i="11" s="1"/>
  <c r="L13" i="11" s="1"/>
  <c r="V55" i="10"/>
  <c r="W55" i="10"/>
  <c r="V56" i="10" s="1"/>
  <c r="T56" i="10"/>
  <c r="R56" i="10"/>
  <c r="P56" i="10"/>
  <c r="N56" i="10"/>
  <c r="V35" i="10"/>
  <c r="W35" i="10"/>
  <c r="V36" i="10" s="1"/>
  <c r="T36" i="10"/>
  <c r="R36" i="10"/>
  <c r="P36" i="10"/>
  <c r="N36" i="10"/>
  <c r="V16" i="10"/>
  <c r="W16" i="10"/>
  <c r="J34" i="6"/>
  <c r="I44" i="6"/>
  <c r="I16" i="7"/>
  <c r="I35" i="7"/>
  <c r="I54" i="7"/>
  <c r="D13" i="8" l="1"/>
  <c r="D14" i="8" s="1"/>
  <c r="L14" i="11"/>
  <c r="DI4" i="10"/>
  <c r="DD15" i="10" s="1"/>
  <c r="DO8" i="10" s="1"/>
  <c r="DI5" i="10"/>
  <c r="BL4" i="10"/>
  <c r="DH4" i="10" s="1"/>
  <c r="BL5" i="10"/>
  <c r="DH5" i="10" s="1"/>
  <c r="DH6" i="10"/>
  <c r="I17" i="11"/>
  <c r="G17" i="11"/>
  <c r="E17" i="11"/>
  <c r="C17" i="11"/>
  <c r="I36" i="11"/>
  <c r="G36" i="11"/>
  <c r="E36" i="11"/>
  <c r="C36" i="11"/>
  <c r="I55" i="11"/>
  <c r="G55" i="11"/>
  <c r="E55" i="11"/>
  <c r="C55" i="11"/>
  <c r="U36" i="10"/>
  <c r="S36" i="10"/>
  <c r="Q36" i="10"/>
  <c r="O36" i="10"/>
  <c r="U56" i="10"/>
  <c r="S56" i="10"/>
  <c r="Q56" i="10"/>
  <c r="O56" i="10"/>
  <c r="K34" i="6"/>
  <c r="J44" i="6"/>
  <c r="K54" i="7"/>
  <c r="J55" i="7" s="1"/>
  <c r="J54" i="7"/>
  <c r="K35" i="7"/>
  <c r="J36" i="7" s="1"/>
  <c r="J35" i="7"/>
  <c r="J17" i="7"/>
  <c r="J16" i="7"/>
  <c r="K44" i="6" l="1"/>
  <c r="G45" i="6" s="1"/>
  <c r="B45" i="6"/>
  <c r="J45" i="6"/>
  <c r="C45" i="6"/>
  <c r="I45" i="6"/>
  <c r="D45" i="6"/>
  <c r="E45" i="6"/>
  <c r="F45" i="6"/>
  <c r="H45" i="6"/>
  <c r="I17" i="7"/>
  <c r="H17" i="7"/>
  <c r="G17" i="7"/>
  <c r="F17" i="7"/>
  <c r="E17" i="7"/>
  <c r="D17" i="7"/>
  <c r="C17" i="7"/>
  <c r="B17" i="7"/>
  <c r="I36" i="7"/>
  <c r="H36" i="7"/>
  <c r="G36" i="7"/>
  <c r="F36" i="7"/>
  <c r="E36" i="7"/>
  <c r="D36" i="7"/>
  <c r="C36" i="7"/>
  <c r="B36" i="7"/>
  <c r="I55" i="7"/>
  <c r="H55" i="7"/>
  <c r="G55" i="7"/>
  <c r="F55" i="7"/>
  <c r="E55" i="7"/>
  <c r="D55" i="7"/>
  <c r="C55" i="7"/>
  <c r="B55" i="7"/>
  <c r="N34" i="6" l="1"/>
  <c r="Y35" i="6" l="1"/>
  <c r="Z35" i="6" s="1"/>
  <c r="G35" i="8" s="1"/>
  <c r="Y36" i="6"/>
  <c r="Z36" i="6" s="1"/>
  <c r="G36" i="8" s="1"/>
  <c r="Y39" i="6"/>
  <c r="Z39" i="6" s="1"/>
  <c r="G39" i="8" s="1"/>
  <c r="Y42" i="6"/>
  <c r="Z42" i="6" s="1"/>
  <c r="G42" i="8" s="1"/>
  <c r="Y37" i="6"/>
  <c r="Z37" i="6" s="1"/>
  <c r="G37" i="8" s="1"/>
  <c r="Y38" i="6"/>
  <c r="Z38" i="6" s="1"/>
  <c r="G38" i="8" s="1"/>
  <c r="Y40" i="6"/>
  <c r="Z40" i="6" s="1"/>
  <c r="G40" i="8" s="1"/>
  <c r="Y41" i="6"/>
  <c r="Z41" i="6" s="1"/>
  <c r="G41" i="8" s="1"/>
  <c r="Y43" i="6"/>
  <c r="Z43" i="6" s="1"/>
  <c r="G43" i="8" s="1"/>
  <c r="G44" i="8" s="1"/>
  <c r="AK6" i="10"/>
  <c r="CW5" i="10"/>
  <c r="CV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<sst xmlns="http://schemas.openxmlformats.org/spreadsheetml/2006/main" count="2915" uniqueCount="115">
  <si>
    <t>lob solvency 2</t>
  </si>
  <si>
    <t>kwartał zajścia szkody</t>
  </si>
  <si>
    <t>kwartał zgłoszenia szkody</t>
  </si>
  <si>
    <t>wartość wypłaconych świadczeń w okresie</t>
  </si>
  <si>
    <t>wartość zgłoszonych ale nie wypłaconych świadczeń</t>
  </si>
  <si>
    <t xml:space="preserve">liczba szkód zgłoszonych wszystkich w danym kwartale imo </t>
  </si>
  <si>
    <t>liczba jeszcze niewypłaconych szkód</t>
  </si>
  <si>
    <t>LoB</t>
  </si>
  <si>
    <t>AccidentQ</t>
  </si>
  <si>
    <t>ReportingQ</t>
  </si>
  <si>
    <t>Payment_incremental</t>
  </si>
  <si>
    <t>RBNS_reported</t>
  </si>
  <si>
    <t>Nr_claims_incremental</t>
  </si>
  <si>
    <t>NR_open_claims_reported</t>
  </si>
  <si>
    <t>AccidentY</t>
  </si>
  <si>
    <t>ReportingY</t>
  </si>
  <si>
    <t>Incurred</t>
  </si>
  <si>
    <t>GTPL</t>
  </si>
  <si>
    <t>MTPL</t>
  </si>
  <si>
    <t>MH</t>
  </si>
  <si>
    <t>=SUMA.WARUNKÓW(dane!$D$4:$D$2463;dane!$A$4:$A$2463;Arkusz1!$A$1;dane!$B$4:$B$2463;Arkusz1!$A4;dane!$C$4:$C$2463;Arkusz1!$A4+B$3)</t>
  </si>
  <si>
    <t>ile lat później rozliczona szkoda</t>
  </si>
  <si>
    <t>rok zajścia szkody</t>
  </si>
  <si>
    <t xml:space="preserve">  </t>
  </si>
  <si>
    <t>Rezerwa</t>
  </si>
  <si>
    <t>LDF</t>
  </si>
  <si>
    <t>Skumulowane LDF</t>
  </si>
  <si>
    <t xml:space="preserve">Paid </t>
  </si>
  <si>
    <t>Macierze rezyduów</t>
  </si>
  <si>
    <t>Estymatory</t>
  </si>
  <si>
    <t>F^P</t>
  </si>
  <si>
    <t>F^I</t>
  </si>
  <si>
    <t>Q</t>
  </si>
  <si>
    <t>Q_inv</t>
  </si>
  <si>
    <t>F^P*Q_inv</t>
  </si>
  <si>
    <t>F^I*Q</t>
  </si>
  <si>
    <t>q</t>
  </si>
  <si>
    <t>q_inv</t>
  </si>
  <si>
    <t>sigma_P</t>
  </si>
  <si>
    <t>&lt;- założenie dla ostatniego</t>
  </si>
  <si>
    <t>Lambda^P</t>
  </si>
  <si>
    <t>sigma_I</t>
  </si>
  <si>
    <t>Lambda^I</t>
  </si>
  <si>
    <t>sigma_Q</t>
  </si>
  <si>
    <t>sigma_Qinv</t>
  </si>
  <si>
    <t>SUMA</t>
  </si>
  <si>
    <t>Suma ^2</t>
  </si>
  <si>
    <t>Suma</t>
  </si>
  <si>
    <t>Zakładamy, że estymowany współczynnik szkodowości przyjmuje stałą wartość 75%</t>
  </si>
  <si>
    <t>Ile lat później rozliczona szkoda</t>
  </si>
  <si>
    <t>Współczynnik szkodowości</t>
  </si>
  <si>
    <t>Współczynniki rozwoju</t>
  </si>
  <si>
    <t>Współczynniki Chain-Ladder</t>
  </si>
  <si>
    <t>REZERWY</t>
  </si>
  <si>
    <t>kappa</t>
  </si>
  <si>
    <t>wsp chain ladd</t>
  </si>
  <si>
    <t>wsp rozw gamma</t>
  </si>
  <si>
    <t>Rozkład na drugim poziomie</t>
  </si>
  <si>
    <t>(1= Poisson, 2=Gamma)</t>
  </si>
  <si>
    <t>Wyłaczyć residua zerowe?</t>
  </si>
  <si>
    <t>Czy średnia residuuów ma być zero?</t>
  </si>
  <si>
    <t>Liczba obserwacji</t>
  </si>
  <si>
    <t>Liczba parametrów</t>
  </si>
  <si>
    <t>Stopnie swobody</t>
  </si>
  <si>
    <t>Dyspersja Pearson'a Chi-kwadrat</t>
  </si>
  <si>
    <t>Szkody wypłacone narastająco GTPL</t>
  </si>
  <si>
    <t>Szkody wypłacone inkrementalnie</t>
  </si>
  <si>
    <t>Rok rozwoju</t>
  </si>
  <si>
    <t>Rok wypadku</t>
  </si>
  <si>
    <t>Trójkąt 1 - Szkody wypłacone narastająco</t>
  </si>
  <si>
    <t>inkrementalnie</t>
  </si>
  <si>
    <t>narastająco</t>
  </si>
  <si>
    <t>Trójkąt 2 - Dopasowane wartości narastająco</t>
  </si>
  <si>
    <t>Współczynniki rozwoju na dopasowanym trójkącie</t>
  </si>
  <si>
    <t>Trójkąt 3 - Dopasowane wartości inkrementalnie</t>
  </si>
  <si>
    <t>Rezerwy</t>
  </si>
  <si>
    <t>Razem</t>
  </si>
  <si>
    <t>Trójkąt 4 - nieskalowane residua Pearson'a</t>
  </si>
  <si>
    <t>Kwadrat residuów</t>
  </si>
  <si>
    <t>Pearson Chi-kwadrat</t>
  </si>
  <si>
    <t>Trójkąt 5 - Przeskalowane residua Pearson'a</t>
  </si>
  <si>
    <t># residuów</t>
  </si>
  <si>
    <t>średnia</t>
  </si>
  <si>
    <t>Trójkąt 6 - Przeskalowane residua Pearson'a z korektą średniej</t>
  </si>
  <si>
    <t>poprawka na średnią</t>
  </si>
  <si>
    <t>Trójkąt 7 - Wylosowane residua (F9 aby raz wylosować)</t>
  </si>
  <si>
    <t>Trójkąt 8 - Pseudo wartości inkrementalnie</t>
  </si>
  <si>
    <t>Trójkąt 9 - Pseudo wartości narastająco</t>
  </si>
  <si>
    <t>Współczynniki rozwoju z wylosowanej próbki</t>
  </si>
  <si>
    <t>Trójkąt 9 - Prognoza narastająco</t>
  </si>
  <si>
    <t>Trójkąt 10 - Prognoza inkrementalnie (bez błędu procesu)</t>
  </si>
  <si>
    <t>Rok opóźnienia</t>
  </si>
  <si>
    <t>Obliczenia do Bootstrap'u</t>
  </si>
  <si>
    <t>Losowanie</t>
  </si>
  <si>
    <t>Średnia</t>
  </si>
  <si>
    <t>SD</t>
  </si>
  <si>
    <t>SD%</t>
  </si>
  <si>
    <t>Rok</t>
  </si>
  <si>
    <t>Stopa</t>
  </si>
  <si>
    <t>Współczynnik dyskontowy</t>
  </si>
  <si>
    <t>VaR 95%</t>
  </si>
  <si>
    <t>Residua</t>
  </si>
  <si>
    <t>Indeks</t>
  </si>
  <si>
    <t>Pearson'a</t>
  </si>
  <si>
    <t>Losowo</t>
  </si>
  <si>
    <t>Wylosowany</t>
  </si>
  <si>
    <t>=1/(1+stopa_dany_rok)^rok_op</t>
  </si>
  <si>
    <t>Metoda</t>
  </si>
  <si>
    <t>Rezerwa (rok opóźnienia)</t>
  </si>
  <si>
    <t>Chain-Ladder</t>
  </si>
  <si>
    <t>Munich Chain-Ladder</t>
  </si>
  <si>
    <t>Bornhuetter-Ferguson</t>
  </si>
  <si>
    <t>Cape Cod</t>
  </si>
  <si>
    <t>Bootstrap</t>
  </si>
  <si>
    <t>Łącznie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</si>
</sst>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zł&quot;_-;\-* #,##0.00\ &quot;zł&quot;_-;_-* &quot;-&quot;??\ &quot;zł&quot;_-;_-@_-"/>
    <numFmt numFmtId="43" formatCode="_-* #,##0.00_-;\-* #,##0.00_-;_-* &quot;-&quot;??_-;_-@_-"/>
    <numFmt numFmtId="164" formatCode="_-* #,##0.00\ _z_ł_-;\-* #,##0.00\ _z_ł_-;_-* &quot;-&quot;??\ _z_ł_-;_-@_-"/>
    <numFmt numFmtId="165" formatCode="#,##0\ &quot;zł&quot;"/>
    <numFmt numFmtId="166" formatCode="0.000%"/>
    <numFmt numFmtId="167" formatCode="#,##0.00\ &quot;zł&quot;"/>
    <numFmt numFmtId="168" formatCode="#,##0.0"/>
    <numFmt numFmtId="169" formatCode="_-* #,##0\ _z_ł_-;\-* #,##0\ _z_ł_-;_-* &quot;-&quot;??\ _z_ł_-;_-@_-"/>
    <numFmt numFmtId="170" formatCode="0.000"/>
    <numFmt numFmtId="171" formatCode="0.000000"/>
    <numFmt numFmtId="172" formatCode="_-* #,##0_-;\-* #,##0_-;_-* &quot;-&quot;??_-;_-@_-"/>
    <numFmt numFmtId="173" formatCode="0.0%"/>
    <numFmt numFmtId="174" formatCode="0.0000%"/>
  </numFmts>
  <fonts count="21" x14ac:knownFonts="1">
    <font>
      <sz val="11"/>
      <color theme="1"/>
      <name val="Calibri"/>
      <family val="2"/>
      <scheme val="minor"/>
    </font>
    <font>
      <sz val="11"/>
      <name val="Arial"/>
    </font>
    <font>
      <sz val="11"/>
      <name val="Arial"/>
      <family val="2"/>
      <charset val="238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color rgb="FF444444"/>
      <name val="Calibri"/>
      <family val="2"/>
      <charset val="1"/>
    </font>
    <font>
      <sz val="12"/>
      <name val="Times New Roman"/>
    </font>
    <font>
      <sz val="10"/>
      <name val="Arial"/>
      <family val="2"/>
    </font>
    <font>
      <b/>
      <i/>
      <sz val="10"/>
      <name val="Arial"/>
      <family val="2"/>
    </font>
    <font>
      <sz val="10"/>
      <color indexed="10"/>
      <name val="Arial"/>
      <family val="2"/>
    </font>
    <font>
      <sz val="12"/>
      <name val="Times New Roman"/>
      <family val="1"/>
      <charset val="238"/>
    </font>
    <font>
      <sz val="9"/>
      <name val="Arial"/>
      <family val="2"/>
      <charset val="238"/>
    </font>
    <font>
      <b/>
      <sz val="14"/>
      <color theme="0" tint="-0.34998626667073579"/>
      <name val="Arial"/>
      <family val="2"/>
    </font>
    <font>
      <sz val="9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Arial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1" fillId="0" borderId="0" xfId="1" quotePrefix="1"/>
    <xf numFmtId="0" fontId="4" fillId="0" borderId="0" xfId="0" applyFont="1"/>
    <xf numFmtId="0" fontId="0" fillId="0" borderId="0" xfId="0" quotePrefix="1"/>
    <xf numFmtId="0" fontId="2" fillId="0" borderId="0" xfId="1" applyFont="1"/>
    <xf numFmtId="44" fontId="0" fillId="0" borderId="0" xfId="3" applyFont="1"/>
    <xf numFmtId="44" fontId="0" fillId="0" borderId="0" xfId="0" applyNumberFormat="1"/>
    <xf numFmtId="2" fontId="0" fillId="0" borderId="0" xfId="0" applyNumberFormat="1"/>
    <xf numFmtId="1" fontId="0" fillId="0" borderId="0" xfId="3" applyNumberFormat="1" applyFont="1"/>
    <xf numFmtId="44" fontId="1" fillId="0" borderId="0" xfId="3" applyFont="1"/>
    <xf numFmtId="0" fontId="0" fillId="2" borderId="0" xfId="0" applyFill="1"/>
    <xf numFmtId="0" fontId="5" fillId="0" borderId="0" xfId="0" applyFont="1"/>
    <xf numFmtId="165" fontId="0" fillId="0" borderId="0" xfId="0" applyNumberFormat="1"/>
    <xf numFmtId="165" fontId="0" fillId="2" borderId="0" xfId="0" applyNumberFormat="1" applyFill="1"/>
    <xf numFmtId="166" fontId="0" fillId="3" borderId="0" xfId="4" applyNumberFormat="1" applyFont="1" applyFill="1"/>
    <xf numFmtId="166" fontId="0" fillId="3" borderId="1" xfId="4" applyNumberFormat="1" applyFont="1" applyFill="1" applyBorder="1"/>
    <xf numFmtId="0" fontId="0" fillId="6" borderId="0" xfId="0" applyFill="1"/>
    <xf numFmtId="165" fontId="0" fillId="7" borderId="0" xfId="0" applyNumberFormat="1" applyFill="1"/>
    <xf numFmtId="167" fontId="0" fillId="0" borderId="0" xfId="0" applyNumberFormat="1"/>
    <xf numFmtId="0" fontId="6" fillId="0" borderId="0" xfId="0" quotePrefix="1" applyFont="1"/>
    <xf numFmtId="2" fontId="6" fillId="0" borderId="0" xfId="0" quotePrefix="1" applyNumberFormat="1" applyFont="1"/>
    <xf numFmtId="2" fontId="0" fillId="7" borderId="0" xfId="0" applyNumberFormat="1" applyFill="1"/>
    <xf numFmtId="0" fontId="0" fillId="8" borderId="0" xfId="0" applyFill="1"/>
    <xf numFmtId="0" fontId="8" fillId="0" borderId="0" xfId="5" applyFont="1"/>
    <xf numFmtId="0" fontId="7" fillId="0" borderId="0" xfId="5"/>
    <xf numFmtId="1" fontId="9" fillId="0" borderId="0" xfId="5" applyNumberFormat="1" applyFont="1" applyAlignment="1">
      <alignment horizontal="right"/>
    </xf>
    <xf numFmtId="1" fontId="10" fillId="9" borderId="0" xfId="5" applyNumberFormat="1" applyFont="1" applyFill="1"/>
    <xf numFmtId="0" fontId="9" fillId="0" borderId="0" xfId="5" applyFont="1"/>
    <xf numFmtId="1" fontId="8" fillId="0" borderId="0" xfId="5" applyNumberFormat="1" applyFont="1" applyAlignment="1">
      <alignment horizontal="center"/>
    </xf>
    <xf numFmtId="1" fontId="8" fillId="10" borderId="0" xfId="5" applyNumberFormat="1" applyFont="1" applyFill="1"/>
    <xf numFmtId="11" fontId="9" fillId="0" borderId="0" xfId="5" applyNumberFormat="1" applyFont="1" applyAlignment="1">
      <alignment horizontal="right"/>
    </xf>
    <xf numFmtId="168" fontId="8" fillId="10" borderId="0" xfId="6" applyNumberFormat="1" applyFont="1" applyFill="1"/>
    <xf numFmtId="0" fontId="12" fillId="0" borderId="0" xfId="5" applyFont="1"/>
    <xf numFmtId="0" fontId="13" fillId="0" borderId="0" xfId="5" applyFont="1"/>
    <xf numFmtId="0" fontId="14" fillId="0" borderId="0" xfId="5" applyFont="1"/>
    <xf numFmtId="0" fontId="15" fillId="0" borderId="0" xfId="5" applyFont="1"/>
    <xf numFmtId="169" fontId="14" fillId="0" borderId="0" xfId="6" applyNumberFormat="1" applyFont="1"/>
    <xf numFmtId="0" fontId="16" fillId="0" borderId="0" xfId="5" quotePrefix="1" applyFont="1"/>
    <xf numFmtId="0" fontId="17" fillId="0" borderId="0" xfId="5" applyFont="1"/>
    <xf numFmtId="3" fontId="8" fillId="10" borderId="0" xfId="5" applyNumberFormat="1" applyFont="1" applyFill="1"/>
    <xf numFmtId="3" fontId="8" fillId="0" borderId="0" xfId="5" applyNumberFormat="1" applyFont="1"/>
    <xf numFmtId="0" fontId="16" fillId="0" borderId="0" xfId="5" applyFont="1"/>
    <xf numFmtId="3" fontId="10" fillId="0" borderId="0" xfId="5" applyNumberFormat="1" applyFont="1"/>
    <xf numFmtId="0" fontId="9" fillId="0" borderId="0" xfId="5" applyFont="1" applyAlignment="1">
      <alignment horizontal="right"/>
    </xf>
    <xf numFmtId="170" fontId="8" fillId="10" borderId="0" xfId="5" applyNumberFormat="1" applyFont="1" applyFill="1"/>
    <xf numFmtId="170" fontId="8" fillId="0" borderId="0" xfId="5" applyNumberFormat="1" applyFont="1"/>
    <xf numFmtId="3" fontId="8" fillId="11" borderId="0" xfId="5" applyNumberFormat="1" applyFont="1" applyFill="1"/>
    <xf numFmtId="4" fontId="8" fillId="10" borderId="0" xfId="5" applyNumberFormat="1" applyFont="1" applyFill="1"/>
    <xf numFmtId="4" fontId="8" fillId="0" borderId="0" xfId="5" applyNumberFormat="1" applyFont="1"/>
    <xf numFmtId="0" fontId="18" fillId="0" borderId="0" xfId="5" applyFont="1"/>
    <xf numFmtId="0" fontId="8" fillId="10" borderId="0" xfId="5" applyFont="1" applyFill="1"/>
    <xf numFmtId="171" fontId="8" fillId="10" borderId="0" xfId="5" applyNumberFormat="1" applyFont="1" applyFill="1"/>
    <xf numFmtId="1" fontId="8" fillId="0" borderId="0" xfId="5" applyNumberFormat="1" applyFont="1"/>
    <xf numFmtId="172" fontId="8" fillId="10" borderId="0" xfId="6" applyNumberFormat="1" applyFont="1" applyFill="1"/>
    <xf numFmtId="172" fontId="16" fillId="10" borderId="0" xfId="6" applyNumberFormat="1" applyFont="1" applyFill="1"/>
    <xf numFmtId="173" fontId="8" fillId="10" borderId="0" xfId="7" applyNumberFormat="1" applyFont="1" applyFill="1"/>
    <xf numFmtId="10" fontId="8" fillId="0" borderId="0" xfId="5" applyNumberFormat="1" applyFont="1"/>
    <xf numFmtId="0" fontId="8" fillId="0" borderId="0" xfId="5" applyFont="1" applyAlignment="1">
      <alignment horizontal="right"/>
    </xf>
    <xf numFmtId="172" fontId="7" fillId="0" borderId="0" xfId="5" applyNumberFormat="1"/>
    <xf numFmtId="2" fontId="6" fillId="0" borderId="0" xfId="0" applyNumberFormat="1" applyFont="1"/>
    <xf numFmtId="172" fontId="19" fillId="10" borderId="0" xfId="6" applyNumberFormat="1" applyFont="1" applyFill="1"/>
    <xf numFmtId="0" fontId="0" fillId="12" borderId="0" xfId="0" applyFill="1"/>
    <xf numFmtId="167" fontId="0" fillId="12" borderId="0" xfId="0" applyNumberFormat="1" applyFill="1"/>
    <xf numFmtId="165" fontId="0" fillId="12" borderId="0" xfId="0" applyNumberFormat="1" applyFill="1"/>
    <xf numFmtId="0" fontId="0" fillId="13" borderId="0" xfId="0" applyFill="1"/>
    <xf numFmtId="165" fontId="0" fillId="0" borderId="2" xfId="0" applyNumberFormat="1" applyBorder="1"/>
    <xf numFmtId="165" fontId="0" fillId="13" borderId="2" xfId="0" applyNumberFormat="1" applyFill="1" applyBorder="1"/>
    <xf numFmtId="165" fontId="0" fillId="14" borderId="2" xfId="0" applyNumberFormat="1" applyFill="1" applyBorder="1"/>
    <xf numFmtId="165" fontId="20" fillId="7" borderId="0" xfId="0" applyNumberFormat="1" applyFont="1" applyFill="1"/>
    <xf numFmtId="0" fontId="20" fillId="15" borderId="0" xfId="0" applyFont="1" applyFill="1"/>
    <xf numFmtId="0" fontId="0" fillId="0" borderId="2" xfId="0" applyBorder="1"/>
    <xf numFmtId="0" fontId="0" fillId="16" borderId="0" xfId="0" applyFill="1"/>
    <xf numFmtId="174" fontId="0" fillId="0" borderId="0" xfId="4" applyNumberFormat="1" applyFont="1"/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172" fontId="16" fillId="10" borderId="0" xfId="6" applyNumberFormat="1" applyFont="1" applyFill="1" applyAlignment="1">
      <alignment horizontal="center"/>
    </xf>
  </cellXfs>
  <cellStyles count="8">
    <cellStyle name="Dziesiętny 2" xfId="2" xr:uid="{9FFF6F08-16AE-421F-B6DB-CDA752DC0FB4}"/>
    <cellStyle name="Dziesiętny 3" xfId="6" xr:uid="{17945867-B91D-48C9-BEBE-355ADA9EFD7A}"/>
    <cellStyle name="Normalny" xfId="0" builtinId="0"/>
    <cellStyle name="Normalny 2" xfId="1" xr:uid="{593AA964-A53E-440A-AFF3-6EB6AAD6B7CA}"/>
    <cellStyle name="Normalny 3" xfId="5" xr:uid="{AFCED86F-7E4C-4AE6-B6C5-15808698CDBD}"/>
    <cellStyle name="Procentowy" xfId="4" builtinId="5"/>
    <cellStyle name="Procentowy 2" xfId="7" xr:uid="{1B0BA225-2377-40A1-998C-BEAB1E3E8EE7}"/>
    <cellStyle name="Walutowy" xfId="3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 częstości łącznej rezerwy metodą Bootstrap dla 100 trójkątów</cx:v>
        </cx:txData>
      </cx:tx>
    </cx:title>
    <cx:plotArea>
      <cx:plotAreaRegion>
        <cx:series layoutId="clusteredColumn" uniqueId="{A3CF8213-5502-464C-AD43-C5183B858E5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Histogram częstości łącznej rezerwy metodą Bootstrap dla 100 trójkątów</cx:v>
        </cx:txData>
      </cx:tx>
    </cx:title>
    <cx:plotArea>
      <cx:plotAreaRegion>
        <cx:series layoutId="clusteredColumn" uniqueId="{A3CF8213-5502-464C-AD43-C5183B858E5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Histogram częstości łącznej rezerwy metodą Bootstrap dla 100 trójkątów</cx:v>
        </cx:txData>
      </cx:tx>
    </cx:title>
    <cx:plotArea>
      <cx:plotAreaRegion>
        <cx:series layoutId="clusteredColumn" uniqueId="{A3CF8213-5502-464C-AD43-C5183B858E5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400050</xdr:colOff>
      <xdr:row>207</xdr:row>
      <xdr:rowOff>85725</xdr:rowOff>
    </xdr:from>
    <xdr:to>
      <xdr:col>26</xdr:col>
      <xdr:colOff>438150</xdr:colOff>
      <xdr:row>229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1">
              <a:extLst>
                <a:ext uri="{FF2B5EF4-FFF2-40B4-BE49-F238E27FC236}">
                  <a16:creationId xmlns:a16="http://schemas.microsoft.com/office/drawing/2014/main" id="{F8A5AE5F-A0B3-4C27-9A75-D274AC61D5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0880" y="41186100"/>
              <a:ext cx="7246620" cy="438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400050</xdr:colOff>
      <xdr:row>207</xdr:row>
      <xdr:rowOff>85725</xdr:rowOff>
    </xdr:from>
    <xdr:to>
      <xdr:col>26</xdr:col>
      <xdr:colOff>438150</xdr:colOff>
      <xdr:row>229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1">
              <a:extLst>
                <a:ext uri="{FF2B5EF4-FFF2-40B4-BE49-F238E27FC236}">
                  <a16:creationId xmlns:a16="http://schemas.microsoft.com/office/drawing/2014/main" id="{1D3166AC-70E6-4103-94B0-BA76B6B13F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0880" y="41186100"/>
              <a:ext cx="7246620" cy="438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400050</xdr:colOff>
      <xdr:row>207</xdr:row>
      <xdr:rowOff>85725</xdr:rowOff>
    </xdr:from>
    <xdr:to>
      <xdr:col>26</xdr:col>
      <xdr:colOff>438150</xdr:colOff>
      <xdr:row>229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1">
              <a:extLst>
                <a:ext uri="{FF2B5EF4-FFF2-40B4-BE49-F238E27FC236}">
                  <a16:creationId xmlns:a16="http://schemas.microsoft.com/office/drawing/2014/main" id="{596CB587-E5A9-4A3F-8B76-A1059696B2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60880" y="41186100"/>
              <a:ext cx="7360920" cy="4381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/>
  <dimension ref="A1:K2463"/>
  <sheetViews>
    <sheetView topLeftCell="C1" zoomScale="85" zoomScaleNormal="85" workbookViewId="0">
      <selection activeCell="G4" sqref="G4"/>
    </sheetView>
  </sheetViews>
  <sheetFormatPr defaultRowHeight="15" x14ac:dyDescent="0.25"/>
  <cols>
    <col min="1" max="1" width="13.5703125" bestFit="1" customWidth="1"/>
    <col min="2" max="3" width="23.42578125" customWidth="1"/>
    <col min="4" max="4" width="39.85546875" style="6" bestFit="1" customWidth="1"/>
    <col min="5" max="5" width="48.42578125" style="6" bestFit="1" customWidth="1"/>
    <col min="6" max="6" width="23.42578125" customWidth="1"/>
    <col min="7" max="7" width="27" customWidth="1"/>
    <col min="8" max="8" width="10.28515625" customWidth="1"/>
    <col min="9" max="9" width="11.85546875" customWidth="1"/>
    <col min="10" max="10" width="13.85546875" bestFit="1" customWidth="1"/>
    <col min="11" max="11" width="13.42578125" bestFit="1" customWidth="1"/>
  </cols>
  <sheetData>
    <row r="1" spans="1:11" x14ac:dyDescent="0.25">
      <c r="A1" t="s">
        <v>0</v>
      </c>
      <c r="B1" t="s">
        <v>1</v>
      </c>
      <c r="C1" t="s">
        <v>2</v>
      </c>
      <c r="D1" s="6" t="s">
        <v>3</v>
      </c>
      <c r="E1" s="6" t="s">
        <v>4</v>
      </c>
      <c r="F1" t="s">
        <v>5</v>
      </c>
      <c r="G1" t="s">
        <v>6</v>
      </c>
    </row>
    <row r="3" spans="1:11" x14ac:dyDescent="0.25">
      <c r="A3" s="1" t="s">
        <v>7</v>
      </c>
      <c r="B3" s="1" t="s">
        <v>8</v>
      </c>
      <c r="C3" s="1" t="s">
        <v>9</v>
      </c>
      <c r="D3" s="10" t="s">
        <v>10</v>
      </c>
      <c r="E3" s="10" t="s">
        <v>11</v>
      </c>
      <c r="F3" s="1" t="s">
        <v>12</v>
      </c>
      <c r="G3" s="1" t="s">
        <v>13</v>
      </c>
      <c r="H3" s="5" t="s">
        <v>14</v>
      </c>
      <c r="I3" s="1" t="s">
        <v>15</v>
      </c>
      <c r="J3" t="s">
        <v>16</v>
      </c>
    </row>
    <row r="4" spans="1:11" x14ac:dyDescent="0.25">
      <c r="A4" s="1" t="s">
        <v>17</v>
      </c>
      <c r="B4" s="2">
        <v>201201</v>
      </c>
      <c r="C4" s="2">
        <v>201201</v>
      </c>
      <c r="D4" s="10">
        <v>78146.626477962593</v>
      </c>
      <c r="E4" s="10">
        <v>376018.11586813215</v>
      </c>
      <c r="F4" s="1">
        <v>4602</v>
      </c>
      <c r="G4" s="1">
        <v>2944</v>
      </c>
      <c r="H4">
        <f t="shared" ref="H4:H67" si="0">VALUE(LEFT(B4,4))</f>
        <v>2012</v>
      </c>
      <c r="I4">
        <f t="shared" ref="I4:I67" si="1">VALUE(LEFT(C4,4))</f>
        <v>2012</v>
      </c>
      <c r="J4" s="7">
        <f>D4+E4</f>
        <v>454164.74234609475</v>
      </c>
    </row>
    <row r="5" spans="1:11" x14ac:dyDescent="0.25">
      <c r="A5" s="1" t="s">
        <v>17</v>
      </c>
      <c r="B5" s="2">
        <v>201201</v>
      </c>
      <c r="C5" s="2">
        <v>201202</v>
      </c>
      <c r="D5" s="10">
        <v>172668.04970158814</v>
      </c>
      <c r="E5" s="10">
        <v>542308.48945079744</v>
      </c>
      <c r="F5" s="1">
        <v>2653</v>
      </c>
      <c r="G5" s="1">
        <v>3037</v>
      </c>
      <c r="H5">
        <f t="shared" si="0"/>
        <v>2012</v>
      </c>
      <c r="I5">
        <f t="shared" si="1"/>
        <v>2012</v>
      </c>
      <c r="J5" s="7">
        <f t="shared" ref="J5:J68" si="2">D5+E5</f>
        <v>714976.53915238555</v>
      </c>
      <c r="K5" s="7"/>
    </row>
    <row r="6" spans="1:11" x14ac:dyDescent="0.25">
      <c r="A6" s="1" t="s">
        <v>17</v>
      </c>
      <c r="B6" s="2">
        <v>201201</v>
      </c>
      <c r="C6" s="2">
        <v>201203</v>
      </c>
      <c r="D6" s="10">
        <v>99192.788708145468</v>
      </c>
      <c r="E6" s="10">
        <v>601991.93442801421</v>
      </c>
      <c r="F6" s="1">
        <v>648</v>
      </c>
      <c r="G6" s="1">
        <v>2640</v>
      </c>
      <c r="H6">
        <f t="shared" si="0"/>
        <v>2012</v>
      </c>
      <c r="I6">
        <f t="shared" si="1"/>
        <v>2012</v>
      </c>
      <c r="J6" s="7">
        <f t="shared" si="2"/>
        <v>701184.72313615971</v>
      </c>
      <c r="K6" s="7"/>
    </row>
    <row r="7" spans="1:11" x14ac:dyDescent="0.25">
      <c r="A7" s="1" t="s">
        <v>17</v>
      </c>
      <c r="B7" s="2">
        <v>201201</v>
      </c>
      <c r="C7" s="2">
        <v>201204</v>
      </c>
      <c r="D7" s="10">
        <v>82529.671873260711</v>
      </c>
      <c r="E7" s="10">
        <v>662534.0252961003</v>
      </c>
      <c r="F7" s="1">
        <v>330</v>
      </c>
      <c r="G7" s="1">
        <v>2269</v>
      </c>
      <c r="H7">
        <f t="shared" si="0"/>
        <v>2012</v>
      </c>
      <c r="I7">
        <f t="shared" si="1"/>
        <v>2012</v>
      </c>
      <c r="J7" s="7">
        <f t="shared" si="2"/>
        <v>745063.69716936105</v>
      </c>
      <c r="K7" s="7"/>
    </row>
    <row r="8" spans="1:11" x14ac:dyDescent="0.25">
      <c r="A8" s="1" t="s">
        <v>17</v>
      </c>
      <c r="B8" s="2">
        <v>201201</v>
      </c>
      <c r="C8" s="2">
        <v>201301</v>
      </c>
      <c r="D8" s="10">
        <v>80490.855598363269</v>
      </c>
      <c r="E8" s="10">
        <v>616737.85823666013</v>
      </c>
      <c r="F8" s="1">
        <v>194</v>
      </c>
      <c r="G8" s="1">
        <v>2100</v>
      </c>
      <c r="H8">
        <f t="shared" si="0"/>
        <v>2012</v>
      </c>
      <c r="I8">
        <f t="shared" si="1"/>
        <v>2013</v>
      </c>
      <c r="J8" s="7">
        <f t="shared" si="2"/>
        <v>697228.71383502334</v>
      </c>
      <c r="K8" s="7"/>
    </row>
    <row r="9" spans="1:11" x14ac:dyDescent="0.25">
      <c r="A9" s="1" t="s">
        <v>17</v>
      </c>
      <c r="B9" s="2">
        <v>201201</v>
      </c>
      <c r="C9" s="2">
        <v>201302</v>
      </c>
      <c r="D9" s="10">
        <v>54995.211011739601</v>
      </c>
      <c r="E9" s="10">
        <v>637505.46642404352</v>
      </c>
      <c r="F9" s="1">
        <v>135</v>
      </c>
      <c r="G9" s="1">
        <v>1854</v>
      </c>
      <c r="H9">
        <f t="shared" si="0"/>
        <v>2012</v>
      </c>
      <c r="I9">
        <f t="shared" si="1"/>
        <v>2013</v>
      </c>
      <c r="J9" s="7">
        <f t="shared" si="2"/>
        <v>692500.67743578309</v>
      </c>
      <c r="K9" s="7"/>
    </row>
    <row r="10" spans="1:11" x14ac:dyDescent="0.25">
      <c r="A10" s="1" t="s">
        <v>17</v>
      </c>
      <c r="B10" s="2">
        <v>201201</v>
      </c>
      <c r="C10" s="2">
        <v>201303</v>
      </c>
      <c r="D10" s="10">
        <v>42455.066410967127</v>
      </c>
      <c r="E10" s="10">
        <v>665389.0272835599</v>
      </c>
      <c r="F10" s="1">
        <v>67</v>
      </c>
      <c r="G10" s="1">
        <v>1739</v>
      </c>
      <c r="H10">
        <f t="shared" si="0"/>
        <v>2012</v>
      </c>
      <c r="I10">
        <f t="shared" si="1"/>
        <v>2013</v>
      </c>
      <c r="J10" s="7">
        <f t="shared" si="2"/>
        <v>707844.09369452705</v>
      </c>
      <c r="K10" s="7"/>
    </row>
    <row r="11" spans="1:11" x14ac:dyDescent="0.25">
      <c r="A11" s="1" t="s">
        <v>17</v>
      </c>
      <c r="B11" s="2">
        <v>201201</v>
      </c>
      <c r="C11" s="2">
        <v>201304</v>
      </c>
      <c r="D11" s="10">
        <v>33367.72132114142</v>
      </c>
      <c r="E11" s="10">
        <v>696406.33536933688</v>
      </c>
      <c r="F11" s="1">
        <v>56</v>
      </c>
      <c r="G11" s="1">
        <v>1460</v>
      </c>
      <c r="H11">
        <f t="shared" si="0"/>
        <v>2012</v>
      </c>
      <c r="I11">
        <f t="shared" si="1"/>
        <v>2013</v>
      </c>
      <c r="J11" s="7">
        <f t="shared" si="2"/>
        <v>729774.05669047835</v>
      </c>
      <c r="K11" s="7"/>
    </row>
    <row r="12" spans="1:11" x14ac:dyDescent="0.25">
      <c r="A12" s="1" t="s">
        <v>17</v>
      </c>
      <c r="B12" s="2">
        <v>201201</v>
      </c>
      <c r="C12" s="2">
        <v>201401</v>
      </c>
      <c r="D12" s="10">
        <v>32168.771413613769</v>
      </c>
      <c r="E12" s="10">
        <v>661367.99720057321</v>
      </c>
      <c r="F12" s="1">
        <v>59</v>
      </c>
      <c r="G12" s="1">
        <v>1370</v>
      </c>
      <c r="H12">
        <f t="shared" si="0"/>
        <v>2012</v>
      </c>
      <c r="I12">
        <f t="shared" si="1"/>
        <v>2014</v>
      </c>
      <c r="J12" s="7">
        <f t="shared" si="2"/>
        <v>693536.76861418702</v>
      </c>
      <c r="K12" s="7"/>
    </row>
    <row r="13" spans="1:11" x14ac:dyDescent="0.25">
      <c r="A13" s="1" t="s">
        <v>17</v>
      </c>
      <c r="B13" s="2">
        <v>201201</v>
      </c>
      <c r="C13" s="2">
        <v>201402</v>
      </c>
      <c r="D13" s="10">
        <v>73308.704672708162</v>
      </c>
      <c r="E13" s="10">
        <v>610756.0726532049</v>
      </c>
      <c r="F13" s="1">
        <v>38</v>
      </c>
      <c r="G13" s="1">
        <v>1234</v>
      </c>
      <c r="H13">
        <f t="shared" si="0"/>
        <v>2012</v>
      </c>
      <c r="I13">
        <f t="shared" si="1"/>
        <v>2014</v>
      </c>
      <c r="J13" s="7">
        <f t="shared" si="2"/>
        <v>684064.77732591308</v>
      </c>
      <c r="K13" s="7"/>
    </row>
    <row r="14" spans="1:11" x14ac:dyDescent="0.25">
      <c r="A14" s="1" t="s">
        <v>17</v>
      </c>
      <c r="B14" s="2">
        <v>201201</v>
      </c>
      <c r="C14" s="2">
        <v>201403</v>
      </c>
      <c r="D14" s="10">
        <v>24278.084477117616</v>
      </c>
      <c r="E14" s="10">
        <v>593868.92937291646</v>
      </c>
      <c r="F14" s="1">
        <v>37</v>
      </c>
      <c r="G14" s="1">
        <v>1176</v>
      </c>
      <c r="H14">
        <f t="shared" si="0"/>
        <v>2012</v>
      </c>
      <c r="I14">
        <f t="shared" si="1"/>
        <v>2014</v>
      </c>
      <c r="J14" s="7">
        <f t="shared" si="2"/>
        <v>618147.0138500341</v>
      </c>
      <c r="K14" s="7"/>
    </row>
    <row r="15" spans="1:11" x14ac:dyDescent="0.25">
      <c r="A15" s="1" t="s">
        <v>17</v>
      </c>
      <c r="B15" s="2">
        <v>201201</v>
      </c>
      <c r="C15" s="2">
        <v>201404</v>
      </c>
      <c r="D15" s="10">
        <v>15099.509889822122</v>
      </c>
      <c r="E15" s="10">
        <v>642998.70561678254</v>
      </c>
      <c r="F15" s="1">
        <v>36</v>
      </c>
      <c r="G15" s="1">
        <v>1003</v>
      </c>
      <c r="H15">
        <f t="shared" si="0"/>
        <v>2012</v>
      </c>
      <c r="I15">
        <f t="shared" si="1"/>
        <v>2014</v>
      </c>
      <c r="J15" s="7">
        <f t="shared" si="2"/>
        <v>658098.21550660464</v>
      </c>
      <c r="K15" s="7"/>
    </row>
    <row r="16" spans="1:11" x14ac:dyDescent="0.25">
      <c r="A16" s="1" t="s">
        <v>17</v>
      </c>
      <c r="B16" s="2">
        <v>201201</v>
      </c>
      <c r="C16" s="2">
        <v>201501</v>
      </c>
      <c r="D16" s="10">
        <v>19689.92281397383</v>
      </c>
      <c r="E16" s="10">
        <v>634632.01264671097</v>
      </c>
      <c r="F16" s="1">
        <v>23</v>
      </c>
      <c r="G16" s="1">
        <v>887</v>
      </c>
      <c r="H16">
        <f t="shared" si="0"/>
        <v>2012</v>
      </c>
      <c r="I16">
        <f t="shared" si="1"/>
        <v>2015</v>
      </c>
      <c r="J16" s="7">
        <f t="shared" si="2"/>
        <v>654321.93546068482</v>
      </c>
      <c r="K16" s="7"/>
    </row>
    <row r="17" spans="1:11" x14ac:dyDescent="0.25">
      <c r="A17" s="1" t="s">
        <v>17</v>
      </c>
      <c r="B17" s="2">
        <v>201201</v>
      </c>
      <c r="C17" s="2">
        <v>201502</v>
      </c>
      <c r="D17" s="10">
        <v>11751.321258010834</v>
      </c>
      <c r="E17" s="10">
        <v>638453.06294179102</v>
      </c>
      <c r="F17" s="1">
        <v>28</v>
      </c>
      <c r="G17" s="1">
        <v>822</v>
      </c>
      <c r="H17">
        <f t="shared" si="0"/>
        <v>2012</v>
      </c>
      <c r="I17">
        <f t="shared" si="1"/>
        <v>2015</v>
      </c>
      <c r="J17" s="7">
        <f t="shared" si="2"/>
        <v>650204.38419980183</v>
      </c>
      <c r="K17" s="7"/>
    </row>
    <row r="18" spans="1:11" x14ac:dyDescent="0.25">
      <c r="A18" s="1" t="s">
        <v>17</v>
      </c>
      <c r="B18" s="2">
        <v>201201</v>
      </c>
      <c r="C18" s="2">
        <v>201503</v>
      </c>
      <c r="D18" s="10">
        <v>23589.451951899959</v>
      </c>
      <c r="E18" s="10">
        <v>633334.28722744028</v>
      </c>
      <c r="F18" s="1">
        <v>24</v>
      </c>
      <c r="G18" s="1">
        <v>771</v>
      </c>
      <c r="H18">
        <f t="shared" si="0"/>
        <v>2012</v>
      </c>
      <c r="I18">
        <f t="shared" si="1"/>
        <v>2015</v>
      </c>
      <c r="J18" s="7">
        <f t="shared" si="2"/>
        <v>656923.73917934019</v>
      </c>
      <c r="K18" s="7"/>
    </row>
    <row r="19" spans="1:11" x14ac:dyDescent="0.25">
      <c r="A19" s="1" t="s">
        <v>17</v>
      </c>
      <c r="B19" s="2">
        <v>201201</v>
      </c>
      <c r="C19" s="2">
        <v>201504</v>
      </c>
      <c r="D19" s="10">
        <v>19352.487995384265</v>
      </c>
      <c r="E19" s="10">
        <v>599241.3100580473</v>
      </c>
      <c r="F19" s="1">
        <v>17</v>
      </c>
      <c r="G19" s="1">
        <v>660</v>
      </c>
      <c r="H19">
        <f t="shared" si="0"/>
        <v>2012</v>
      </c>
      <c r="I19">
        <f t="shared" si="1"/>
        <v>2015</v>
      </c>
      <c r="J19" s="7">
        <f t="shared" si="2"/>
        <v>618593.79805343156</v>
      </c>
      <c r="K19" s="7"/>
    </row>
    <row r="20" spans="1:11" x14ac:dyDescent="0.25">
      <c r="A20" s="1" t="s">
        <v>17</v>
      </c>
      <c r="B20" s="2">
        <v>201201</v>
      </c>
      <c r="C20" s="2">
        <v>201601</v>
      </c>
      <c r="D20" s="10">
        <v>24837.390692861205</v>
      </c>
      <c r="E20" s="10">
        <v>568650.21715073963</v>
      </c>
      <c r="F20" s="1">
        <v>13</v>
      </c>
      <c r="G20" s="1">
        <v>586</v>
      </c>
      <c r="H20">
        <f t="shared" si="0"/>
        <v>2012</v>
      </c>
      <c r="I20">
        <f t="shared" si="1"/>
        <v>2016</v>
      </c>
      <c r="J20" s="7">
        <f t="shared" si="2"/>
        <v>593487.6078436008</v>
      </c>
      <c r="K20" s="7"/>
    </row>
    <row r="21" spans="1:11" x14ac:dyDescent="0.25">
      <c r="A21" s="1" t="s">
        <v>17</v>
      </c>
      <c r="B21" s="2">
        <v>201201</v>
      </c>
      <c r="C21" s="2">
        <v>201602</v>
      </c>
      <c r="D21" s="10">
        <v>21138.222592853093</v>
      </c>
      <c r="E21" s="10">
        <v>629596.34371492732</v>
      </c>
      <c r="F21" s="1">
        <v>27</v>
      </c>
      <c r="G21" s="1">
        <v>599</v>
      </c>
      <c r="H21">
        <f t="shared" si="0"/>
        <v>2012</v>
      </c>
      <c r="I21">
        <f t="shared" si="1"/>
        <v>2016</v>
      </c>
      <c r="J21" s="7">
        <f t="shared" si="2"/>
        <v>650734.56630778045</v>
      </c>
      <c r="K21" s="7"/>
    </row>
    <row r="22" spans="1:11" x14ac:dyDescent="0.25">
      <c r="A22" s="1" t="s">
        <v>17</v>
      </c>
      <c r="B22" s="2">
        <v>201201</v>
      </c>
      <c r="C22" s="2">
        <v>201603</v>
      </c>
      <c r="D22" s="10">
        <v>17511.011646601426</v>
      </c>
      <c r="E22" s="10">
        <v>617984.36585931166</v>
      </c>
      <c r="F22" s="1">
        <v>5</v>
      </c>
      <c r="G22" s="1">
        <v>521</v>
      </c>
      <c r="H22">
        <f t="shared" si="0"/>
        <v>2012</v>
      </c>
      <c r="I22">
        <f t="shared" si="1"/>
        <v>2016</v>
      </c>
      <c r="J22" s="7">
        <f t="shared" si="2"/>
        <v>635495.37750591303</v>
      </c>
      <c r="K22" s="7"/>
    </row>
    <row r="23" spans="1:11" x14ac:dyDescent="0.25">
      <c r="A23" s="1" t="s">
        <v>17</v>
      </c>
      <c r="B23" s="2">
        <v>201201</v>
      </c>
      <c r="C23" s="2">
        <v>201604</v>
      </c>
      <c r="D23" s="10">
        <v>35609.698231016548</v>
      </c>
      <c r="E23" s="10">
        <v>534526.03625899495</v>
      </c>
      <c r="F23" s="1">
        <v>8</v>
      </c>
      <c r="G23" s="1">
        <v>415</v>
      </c>
      <c r="H23">
        <f t="shared" si="0"/>
        <v>2012</v>
      </c>
      <c r="I23">
        <f t="shared" si="1"/>
        <v>2016</v>
      </c>
      <c r="J23" s="7">
        <f t="shared" si="2"/>
        <v>570135.73449001147</v>
      </c>
      <c r="K23" s="7"/>
    </row>
    <row r="24" spans="1:11" x14ac:dyDescent="0.25">
      <c r="A24" s="1" t="s">
        <v>17</v>
      </c>
      <c r="B24" s="2">
        <v>201201</v>
      </c>
      <c r="C24" s="2">
        <v>201701</v>
      </c>
      <c r="D24" s="10">
        <v>20660.354385994298</v>
      </c>
      <c r="E24" s="10">
        <v>481143.28432669962</v>
      </c>
      <c r="F24" s="1">
        <v>5</v>
      </c>
      <c r="G24" s="1">
        <v>367</v>
      </c>
      <c r="H24">
        <f t="shared" si="0"/>
        <v>2012</v>
      </c>
      <c r="I24">
        <f t="shared" si="1"/>
        <v>2017</v>
      </c>
      <c r="J24" s="7">
        <f t="shared" si="2"/>
        <v>501803.63871269394</v>
      </c>
      <c r="K24" s="7"/>
    </row>
    <row r="25" spans="1:11" x14ac:dyDescent="0.25">
      <c r="A25" s="1" t="s">
        <v>17</v>
      </c>
      <c r="B25" s="2">
        <v>201201</v>
      </c>
      <c r="C25" s="2">
        <v>201702</v>
      </c>
      <c r="D25" s="10">
        <v>18013.138748813391</v>
      </c>
      <c r="E25" s="10">
        <v>474732.14502018515</v>
      </c>
      <c r="F25" s="1">
        <v>8</v>
      </c>
      <c r="G25" s="1">
        <v>365</v>
      </c>
      <c r="H25">
        <f t="shared" si="0"/>
        <v>2012</v>
      </c>
      <c r="I25">
        <f t="shared" si="1"/>
        <v>2017</v>
      </c>
      <c r="J25" s="7">
        <f t="shared" si="2"/>
        <v>492745.28376899858</v>
      </c>
      <c r="K25" s="7"/>
    </row>
    <row r="26" spans="1:11" x14ac:dyDescent="0.25">
      <c r="A26" s="1" t="s">
        <v>17</v>
      </c>
      <c r="B26" s="2">
        <v>201201</v>
      </c>
      <c r="C26" s="2">
        <v>201703</v>
      </c>
      <c r="D26" s="10">
        <v>34416.897950828636</v>
      </c>
      <c r="E26" s="10">
        <v>452146.96217025735</v>
      </c>
      <c r="F26" s="1">
        <v>6</v>
      </c>
      <c r="G26" s="1">
        <v>252</v>
      </c>
      <c r="H26">
        <f t="shared" si="0"/>
        <v>2012</v>
      </c>
      <c r="I26">
        <f t="shared" si="1"/>
        <v>2017</v>
      </c>
      <c r="J26" s="7">
        <f t="shared" si="2"/>
        <v>486563.86012108601</v>
      </c>
      <c r="K26" s="7"/>
    </row>
    <row r="27" spans="1:11" x14ac:dyDescent="0.25">
      <c r="A27" s="1" t="s">
        <v>17</v>
      </c>
      <c r="B27" s="2">
        <v>201201</v>
      </c>
      <c r="C27" s="2">
        <v>201704</v>
      </c>
      <c r="D27" s="10">
        <v>84328.516265714105</v>
      </c>
      <c r="E27" s="10">
        <v>379879.36835749046</v>
      </c>
      <c r="F27" s="1">
        <v>7</v>
      </c>
      <c r="G27" s="1">
        <v>220</v>
      </c>
      <c r="H27">
        <f t="shared" si="0"/>
        <v>2012</v>
      </c>
      <c r="I27">
        <f t="shared" si="1"/>
        <v>2017</v>
      </c>
      <c r="J27" s="7">
        <f t="shared" si="2"/>
        <v>464207.88462320459</v>
      </c>
      <c r="K27" s="7"/>
    </row>
    <row r="28" spans="1:11" x14ac:dyDescent="0.25">
      <c r="A28" s="1" t="s">
        <v>17</v>
      </c>
      <c r="B28" s="2">
        <v>201201</v>
      </c>
      <c r="C28" s="2">
        <v>201801</v>
      </c>
      <c r="D28" s="10">
        <v>25101.944142212746</v>
      </c>
      <c r="E28" s="10">
        <v>359377.77599388117</v>
      </c>
      <c r="F28" s="1">
        <v>5</v>
      </c>
      <c r="G28" s="1">
        <v>204</v>
      </c>
      <c r="H28">
        <f t="shared" si="0"/>
        <v>2012</v>
      </c>
      <c r="I28">
        <f t="shared" si="1"/>
        <v>2018</v>
      </c>
      <c r="J28" s="7">
        <f t="shared" si="2"/>
        <v>384479.72013609391</v>
      </c>
      <c r="K28" s="7"/>
    </row>
    <row r="29" spans="1:11" x14ac:dyDescent="0.25">
      <c r="A29" s="1" t="s">
        <v>17</v>
      </c>
      <c r="B29" s="2">
        <v>201201</v>
      </c>
      <c r="C29" s="2">
        <v>201802</v>
      </c>
      <c r="D29" s="10">
        <v>3349.1742434064613</v>
      </c>
      <c r="E29" s="10">
        <v>314652.86232503032</v>
      </c>
      <c r="F29" s="1">
        <v>4</v>
      </c>
      <c r="G29" s="1">
        <v>191</v>
      </c>
      <c r="H29">
        <f t="shared" si="0"/>
        <v>2012</v>
      </c>
      <c r="I29">
        <f t="shared" si="1"/>
        <v>2018</v>
      </c>
      <c r="J29" s="7">
        <f t="shared" si="2"/>
        <v>318002.03656843677</v>
      </c>
      <c r="K29" s="7"/>
    </row>
    <row r="30" spans="1:11" x14ac:dyDescent="0.25">
      <c r="A30" s="1" t="s">
        <v>17</v>
      </c>
      <c r="B30" s="2">
        <v>201201</v>
      </c>
      <c r="C30" s="2">
        <v>201803</v>
      </c>
      <c r="D30" s="10">
        <v>1676.2373320356435</v>
      </c>
      <c r="E30" s="10">
        <v>316923.89477367915</v>
      </c>
      <c r="F30" s="1">
        <v>9</v>
      </c>
      <c r="G30" s="1">
        <v>195</v>
      </c>
      <c r="H30">
        <f t="shared" si="0"/>
        <v>2012</v>
      </c>
      <c r="I30">
        <f t="shared" si="1"/>
        <v>2018</v>
      </c>
      <c r="J30" s="7">
        <f t="shared" si="2"/>
        <v>318600.13210571482</v>
      </c>
      <c r="K30" s="7"/>
    </row>
    <row r="31" spans="1:11" x14ac:dyDescent="0.25">
      <c r="A31" s="1" t="s">
        <v>17</v>
      </c>
      <c r="B31" s="2">
        <v>201201</v>
      </c>
      <c r="C31" s="2">
        <v>201804</v>
      </c>
      <c r="D31" s="10">
        <v>11843.485812125191</v>
      </c>
      <c r="E31" s="10">
        <v>288123.87384081073</v>
      </c>
      <c r="F31" s="1">
        <v>5</v>
      </c>
      <c r="G31" s="1">
        <v>164</v>
      </c>
      <c r="H31">
        <f t="shared" si="0"/>
        <v>2012</v>
      </c>
      <c r="I31">
        <f t="shared" si="1"/>
        <v>2018</v>
      </c>
      <c r="J31" s="7">
        <f t="shared" si="2"/>
        <v>299967.35965293593</v>
      </c>
      <c r="K31" s="7"/>
    </row>
    <row r="32" spans="1:11" x14ac:dyDescent="0.25">
      <c r="A32" s="1" t="s">
        <v>17</v>
      </c>
      <c r="B32" s="2">
        <v>201201</v>
      </c>
      <c r="C32" s="2">
        <v>201901</v>
      </c>
      <c r="D32" s="10">
        <v>9394.4991076939259</v>
      </c>
      <c r="E32" s="10">
        <v>268640.68585743511</v>
      </c>
      <c r="F32" s="1">
        <v>1</v>
      </c>
      <c r="G32" s="1">
        <v>155</v>
      </c>
      <c r="H32">
        <f t="shared" si="0"/>
        <v>2012</v>
      </c>
      <c r="I32">
        <f t="shared" si="1"/>
        <v>2019</v>
      </c>
      <c r="J32" s="7">
        <f t="shared" si="2"/>
        <v>278035.18496512901</v>
      </c>
      <c r="K32" s="7"/>
    </row>
    <row r="33" spans="1:11" x14ac:dyDescent="0.25">
      <c r="A33" s="1" t="s">
        <v>17</v>
      </c>
      <c r="B33" s="2">
        <v>201201</v>
      </c>
      <c r="C33" s="2">
        <v>201902</v>
      </c>
      <c r="D33" s="10">
        <v>7503.4277134978583</v>
      </c>
      <c r="E33" s="10">
        <v>278242.66123035044</v>
      </c>
      <c r="F33" s="1">
        <v>6</v>
      </c>
      <c r="G33" s="1">
        <v>153</v>
      </c>
      <c r="H33">
        <f t="shared" si="0"/>
        <v>2012</v>
      </c>
      <c r="I33">
        <f t="shared" si="1"/>
        <v>2019</v>
      </c>
      <c r="J33" s="7">
        <f t="shared" si="2"/>
        <v>285746.08894384827</v>
      </c>
      <c r="K33" s="7"/>
    </row>
    <row r="34" spans="1:11" x14ac:dyDescent="0.25">
      <c r="A34" s="1" t="s">
        <v>17</v>
      </c>
      <c r="B34" s="2">
        <v>201201</v>
      </c>
      <c r="C34" s="2">
        <v>201903</v>
      </c>
      <c r="D34" s="10">
        <v>14140.020695361216</v>
      </c>
      <c r="E34" s="10">
        <v>255102.46191056035</v>
      </c>
      <c r="F34" s="1">
        <v>0</v>
      </c>
      <c r="G34" s="1">
        <v>142</v>
      </c>
      <c r="H34">
        <f t="shared" si="0"/>
        <v>2012</v>
      </c>
      <c r="I34">
        <f t="shared" si="1"/>
        <v>2019</v>
      </c>
      <c r="J34" s="7">
        <f t="shared" si="2"/>
        <v>269242.48260592157</v>
      </c>
      <c r="K34" s="7"/>
    </row>
    <row r="35" spans="1:11" x14ac:dyDescent="0.25">
      <c r="A35" s="1" t="s">
        <v>17</v>
      </c>
      <c r="B35" s="2">
        <v>201201</v>
      </c>
      <c r="C35" s="2">
        <v>201904</v>
      </c>
      <c r="D35" s="10">
        <v>9487.9968051384312</v>
      </c>
      <c r="E35" s="10">
        <v>259601.68020522417</v>
      </c>
      <c r="F35" s="1">
        <v>7</v>
      </c>
      <c r="G35" s="1">
        <v>140</v>
      </c>
      <c r="H35">
        <f t="shared" si="0"/>
        <v>2012</v>
      </c>
      <c r="I35">
        <f t="shared" si="1"/>
        <v>2019</v>
      </c>
      <c r="J35" s="7">
        <f t="shared" si="2"/>
        <v>269089.67701036262</v>
      </c>
      <c r="K35" s="7"/>
    </row>
    <row r="36" spans="1:11" x14ac:dyDescent="0.25">
      <c r="A36" s="1" t="s">
        <v>17</v>
      </c>
      <c r="B36" s="2">
        <v>201201</v>
      </c>
      <c r="C36" s="2">
        <v>202001</v>
      </c>
      <c r="D36" s="10">
        <v>6366.7785689680622</v>
      </c>
      <c r="E36" s="10">
        <v>252698.43114463717</v>
      </c>
      <c r="F36" s="1">
        <v>5</v>
      </c>
      <c r="G36" s="1">
        <v>137</v>
      </c>
      <c r="H36">
        <f t="shared" si="0"/>
        <v>2012</v>
      </c>
      <c r="I36">
        <f t="shared" si="1"/>
        <v>2020</v>
      </c>
      <c r="J36" s="7">
        <f t="shared" si="2"/>
        <v>259065.20971360523</v>
      </c>
      <c r="K36" s="7"/>
    </row>
    <row r="37" spans="1:11" x14ac:dyDescent="0.25">
      <c r="A37" s="1" t="s">
        <v>17</v>
      </c>
      <c r="B37" s="2">
        <v>201201</v>
      </c>
      <c r="C37" s="2">
        <v>202002</v>
      </c>
      <c r="D37" s="10">
        <v>3393.3228482872446</v>
      </c>
      <c r="E37" s="10">
        <v>228291.43025758123</v>
      </c>
      <c r="F37" s="1">
        <v>3</v>
      </c>
      <c r="G37" s="1">
        <v>126</v>
      </c>
      <c r="H37">
        <f t="shared" si="0"/>
        <v>2012</v>
      </c>
      <c r="I37">
        <f t="shared" si="1"/>
        <v>2020</v>
      </c>
      <c r="J37" s="7">
        <f t="shared" si="2"/>
        <v>231684.75310586847</v>
      </c>
      <c r="K37" s="7"/>
    </row>
    <row r="38" spans="1:11" x14ac:dyDescent="0.25">
      <c r="A38" s="1" t="s">
        <v>17</v>
      </c>
      <c r="B38" s="2">
        <v>201201</v>
      </c>
      <c r="C38" s="2">
        <v>202003</v>
      </c>
      <c r="D38" s="10">
        <v>27099.670233515513</v>
      </c>
      <c r="E38" s="10">
        <v>161134.92693002467</v>
      </c>
      <c r="F38" s="1">
        <v>3</v>
      </c>
      <c r="G38" s="1">
        <v>119</v>
      </c>
      <c r="H38">
        <f t="shared" si="0"/>
        <v>2012</v>
      </c>
      <c r="I38">
        <f t="shared" si="1"/>
        <v>2020</v>
      </c>
      <c r="J38" s="7">
        <f t="shared" si="2"/>
        <v>188234.59716354019</v>
      </c>
      <c r="K38" s="7"/>
    </row>
    <row r="39" spans="1:11" x14ac:dyDescent="0.25">
      <c r="A39" s="1" t="s">
        <v>17</v>
      </c>
      <c r="B39" s="2">
        <v>201201</v>
      </c>
      <c r="C39" s="2">
        <v>202004</v>
      </c>
      <c r="D39" s="10">
        <v>3467.3609893107782</v>
      </c>
      <c r="E39" s="10">
        <v>156779.11378894135</v>
      </c>
      <c r="F39" s="1">
        <v>4</v>
      </c>
      <c r="G39" s="1">
        <v>115</v>
      </c>
      <c r="H39">
        <f t="shared" si="0"/>
        <v>2012</v>
      </c>
      <c r="I39">
        <f t="shared" si="1"/>
        <v>2020</v>
      </c>
      <c r="J39" s="7">
        <f t="shared" si="2"/>
        <v>160246.47477825213</v>
      </c>
      <c r="K39" s="7"/>
    </row>
    <row r="40" spans="1:11" x14ac:dyDescent="0.25">
      <c r="A40" s="1" t="s">
        <v>17</v>
      </c>
      <c r="B40" s="2">
        <v>201201</v>
      </c>
      <c r="C40" s="2">
        <v>202101</v>
      </c>
      <c r="D40" s="10">
        <v>4236.6526598423607</v>
      </c>
      <c r="E40" s="10">
        <v>150003.15863936555</v>
      </c>
      <c r="F40" s="1">
        <v>0</v>
      </c>
      <c r="G40" s="1">
        <v>95</v>
      </c>
      <c r="H40">
        <f t="shared" si="0"/>
        <v>2012</v>
      </c>
      <c r="I40">
        <f t="shared" si="1"/>
        <v>2021</v>
      </c>
      <c r="J40" s="7">
        <f t="shared" si="2"/>
        <v>154239.81129920791</v>
      </c>
      <c r="K40" s="7"/>
    </row>
    <row r="41" spans="1:11" x14ac:dyDescent="0.25">
      <c r="A41" s="1" t="s">
        <v>17</v>
      </c>
      <c r="B41" s="2">
        <v>201201</v>
      </c>
      <c r="C41" s="2">
        <v>202102</v>
      </c>
      <c r="D41" s="10">
        <v>4513.1215011148442</v>
      </c>
      <c r="E41" s="10">
        <v>147266.96541241356</v>
      </c>
      <c r="F41" s="1">
        <v>5</v>
      </c>
      <c r="G41" s="1">
        <v>96</v>
      </c>
      <c r="H41">
        <f t="shared" si="0"/>
        <v>2012</v>
      </c>
      <c r="I41">
        <f t="shared" si="1"/>
        <v>2021</v>
      </c>
      <c r="J41" s="7">
        <f t="shared" si="2"/>
        <v>151780.08691352839</v>
      </c>
      <c r="K41" s="7"/>
    </row>
    <row r="42" spans="1:11" x14ac:dyDescent="0.25">
      <c r="A42" s="1" t="s">
        <v>17</v>
      </c>
      <c r="B42" s="2">
        <v>201201</v>
      </c>
      <c r="C42" s="2">
        <v>202103</v>
      </c>
      <c r="D42" s="10">
        <v>20109.918472182271</v>
      </c>
      <c r="E42" s="10">
        <v>149379.46242663951</v>
      </c>
      <c r="F42" s="1">
        <v>5</v>
      </c>
      <c r="G42" s="1">
        <v>98</v>
      </c>
      <c r="H42">
        <f t="shared" si="0"/>
        <v>2012</v>
      </c>
      <c r="I42">
        <f t="shared" si="1"/>
        <v>2021</v>
      </c>
      <c r="J42" s="7">
        <f t="shared" si="2"/>
        <v>169489.38089882178</v>
      </c>
      <c r="K42" s="7"/>
    </row>
    <row r="43" spans="1:11" x14ac:dyDescent="0.25">
      <c r="A43" s="1" t="s">
        <v>17</v>
      </c>
      <c r="B43" s="2">
        <v>201201</v>
      </c>
      <c r="C43" s="2">
        <v>202104</v>
      </c>
      <c r="D43" s="10">
        <v>4505.4490852817871</v>
      </c>
      <c r="E43" s="10">
        <v>137786.39227778453</v>
      </c>
      <c r="F43" s="1">
        <v>2</v>
      </c>
      <c r="G43" s="1">
        <v>91</v>
      </c>
      <c r="H43">
        <f t="shared" si="0"/>
        <v>2012</v>
      </c>
      <c r="I43">
        <f t="shared" si="1"/>
        <v>2021</v>
      </c>
      <c r="J43" s="7">
        <f t="shared" si="2"/>
        <v>142291.84136306631</v>
      </c>
      <c r="K43" s="7"/>
    </row>
    <row r="44" spans="1:11" x14ac:dyDescent="0.25">
      <c r="A44" s="1" t="s">
        <v>17</v>
      </c>
      <c r="B44" s="2">
        <v>201202</v>
      </c>
      <c r="C44" s="2">
        <v>201202</v>
      </c>
      <c r="D44" s="10">
        <v>74137.018819826772</v>
      </c>
      <c r="E44" s="10">
        <v>371546.71580141666</v>
      </c>
      <c r="F44" s="1">
        <v>4402</v>
      </c>
      <c r="G44" s="1">
        <v>2694</v>
      </c>
      <c r="H44">
        <f t="shared" si="0"/>
        <v>2012</v>
      </c>
      <c r="I44">
        <f t="shared" si="1"/>
        <v>2012</v>
      </c>
      <c r="J44" s="7">
        <f t="shared" si="2"/>
        <v>445683.73462124343</v>
      </c>
      <c r="K44" s="7"/>
    </row>
    <row r="45" spans="1:11" x14ac:dyDescent="0.25">
      <c r="A45" s="1" t="s">
        <v>17</v>
      </c>
      <c r="B45" s="2">
        <v>201202</v>
      </c>
      <c r="C45" s="2">
        <v>201203</v>
      </c>
      <c r="D45" s="10">
        <v>160635.16075310239</v>
      </c>
      <c r="E45" s="10">
        <v>474037.79566994478</v>
      </c>
      <c r="F45" s="1">
        <v>2555</v>
      </c>
      <c r="G45" s="1">
        <v>2670</v>
      </c>
      <c r="H45">
        <f t="shared" si="0"/>
        <v>2012</v>
      </c>
      <c r="I45">
        <f t="shared" si="1"/>
        <v>2012</v>
      </c>
      <c r="J45" s="7">
        <f t="shared" si="2"/>
        <v>634672.95642304723</v>
      </c>
      <c r="K45" s="7"/>
    </row>
    <row r="46" spans="1:11" x14ac:dyDescent="0.25">
      <c r="A46" s="1" t="s">
        <v>17</v>
      </c>
      <c r="B46" s="2">
        <v>201202</v>
      </c>
      <c r="C46" s="2">
        <v>201204</v>
      </c>
      <c r="D46" s="10">
        <v>93233.204987444289</v>
      </c>
      <c r="E46" s="10">
        <v>531151.46093823749</v>
      </c>
      <c r="F46" s="1">
        <v>604</v>
      </c>
      <c r="G46" s="1">
        <v>2209</v>
      </c>
      <c r="H46">
        <f t="shared" si="0"/>
        <v>2012</v>
      </c>
      <c r="I46">
        <f t="shared" si="1"/>
        <v>2012</v>
      </c>
      <c r="J46" s="7">
        <f t="shared" si="2"/>
        <v>624384.66592568182</v>
      </c>
      <c r="K46" s="7"/>
    </row>
    <row r="47" spans="1:11" x14ac:dyDescent="0.25">
      <c r="A47" s="1" t="s">
        <v>17</v>
      </c>
      <c r="B47" s="2">
        <v>201202</v>
      </c>
      <c r="C47" s="2">
        <v>201301</v>
      </c>
      <c r="D47" s="10">
        <v>76945.909946033251</v>
      </c>
      <c r="E47" s="10">
        <v>464561.64214359759</v>
      </c>
      <c r="F47" s="1">
        <v>214</v>
      </c>
      <c r="G47" s="1">
        <v>1958</v>
      </c>
      <c r="H47">
        <f t="shared" si="0"/>
        <v>2012</v>
      </c>
      <c r="I47">
        <f t="shared" si="1"/>
        <v>2013</v>
      </c>
      <c r="J47" s="7">
        <f t="shared" si="2"/>
        <v>541507.55208963086</v>
      </c>
      <c r="K47" s="7"/>
    </row>
    <row r="48" spans="1:11" x14ac:dyDescent="0.25">
      <c r="A48" s="1" t="s">
        <v>17</v>
      </c>
      <c r="B48" s="2">
        <v>201202</v>
      </c>
      <c r="C48" s="2">
        <v>201302</v>
      </c>
      <c r="D48" s="10">
        <v>36817.485489233659</v>
      </c>
      <c r="E48" s="10">
        <v>460175.96958352404</v>
      </c>
      <c r="F48" s="1">
        <v>152</v>
      </c>
      <c r="G48" s="1">
        <v>1729</v>
      </c>
      <c r="H48">
        <f t="shared" si="0"/>
        <v>2012</v>
      </c>
      <c r="I48">
        <f t="shared" si="1"/>
        <v>2013</v>
      </c>
      <c r="J48" s="7">
        <f t="shared" si="2"/>
        <v>496993.45507275767</v>
      </c>
      <c r="K48" s="7"/>
    </row>
    <row r="49" spans="1:11" x14ac:dyDescent="0.25">
      <c r="A49" s="1" t="s">
        <v>17</v>
      </c>
      <c r="B49" s="2">
        <v>201202</v>
      </c>
      <c r="C49" s="2">
        <v>201303</v>
      </c>
      <c r="D49" s="10">
        <v>37082.519924226021</v>
      </c>
      <c r="E49" s="10">
        <v>457030.9123325086</v>
      </c>
      <c r="F49" s="1">
        <v>76</v>
      </c>
      <c r="G49" s="1">
        <v>1593</v>
      </c>
      <c r="H49">
        <f t="shared" si="0"/>
        <v>2012</v>
      </c>
      <c r="I49">
        <f t="shared" si="1"/>
        <v>2013</v>
      </c>
      <c r="J49" s="7">
        <f t="shared" si="2"/>
        <v>494113.43225673464</v>
      </c>
      <c r="K49" s="7"/>
    </row>
    <row r="50" spans="1:11" x14ac:dyDescent="0.25">
      <c r="A50" s="1" t="s">
        <v>17</v>
      </c>
      <c r="B50" s="2">
        <v>201202</v>
      </c>
      <c r="C50" s="2">
        <v>201304</v>
      </c>
      <c r="D50" s="10">
        <v>24056.001848639593</v>
      </c>
      <c r="E50" s="10">
        <v>486164.18144754774</v>
      </c>
      <c r="F50" s="1">
        <v>57</v>
      </c>
      <c r="G50" s="1">
        <v>1295</v>
      </c>
      <c r="H50">
        <f t="shared" si="0"/>
        <v>2012</v>
      </c>
      <c r="I50">
        <f t="shared" si="1"/>
        <v>2013</v>
      </c>
      <c r="J50" s="7">
        <f t="shared" si="2"/>
        <v>510220.18329618732</v>
      </c>
      <c r="K50" s="7"/>
    </row>
    <row r="51" spans="1:11" x14ac:dyDescent="0.25">
      <c r="A51" s="1" t="s">
        <v>17</v>
      </c>
      <c r="B51" s="2">
        <v>201202</v>
      </c>
      <c r="C51" s="2">
        <v>201401</v>
      </c>
      <c r="D51" s="10">
        <v>29510.53543581074</v>
      </c>
      <c r="E51" s="10">
        <v>420427.77014098893</v>
      </c>
      <c r="F51" s="1">
        <v>50</v>
      </c>
      <c r="G51" s="1">
        <v>1201</v>
      </c>
      <c r="H51">
        <f t="shared" si="0"/>
        <v>2012</v>
      </c>
      <c r="I51">
        <f t="shared" si="1"/>
        <v>2014</v>
      </c>
      <c r="J51" s="7">
        <f t="shared" si="2"/>
        <v>449938.30557679967</v>
      </c>
      <c r="K51" s="7"/>
    </row>
    <row r="52" spans="1:11" x14ac:dyDescent="0.25">
      <c r="A52" s="1" t="s">
        <v>17</v>
      </c>
      <c r="B52" s="2">
        <v>201202</v>
      </c>
      <c r="C52" s="2">
        <v>201402</v>
      </c>
      <c r="D52" s="10">
        <v>24388.649778905688</v>
      </c>
      <c r="E52" s="10">
        <v>426011.66028038069</v>
      </c>
      <c r="F52" s="1">
        <v>28</v>
      </c>
      <c r="G52" s="1">
        <v>1060</v>
      </c>
      <c r="H52">
        <f t="shared" si="0"/>
        <v>2012</v>
      </c>
      <c r="I52">
        <f t="shared" si="1"/>
        <v>2014</v>
      </c>
      <c r="J52" s="7">
        <f t="shared" si="2"/>
        <v>450400.31005928636</v>
      </c>
      <c r="K52" s="7"/>
    </row>
    <row r="53" spans="1:11" x14ac:dyDescent="0.25">
      <c r="A53" s="1" t="s">
        <v>17</v>
      </c>
      <c r="B53" s="2">
        <v>201202</v>
      </c>
      <c r="C53" s="2">
        <v>201403</v>
      </c>
      <c r="D53" s="10">
        <v>7955.8446338748718</v>
      </c>
      <c r="E53" s="10">
        <v>437874.17388692714</v>
      </c>
      <c r="F53" s="1">
        <v>29</v>
      </c>
      <c r="G53" s="1">
        <v>996</v>
      </c>
      <c r="H53">
        <f t="shared" si="0"/>
        <v>2012</v>
      </c>
      <c r="I53">
        <f t="shared" si="1"/>
        <v>2014</v>
      </c>
      <c r="J53" s="7">
        <f t="shared" si="2"/>
        <v>445830.01852080203</v>
      </c>
      <c r="K53" s="7"/>
    </row>
    <row r="54" spans="1:11" x14ac:dyDescent="0.25">
      <c r="A54" s="1" t="s">
        <v>17</v>
      </c>
      <c r="B54" s="2">
        <v>201202</v>
      </c>
      <c r="C54" s="2">
        <v>201404</v>
      </c>
      <c r="D54" s="10">
        <v>19245.031436669156</v>
      </c>
      <c r="E54" s="10">
        <v>456048.82534108497</v>
      </c>
      <c r="F54" s="1">
        <v>24</v>
      </c>
      <c r="G54" s="1">
        <v>871</v>
      </c>
      <c r="H54">
        <f t="shared" si="0"/>
        <v>2012</v>
      </c>
      <c r="I54">
        <f t="shared" si="1"/>
        <v>2014</v>
      </c>
      <c r="J54" s="7">
        <f t="shared" si="2"/>
        <v>475293.85677775415</v>
      </c>
      <c r="K54" s="7"/>
    </row>
    <row r="55" spans="1:11" x14ac:dyDescent="0.25">
      <c r="A55" s="1" t="s">
        <v>17</v>
      </c>
      <c r="B55" s="2">
        <v>201202</v>
      </c>
      <c r="C55" s="2">
        <v>201501</v>
      </c>
      <c r="D55" s="10">
        <v>30565.499558469961</v>
      </c>
      <c r="E55" s="10">
        <v>374767.34207247762</v>
      </c>
      <c r="F55" s="1">
        <v>23</v>
      </c>
      <c r="G55" s="1">
        <v>799</v>
      </c>
      <c r="H55">
        <f t="shared" si="0"/>
        <v>2012</v>
      </c>
      <c r="I55">
        <f t="shared" si="1"/>
        <v>2015</v>
      </c>
      <c r="J55" s="7">
        <f t="shared" si="2"/>
        <v>405332.8416309476</v>
      </c>
      <c r="K55" s="7"/>
    </row>
    <row r="56" spans="1:11" x14ac:dyDescent="0.25">
      <c r="A56" s="1" t="s">
        <v>17</v>
      </c>
      <c r="B56" s="2">
        <v>201202</v>
      </c>
      <c r="C56" s="2">
        <v>201502</v>
      </c>
      <c r="D56" s="10">
        <v>11927.993712574707</v>
      </c>
      <c r="E56" s="10">
        <v>303863.24102098582</v>
      </c>
      <c r="F56" s="1">
        <v>21</v>
      </c>
      <c r="G56" s="1">
        <v>714</v>
      </c>
      <c r="H56">
        <f t="shared" si="0"/>
        <v>2012</v>
      </c>
      <c r="I56">
        <f t="shared" si="1"/>
        <v>2015</v>
      </c>
      <c r="J56" s="7">
        <f t="shared" si="2"/>
        <v>315791.23473356053</v>
      </c>
      <c r="K56" s="7"/>
    </row>
    <row r="57" spans="1:11" x14ac:dyDescent="0.25">
      <c r="A57" s="1" t="s">
        <v>17</v>
      </c>
      <c r="B57" s="2">
        <v>201202</v>
      </c>
      <c r="C57" s="2">
        <v>201503</v>
      </c>
      <c r="D57" s="10">
        <v>14553.530309861982</v>
      </c>
      <c r="E57" s="10">
        <v>321094.61716943618</v>
      </c>
      <c r="F57" s="1">
        <v>10</v>
      </c>
      <c r="G57" s="1">
        <v>622</v>
      </c>
      <c r="H57">
        <f t="shared" si="0"/>
        <v>2012</v>
      </c>
      <c r="I57">
        <f t="shared" si="1"/>
        <v>2015</v>
      </c>
      <c r="J57" s="7">
        <f t="shared" si="2"/>
        <v>335648.14747929818</v>
      </c>
      <c r="K57" s="7"/>
    </row>
    <row r="58" spans="1:11" x14ac:dyDescent="0.25">
      <c r="A58" s="1" t="s">
        <v>17</v>
      </c>
      <c r="B58" s="2">
        <v>201202</v>
      </c>
      <c r="C58" s="2">
        <v>201504</v>
      </c>
      <c r="D58" s="10">
        <v>23908.093674606713</v>
      </c>
      <c r="E58" s="10">
        <v>300291.81476641214</v>
      </c>
      <c r="F58" s="1">
        <v>10</v>
      </c>
      <c r="G58" s="1">
        <v>528</v>
      </c>
      <c r="H58">
        <f t="shared" si="0"/>
        <v>2012</v>
      </c>
      <c r="I58">
        <f t="shared" si="1"/>
        <v>2015</v>
      </c>
      <c r="J58" s="7">
        <f t="shared" si="2"/>
        <v>324199.90844101884</v>
      </c>
      <c r="K58" s="7"/>
    </row>
    <row r="59" spans="1:11" x14ac:dyDescent="0.25">
      <c r="A59" s="1" t="s">
        <v>17</v>
      </c>
      <c r="B59" s="2">
        <v>201202</v>
      </c>
      <c r="C59" s="2">
        <v>201601</v>
      </c>
      <c r="D59" s="10">
        <v>3483.0088647602538</v>
      </c>
      <c r="E59" s="10">
        <v>274344.30510827468</v>
      </c>
      <c r="F59" s="1">
        <v>4</v>
      </c>
      <c r="G59" s="1">
        <v>461</v>
      </c>
      <c r="H59">
        <f t="shared" si="0"/>
        <v>2012</v>
      </c>
      <c r="I59">
        <f t="shared" si="1"/>
        <v>2016</v>
      </c>
      <c r="J59" s="7">
        <f t="shared" si="2"/>
        <v>277827.31397303496</v>
      </c>
      <c r="K59" s="7"/>
    </row>
    <row r="60" spans="1:11" x14ac:dyDescent="0.25">
      <c r="A60" s="1" t="s">
        <v>17</v>
      </c>
      <c r="B60" s="2">
        <v>201202</v>
      </c>
      <c r="C60" s="2">
        <v>201602</v>
      </c>
      <c r="D60" s="10">
        <v>7419.5695848604691</v>
      </c>
      <c r="E60" s="10">
        <v>260527.88972764075</v>
      </c>
      <c r="F60" s="1">
        <v>10</v>
      </c>
      <c r="G60" s="1">
        <v>465</v>
      </c>
      <c r="H60">
        <f t="shared" si="0"/>
        <v>2012</v>
      </c>
      <c r="I60">
        <f t="shared" si="1"/>
        <v>2016</v>
      </c>
      <c r="J60" s="7">
        <f t="shared" si="2"/>
        <v>267947.45931250125</v>
      </c>
      <c r="K60" s="7"/>
    </row>
    <row r="61" spans="1:11" x14ac:dyDescent="0.25">
      <c r="A61" s="1" t="s">
        <v>17</v>
      </c>
      <c r="B61" s="2">
        <v>201202</v>
      </c>
      <c r="C61" s="2">
        <v>201603</v>
      </c>
      <c r="D61" s="10">
        <v>4269.1926174731907</v>
      </c>
      <c r="E61" s="10">
        <v>238662.6535023351</v>
      </c>
      <c r="F61" s="1">
        <v>3</v>
      </c>
      <c r="G61" s="1">
        <v>393</v>
      </c>
      <c r="H61">
        <f t="shared" si="0"/>
        <v>2012</v>
      </c>
      <c r="I61">
        <f t="shared" si="1"/>
        <v>2016</v>
      </c>
      <c r="J61" s="7">
        <f t="shared" si="2"/>
        <v>242931.8461198083</v>
      </c>
      <c r="K61" s="7"/>
    </row>
    <row r="62" spans="1:11" x14ac:dyDescent="0.25">
      <c r="A62" s="1" t="s">
        <v>17</v>
      </c>
      <c r="B62" s="2">
        <v>201202</v>
      </c>
      <c r="C62" s="2">
        <v>201604</v>
      </c>
      <c r="D62" s="10">
        <v>11260.85681311635</v>
      </c>
      <c r="E62" s="10">
        <v>232486.70306757526</v>
      </c>
      <c r="F62" s="1">
        <v>6</v>
      </c>
      <c r="G62" s="1">
        <v>286</v>
      </c>
      <c r="H62">
        <f t="shared" si="0"/>
        <v>2012</v>
      </c>
      <c r="I62">
        <f t="shared" si="1"/>
        <v>2016</v>
      </c>
      <c r="J62" s="7">
        <f t="shared" si="2"/>
        <v>243747.55988069161</v>
      </c>
      <c r="K62" s="7"/>
    </row>
    <row r="63" spans="1:11" x14ac:dyDescent="0.25">
      <c r="A63" s="1" t="s">
        <v>17</v>
      </c>
      <c r="B63" s="2">
        <v>201202</v>
      </c>
      <c r="C63" s="2">
        <v>201701</v>
      </c>
      <c r="D63" s="10">
        <v>7698.7334960576536</v>
      </c>
      <c r="E63" s="10">
        <v>202368.67246649941</v>
      </c>
      <c r="F63" s="1">
        <v>5</v>
      </c>
      <c r="G63" s="1">
        <v>245</v>
      </c>
      <c r="H63">
        <f t="shared" si="0"/>
        <v>2012</v>
      </c>
      <c r="I63">
        <f t="shared" si="1"/>
        <v>2017</v>
      </c>
      <c r="J63" s="7">
        <f t="shared" si="2"/>
        <v>210067.40596255707</v>
      </c>
      <c r="K63" s="7"/>
    </row>
    <row r="64" spans="1:11" x14ac:dyDescent="0.25">
      <c r="A64" s="1" t="s">
        <v>17</v>
      </c>
      <c r="B64" s="2">
        <v>201202</v>
      </c>
      <c r="C64" s="2">
        <v>201702</v>
      </c>
      <c r="D64" s="10">
        <v>6759.6158523573276</v>
      </c>
      <c r="E64" s="10">
        <v>176323.72417597115</v>
      </c>
      <c r="F64" s="1">
        <v>4</v>
      </c>
      <c r="G64" s="1">
        <v>241</v>
      </c>
      <c r="H64">
        <f t="shared" si="0"/>
        <v>2012</v>
      </c>
      <c r="I64">
        <f t="shared" si="1"/>
        <v>2017</v>
      </c>
      <c r="J64" s="7">
        <f t="shared" si="2"/>
        <v>183083.34002832847</v>
      </c>
      <c r="K64" s="7"/>
    </row>
    <row r="65" spans="1:11" x14ac:dyDescent="0.25">
      <c r="A65" s="1" t="s">
        <v>17</v>
      </c>
      <c r="B65" s="2">
        <v>201202</v>
      </c>
      <c r="C65" s="2">
        <v>201703</v>
      </c>
      <c r="D65" s="10">
        <v>5879.1297256508524</v>
      </c>
      <c r="E65" s="10">
        <v>170153.19239085141</v>
      </c>
      <c r="F65" s="1">
        <v>5</v>
      </c>
      <c r="G65" s="1">
        <v>150</v>
      </c>
      <c r="H65">
        <f t="shared" si="0"/>
        <v>2012</v>
      </c>
      <c r="I65">
        <f t="shared" si="1"/>
        <v>2017</v>
      </c>
      <c r="J65" s="7">
        <f t="shared" si="2"/>
        <v>176032.32211650227</v>
      </c>
      <c r="K65" s="7"/>
    </row>
    <row r="66" spans="1:11" x14ac:dyDescent="0.25">
      <c r="A66" s="1" t="s">
        <v>17</v>
      </c>
      <c r="B66" s="2">
        <v>201202</v>
      </c>
      <c r="C66" s="2">
        <v>201704</v>
      </c>
      <c r="D66" s="10">
        <v>2195.2745740867463</v>
      </c>
      <c r="E66" s="10">
        <v>149625.96452824073</v>
      </c>
      <c r="F66" s="1">
        <v>5</v>
      </c>
      <c r="G66" s="1">
        <v>129</v>
      </c>
      <c r="H66">
        <f t="shared" si="0"/>
        <v>2012</v>
      </c>
      <c r="I66">
        <f t="shared" si="1"/>
        <v>2017</v>
      </c>
      <c r="J66" s="7">
        <f t="shared" si="2"/>
        <v>151821.23910232747</v>
      </c>
      <c r="K66" s="7"/>
    </row>
    <row r="67" spans="1:11" x14ac:dyDescent="0.25">
      <c r="A67" s="1" t="s">
        <v>17</v>
      </c>
      <c r="B67" s="2">
        <v>201202</v>
      </c>
      <c r="C67" s="2">
        <v>201801</v>
      </c>
      <c r="D67" s="10">
        <v>4450.1847534796552</v>
      </c>
      <c r="E67" s="10">
        <v>132259.751905488</v>
      </c>
      <c r="F67" s="1">
        <v>2</v>
      </c>
      <c r="G67" s="1">
        <v>118</v>
      </c>
      <c r="H67">
        <f t="shared" si="0"/>
        <v>2012</v>
      </c>
      <c r="I67">
        <f t="shared" si="1"/>
        <v>2018</v>
      </c>
      <c r="J67" s="7">
        <f t="shared" si="2"/>
        <v>136709.93665896766</v>
      </c>
      <c r="K67" s="7"/>
    </row>
    <row r="68" spans="1:11" x14ac:dyDescent="0.25">
      <c r="A68" s="1" t="s">
        <v>17</v>
      </c>
      <c r="B68" s="2">
        <v>201202</v>
      </c>
      <c r="C68" s="2">
        <v>201802</v>
      </c>
      <c r="D68" s="10">
        <v>14770.807972214816</v>
      </c>
      <c r="E68" s="10">
        <v>142257.58910743959</v>
      </c>
      <c r="F68" s="1">
        <v>5</v>
      </c>
      <c r="G68" s="1">
        <v>116</v>
      </c>
      <c r="H68">
        <f t="shared" ref="H68:H131" si="3">VALUE(LEFT(B68,4))</f>
        <v>2012</v>
      </c>
      <c r="I68">
        <f t="shared" ref="I68:I131" si="4">VALUE(LEFT(C68,4))</f>
        <v>2018</v>
      </c>
      <c r="J68" s="7">
        <f t="shared" si="2"/>
        <v>157028.39707965442</v>
      </c>
      <c r="K68" s="7"/>
    </row>
    <row r="69" spans="1:11" x14ac:dyDescent="0.25">
      <c r="A69" s="1" t="s">
        <v>17</v>
      </c>
      <c r="B69" s="2">
        <v>201202</v>
      </c>
      <c r="C69" s="2">
        <v>201803</v>
      </c>
      <c r="D69" s="10">
        <v>2980.4931819465191</v>
      </c>
      <c r="E69" s="10">
        <v>138145.46432372494</v>
      </c>
      <c r="F69" s="1">
        <v>1</v>
      </c>
      <c r="G69" s="1">
        <v>116</v>
      </c>
      <c r="H69">
        <f t="shared" si="3"/>
        <v>2012</v>
      </c>
      <c r="I69">
        <f t="shared" si="4"/>
        <v>2018</v>
      </c>
      <c r="J69" s="7">
        <f t="shared" ref="J69:J132" si="5">D69+E69</f>
        <v>141125.95750567145</v>
      </c>
      <c r="K69" s="7"/>
    </row>
    <row r="70" spans="1:11" x14ac:dyDescent="0.25">
      <c r="A70" s="1" t="s">
        <v>17</v>
      </c>
      <c r="B70" s="2">
        <v>201202</v>
      </c>
      <c r="C70" s="2">
        <v>201804</v>
      </c>
      <c r="D70" s="10">
        <v>2380.946929657367</v>
      </c>
      <c r="E70" s="10">
        <v>130652.52024361257</v>
      </c>
      <c r="F70" s="1">
        <v>3</v>
      </c>
      <c r="G70" s="1">
        <v>106</v>
      </c>
      <c r="H70">
        <f t="shared" si="3"/>
        <v>2012</v>
      </c>
      <c r="I70">
        <f t="shared" si="4"/>
        <v>2018</v>
      </c>
      <c r="J70" s="7">
        <f t="shared" si="5"/>
        <v>133033.46717326995</v>
      </c>
      <c r="K70" s="7"/>
    </row>
    <row r="71" spans="1:11" x14ac:dyDescent="0.25">
      <c r="A71" s="1" t="s">
        <v>17</v>
      </c>
      <c r="B71" s="2">
        <v>201202</v>
      </c>
      <c r="C71" s="2">
        <v>201901</v>
      </c>
      <c r="D71" s="10">
        <v>13828.576351310287</v>
      </c>
      <c r="E71" s="10">
        <v>118068.07882930613</v>
      </c>
      <c r="F71" s="1">
        <v>0</v>
      </c>
      <c r="G71" s="1">
        <v>91</v>
      </c>
      <c r="H71">
        <f t="shared" si="3"/>
        <v>2012</v>
      </c>
      <c r="I71">
        <f t="shared" si="4"/>
        <v>2019</v>
      </c>
      <c r="J71" s="7">
        <f t="shared" si="5"/>
        <v>131896.65518061642</v>
      </c>
      <c r="K71" s="7"/>
    </row>
    <row r="72" spans="1:11" x14ac:dyDescent="0.25">
      <c r="A72" s="1" t="s">
        <v>17</v>
      </c>
      <c r="B72" s="2">
        <v>201202</v>
      </c>
      <c r="C72" s="2">
        <v>201902</v>
      </c>
      <c r="D72" s="10">
        <v>12152.562645644282</v>
      </c>
      <c r="E72" s="10">
        <v>96339.759234724625</v>
      </c>
      <c r="F72" s="1">
        <v>1</v>
      </c>
      <c r="G72" s="1">
        <v>83</v>
      </c>
      <c r="H72">
        <f t="shared" si="3"/>
        <v>2012</v>
      </c>
      <c r="I72">
        <f t="shared" si="4"/>
        <v>2019</v>
      </c>
      <c r="J72" s="7">
        <f t="shared" si="5"/>
        <v>108492.32188036891</v>
      </c>
      <c r="K72" s="7"/>
    </row>
    <row r="73" spans="1:11" x14ac:dyDescent="0.25">
      <c r="A73" s="1" t="s">
        <v>17</v>
      </c>
      <c r="B73" s="2">
        <v>201202</v>
      </c>
      <c r="C73" s="2">
        <v>201903</v>
      </c>
      <c r="D73" s="10">
        <v>2842.8917367288727</v>
      </c>
      <c r="E73" s="10">
        <v>93317.104559471569</v>
      </c>
      <c r="F73" s="1">
        <v>1</v>
      </c>
      <c r="G73" s="1">
        <v>77</v>
      </c>
      <c r="H73">
        <f t="shared" si="3"/>
        <v>2012</v>
      </c>
      <c r="I73">
        <f t="shared" si="4"/>
        <v>2019</v>
      </c>
      <c r="J73" s="7">
        <f t="shared" si="5"/>
        <v>96159.996296200436</v>
      </c>
      <c r="K73" s="7"/>
    </row>
    <row r="74" spans="1:11" x14ac:dyDescent="0.25">
      <c r="A74" s="1" t="s">
        <v>17</v>
      </c>
      <c r="B74" s="2">
        <v>201202</v>
      </c>
      <c r="C74" s="2">
        <v>201904</v>
      </c>
      <c r="D74" s="10">
        <v>7432.827818356297</v>
      </c>
      <c r="E74" s="10">
        <v>91194.43336082896</v>
      </c>
      <c r="F74" s="1">
        <v>0</v>
      </c>
      <c r="G74" s="1">
        <v>73</v>
      </c>
      <c r="H74">
        <f t="shared" si="3"/>
        <v>2012</v>
      </c>
      <c r="I74">
        <f t="shared" si="4"/>
        <v>2019</v>
      </c>
      <c r="J74" s="7">
        <f t="shared" si="5"/>
        <v>98627.261179185254</v>
      </c>
      <c r="K74" s="7"/>
    </row>
    <row r="75" spans="1:11" x14ac:dyDescent="0.25">
      <c r="A75" s="1" t="s">
        <v>17</v>
      </c>
      <c r="B75" s="2">
        <v>201202</v>
      </c>
      <c r="C75" s="2">
        <v>202001</v>
      </c>
      <c r="D75" s="10">
        <v>2744.9987143440362</v>
      </c>
      <c r="E75" s="10">
        <v>75550.843386621898</v>
      </c>
      <c r="F75" s="1">
        <v>0</v>
      </c>
      <c r="G75" s="1">
        <v>67</v>
      </c>
      <c r="H75">
        <f t="shared" si="3"/>
        <v>2012</v>
      </c>
      <c r="I75">
        <f t="shared" si="4"/>
        <v>2020</v>
      </c>
      <c r="J75" s="7">
        <f t="shared" si="5"/>
        <v>78295.842100965936</v>
      </c>
      <c r="K75" s="7"/>
    </row>
    <row r="76" spans="1:11" x14ac:dyDescent="0.25">
      <c r="A76" s="1" t="s">
        <v>17</v>
      </c>
      <c r="B76" s="2">
        <v>201202</v>
      </c>
      <c r="C76" s="2">
        <v>202002</v>
      </c>
      <c r="D76" s="10">
        <v>1052.9958809080972</v>
      </c>
      <c r="E76" s="10">
        <v>94065.550136846548</v>
      </c>
      <c r="F76" s="1">
        <v>0</v>
      </c>
      <c r="G76" s="1">
        <v>67</v>
      </c>
      <c r="H76">
        <f t="shared" si="3"/>
        <v>2012</v>
      </c>
      <c r="I76">
        <f t="shared" si="4"/>
        <v>2020</v>
      </c>
      <c r="J76" s="7">
        <f t="shared" si="5"/>
        <v>95118.546017754648</v>
      </c>
      <c r="K76" s="7"/>
    </row>
    <row r="77" spans="1:11" x14ac:dyDescent="0.25">
      <c r="A77" s="1" t="s">
        <v>17</v>
      </c>
      <c r="B77" s="2">
        <v>201202</v>
      </c>
      <c r="C77" s="2">
        <v>202003</v>
      </c>
      <c r="D77" s="10">
        <v>8534.120556115764</v>
      </c>
      <c r="E77" s="10">
        <v>66761.403023644307</v>
      </c>
      <c r="F77" s="1">
        <v>0</v>
      </c>
      <c r="G77" s="1">
        <v>57</v>
      </c>
      <c r="H77">
        <f t="shared" si="3"/>
        <v>2012</v>
      </c>
      <c r="I77">
        <f t="shared" si="4"/>
        <v>2020</v>
      </c>
      <c r="J77" s="7">
        <f t="shared" si="5"/>
        <v>75295.523579760076</v>
      </c>
      <c r="K77" s="7"/>
    </row>
    <row r="78" spans="1:11" x14ac:dyDescent="0.25">
      <c r="A78" s="1" t="s">
        <v>17</v>
      </c>
      <c r="B78" s="2">
        <v>201202</v>
      </c>
      <c r="C78" s="2">
        <v>202004</v>
      </c>
      <c r="D78" s="10">
        <v>-24.604036265500124</v>
      </c>
      <c r="E78" s="10">
        <v>64629.818433271903</v>
      </c>
      <c r="F78" s="1">
        <v>1</v>
      </c>
      <c r="G78" s="1">
        <v>53</v>
      </c>
      <c r="H78">
        <f t="shared" si="3"/>
        <v>2012</v>
      </c>
      <c r="I78">
        <f t="shared" si="4"/>
        <v>2020</v>
      </c>
      <c r="J78" s="7">
        <f t="shared" si="5"/>
        <v>64605.214397006406</v>
      </c>
      <c r="K78" s="7"/>
    </row>
    <row r="79" spans="1:11" x14ac:dyDescent="0.25">
      <c r="A79" s="1" t="s">
        <v>17</v>
      </c>
      <c r="B79" s="2">
        <v>201202</v>
      </c>
      <c r="C79" s="2">
        <v>202101</v>
      </c>
      <c r="D79" s="10">
        <v>4293.2720191421504</v>
      </c>
      <c r="E79" s="10">
        <v>62923.997072947837</v>
      </c>
      <c r="F79" s="1">
        <v>0</v>
      </c>
      <c r="G79" s="1">
        <v>49</v>
      </c>
      <c r="H79">
        <f t="shared" si="3"/>
        <v>2012</v>
      </c>
      <c r="I79">
        <f t="shared" si="4"/>
        <v>2021</v>
      </c>
      <c r="J79" s="7">
        <f t="shared" si="5"/>
        <v>67217.269092089991</v>
      </c>
      <c r="K79" s="7"/>
    </row>
    <row r="80" spans="1:11" x14ac:dyDescent="0.25">
      <c r="A80" s="1" t="s">
        <v>17</v>
      </c>
      <c r="B80" s="2">
        <v>201202</v>
      </c>
      <c r="C80" s="2">
        <v>202102</v>
      </c>
      <c r="D80" s="10">
        <v>18485.833841902942</v>
      </c>
      <c r="E80" s="10">
        <v>63128.769335442099</v>
      </c>
      <c r="F80" s="1">
        <v>0</v>
      </c>
      <c r="G80" s="1">
        <v>43</v>
      </c>
      <c r="H80">
        <f t="shared" si="3"/>
        <v>2012</v>
      </c>
      <c r="I80">
        <f t="shared" si="4"/>
        <v>2021</v>
      </c>
      <c r="J80" s="7">
        <f t="shared" si="5"/>
        <v>81614.603177345038</v>
      </c>
      <c r="K80" s="7"/>
    </row>
    <row r="81" spans="1:11" x14ac:dyDescent="0.25">
      <c r="A81" s="1" t="s">
        <v>17</v>
      </c>
      <c r="B81" s="2">
        <v>201202</v>
      </c>
      <c r="C81" s="2">
        <v>202103</v>
      </c>
      <c r="D81" s="10">
        <v>-335.73656878959622</v>
      </c>
      <c r="E81" s="10">
        <v>62997.757074726811</v>
      </c>
      <c r="F81" s="1">
        <v>1</v>
      </c>
      <c r="G81" s="1">
        <v>42</v>
      </c>
      <c r="H81">
        <f t="shared" si="3"/>
        <v>2012</v>
      </c>
      <c r="I81">
        <f t="shared" si="4"/>
        <v>2021</v>
      </c>
      <c r="J81" s="7">
        <f t="shared" si="5"/>
        <v>62662.020505937217</v>
      </c>
      <c r="K81" s="7"/>
    </row>
    <row r="82" spans="1:11" x14ac:dyDescent="0.25">
      <c r="A82" s="1" t="s">
        <v>17</v>
      </c>
      <c r="B82" s="2">
        <v>201202</v>
      </c>
      <c r="C82" s="2">
        <v>202104</v>
      </c>
      <c r="D82" s="10">
        <v>1353.3877873328174</v>
      </c>
      <c r="E82" s="10">
        <v>52874.436610389595</v>
      </c>
      <c r="F82" s="1">
        <v>0</v>
      </c>
      <c r="G82" s="1">
        <v>41</v>
      </c>
      <c r="H82">
        <f t="shared" si="3"/>
        <v>2012</v>
      </c>
      <c r="I82">
        <f t="shared" si="4"/>
        <v>2021</v>
      </c>
      <c r="J82" s="7">
        <f t="shared" si="5"/>
        <v>54227.824397722412</v>
      </c>
      <c r="K82" s="7"/>
    </row>
    <row r="83" spans="1:11" x14ac:dyDescent="0.25">
      <c r="A83" s="1" t="s">
        <v>17</v>
      </c>
      <c r="B83" s="2">
        <v>201203</v>
      </c>
      <c r="C83" s="2">
        <v>201203</v>
      </c>
      <c r="D83" s="10">
        <v>76475.867680266005</v>
      </c>
      <c r="E83" s="10">
        <v>350876.73209098057</v>
      </c>
      <c r="F83" s="1">
        <v>4632</v>
      </c>
      <c r="G83" s="1">
        <v>2704</v>
      </c>
      <c r="H83">
        <f t="shared" si="3"/>
        <v>2012</v>
      </c>
      <c r="I83">
        <f t="shared" si="4"/>
        <v>2012</v>
      </c>
      <c r="J83" s="7">
        <f t="shared" si="5"/>
        <v>427352.59977124655</v>
      </c>
      <c r="K83" s="7"/>
    </row>
    <row r="84" spans="1:11" x14ac:dyDescent="0.25">
      <c r="A84" s="1" t="s">
        <v>17</v>
      </c>
      <c r="B84" s="2">
        <v>201203</v>
      </c>
      <c r="C84" s="2">
        <v>201204</v>
      </c>
      <c r="D84" s="10">
        <v>187633.65690559565</v>
      </c>
      <c r="E84" s="10">
        <v>552737.76260382799</v>
      </c>
      <c r="F84" s="1">
        <v>2485</v>
      </c>
      <c r="G84" s="1">
        <v>2708</v>
      </c>
      <c r="H84">
        <f t="shared" si="3"/>
        <v>2012</v>
      </c>
      <c r="I84">
        <f t="shared" si="4"/>
        <v>2012</v>
      </c>
      <c r="J84" s="7">
        <f t="shared" si="5"/>
        <v>740371.41950942366</v>
      </c>
      <c r="K84" s="7"/>
    </row>
    <row r="85" spans="1:11" x14ac:dyDescent="0.25">
      <c r="A85" s="1" t="s">
        <v>17</v>
      </c>
      <c r="B85" s="2">
        <v>201203</v>
      </c>
      <c r="C85" s="2">
        <v>201301</v>
      </c>
      <c r="D85" s="10">
        <v>108545.46866415323</v>
      </c>
      <c r="E85" s="10">
        <v>500148.36924945173</v>
      </c>
      <c r="F85" s="1">
        <v>517</v>
      </c>
      <c r="G85" s="1">
        <v>2201</v>
      </c>
      <c r="H85">
        <f t="shared" si="3"/>
        <v>2012</v>
      </c>
      <c r="I85">
        <f t="shared" si="4"/>
        <v>2013</v>
      </c>
      <c r="J85" s="7">
        <f t="shared" si="5"/>
        <v>608693.83791360492</v>
      </c>
      <c r="K85" s="7"/>
    </row>
    <row r="86" spans="1:11" x14ac:dyDescent="0.25">
      <c r="A86" s="1" t="s">
        <v>17</v>
      </c>
      <c r="B86" s="2">
        <v>201203</v>
      </c>
      <c r="C86" s="2">
        <v>201302</v>
      </c>
      <c r="D86" s="10">
        <v>53710.743053776452</v>
      </c>
      <c r="E86" s="10">
        <v>496902.37368424033</v>
      </c>
      <c r="F86" s="1">
        <v>275</v>
      </c>
      <c r="G86" s="1">
        <v>1911</v>
      </c>
      <c r="H86">
        <f t="shared" si="3"/>
        <v>2012</v>
      </c>
      <c r="I86">
        <f t="shared" si="4"/>
        <v>2013</v>
      </c>
      <c r="J86" s="7">
        <f t="shared" si="5"/>
        <v>550613.11673801683</v>
      </c>
      <c r="K86" s="7"/>
    </row>
    <row r="87" spans="1:11" x14ac:dyDescent="0.25">
      <c r="A87" s="1" t="s">
        <v>17</v>
      </c>
      <c r="B87" s="2">
        <v>201203</v>
      </c>
      <c r="C87" s="2">
        <v>201303</v>
      </c>
      <c r="D87" s="10">
        <v>51116.369265210516</v>
      </c>
      <c r="E87" s="10">
        <v>481217.96462242736</v>
      </c>
      <c r="F87" s="1">
        <v>146</v>
      </c>
      <c r="G87" s="1">
        <v>1746</v>
      </c>
      <c r="H87">
        <f t="shared" si="3"/>
        <v>2012</v>
      </c>
      <c r="I87">
        <f t="shared" si="4"/>
        <v>2013</v>
      </c>
      <c r="J87" s="7">
        <f t="shared" si="5"/>
        <v>532334.33388763783</v>
      </c>
      <c r="K87" s="7"/>
    </row>
    <row r="88" spans="1:11" x14ac:dyDescent="0.25">
      <c r="A88" s="1" t="s">
        <v>17</v>
      </c>
      <c r="B88" s="2">
        <v>201203</v>
      </c>
      <c r="C88" s="2">
        <v>201304</v>
      </c>
      <c r="D88" s="10">
        <v>41392.930613421682</v>
      </c>
      <c r="E88" s="10">
        <v>445392.18171461468</v>
      </c>
      <c r="F88" s="1">
        <v>69</v>
      </c>
      <c r="G88" s="1">
        <v>1422</v>
      </c>
      <c r="H88">
        <f t="shared" si="3"/>
        <v>2012</v>
      </c>
      <c r="I88">
        <f t="shared" si="4"/>
        <v>2013</v>
      </c>
      <c r="J88" s="7">
        <f t="shared" si="5"/>
        <v>486785.11232803634</v>
      </c>
      <c r="K88" s="7"/>
    </row>
    <row r="89" spans="1:11" x14ac:dyDescent="0.25">
      <c r="A89" s="1" t="s">
        <v>17</v>
      </c>
      <c r="B89" s="2">
        <v>201203</v>
      </c>
      <c r="C89" s="2">
        <v>201401</v>
      </c>
      <c r="D89" s="10">
        <v>42754.884151805119</v>
      </c>
      <c r="E89" s="10">
        <v>437902.9144119235</v>
      </c>
      <c r="F89" s="1">
        <v>52</v>
      </c>
      <c r="G89" s="1">
        <v>1273</v>
      </c>
      <c r="H89">
        <f t="shared" si="3"/>
        <v>2012</v>
      </c>
      <c r="I89">
        <f t="shared" si="4"/>
        <v>2014</v>
      </c>
      <c r="J89" s="7">
        <f t="shared" si="5"/>
        <v>480657.79856372863</v>
      </c>
      <c r="K89" s="7"/>
    </row>
    <row r="90" spans="1:11" x14ac:dyDescent="0.25">
      <c r="A90" s="1" t="s">
        <v>17</v>
      </c>
      <c r="B90" s="2">
        <v>201203</v>
      </c>
      <c r="C90" s="2">
        <v>201402</v>
      </c>
      <c r="D90" s="10">
        <v>24890.117288281235</v>
      </c>
      <c r="E90" s="10">
        <v>414950.74997560552</v>
      </c>
      <c r="F90" s="1">
        <v>39</v>
      </c>
      <c r="G90" s="1">
        <v>1157</v>
      </c>
      <c r="H90">
        <f t="shared" si="3"/>
        <v>2012</v>
      </c>
      <c r="I90">
        <f t="shared" si="4"/>
        <v>2014</v>
      </c>
      <c r="J90" s="7">
        <f t="shared" si="5"/>
        <v>439840.86726388673</v>
      </c>
      <c r="K90" s="7"/>
    </row>
    <row r="91" spans="1:11" x14ac:dyDescent="0.25">
      <c r="A91" s="1" t="s">
        <v>17</v>
      </c>
      <c r="B91" s="2">
        <v>201203</v>
      </c>
      <c r="C91" s="2">
        <v>201403</v>
      </c>
      <c r="D91" s="10">
        <v>7633.3093980535368</v>
      </c>
      <c r="E91" s="10">
        <v>428748.37094279419</v>
      </c>
      <c r="F91" s="1">
        <v>40</v>
      </c>
      <c r="G91" s="1">
        <v>1058</v>
      </c>
      <c r="H91">
        <f t="shared" si="3"/>
        <v>2012</v>
      </c>
      <c r="I91">
        <f t="shared" si="4"/>
        <v>2014</v>
      </c>
      <c r="J91" s="7">
        <f t="shared" si="5"/>
        <v>436381.68034084776</v>
      </c>
      <c r="K91" s="7"/>
    </row>
    <row r="92" spans="1:11" x14ac:dyDescent="0.25">
      <c r="A92" s="1" t="s">
        <v>17</v>
      </c>
      <c r="B92" s="2">
        <v>201203</v>
      </c>
      <c r="C92" s="2">
        <v>201404</v>
      </c>
      <c r="D92" s="10">
        <v>18881.173772308885</v>
      </c>
      <c r="E92" s="10">
        <v>447902.34714256303</v>
      </c>
      <c r="F92" s="1">
        <v>26</v>
      </c>
      <c r="G92" s="1">
        <v>925</v>
      </c>
      <c r="H92">
        <f t="shared" si="3"/>
        <v>2012</v>
      </c>
      <c r="I92">
        <f t="shared" si="4"/>
        <v>2014</v>
      </c>
      <c r="J92" s="7">
        <f t="shared" si="5"/>
        <v>466783.52091487189</v>
      </c>
      <c r="K92" s="7"/>
    </row>
    <row r="93" spans="1:11" x14ac:dyDescent="0.25">
      <c r="A93" s="1" t="s">
        <v>17</v>
      </c>
      <c r="B93" s="2">
        <v>201203</v>
      </c>
      <c r="C93" s="2">
        <v>201501</v>
      </c>
      <c r="D93" s="10">
        <v>11974.048876303636</v>
      </c>
      <c r="E93" s="10">
        <v>401270.5013877147</v>
      </c>
      <c r="F93" s="1">
        <v>24</v>
      </c>
      <c r="G93" s="1">
        <v>869</v>
      </c>
      <c r="H93">
        <f t="shared" si="3"/>
        <v>2012</v>
      </c>
      <c r="I93">
        <f t="shared" si="4"/>
        <v>2015</v>
      </c>
      <c r="J93" s="7">
        <f t="shared" si="5"/>
        <v>413244.55026401835</v>
      </c>
      <c r="K93" s="7"/>
    </row>
    <row r="94" spans="1:11" x14ac:dyDescent="0.25">
      <c r="A94" s="1" t="s">
        <v>17</v>
      </c>
      <c r="B94" s="2">
        <v>201203</v>
      </c>
      <c r="C94" s="2">
        <v>201502</v>
      </c>
      <c r="D94" s="10">
        <v>14541.914697806149</v>
      </c>
      <c r="E94" s="10">
        <v>426832.63317626703</v>
      </c>
      <c r="F94" s="1">
        <v>30</v>
      </c>
      <c r="G94" s="1">
        <v>774</v>
      </c>
      <c r="H94">
        <f t="shared" si="3"/>
        <v>2012</v>
      </c>
      <c r="I94">
        <f t="shared" si="4"/>
        <v>2015</v>
      </c>
      <c r="J94" s="7">
        <f t="shared" si="5"/>
        <v>441374.54787407321</v>
      </c>
      <c r="K94" s="7"/>
    </row>
    <row r="95" spans="1:11" x14ac:dyDescent="0.25">
      <c r="A95" s="1" t="s">
        <v>17</v>
      </c>
      <c r="B95" s="2">
        <v>201203</v>
      </c>
      <c r="C95" s="2">
        <v>201503</v>
      </c>
      <c r="D95" s="10">
        <v>24167.131469832799</v>
      </c>
      <c r="E95" s="10">
        <v>415402.69935065391</v>
      </c>
      <c r="F95" s="1">
        <v>15</v>
      </c>
      <c r="G95" s="1">
        <v>699</v>
      </c>
      <c r="H95">
        <f t="shared" si="3"/>
        <v>2012</v>
      </c>
      <c r="I95">
        <f t="shared" si="4"/>
        <v>2015</v>
      </c>
      <c r="J95" s="7">
        <f t="shared" si="5"/>
        <v>439569.83082048671</v>
      </c>
      <c r="K95" s="7"/>
    </row>
    <row r="96" spans="1:11" x14ac:dyDescent="0.25">
      <c r="A96" s="1" t="s">
        <v>17</v>
      </c>
      <c r="B96" s="2">
        <v>201203</v>
      </c>
      <c r="C96" s="2">
        <v>201504</v>
      </c>
      <c r="D96" s="10">
        <v>9709.6818774969906</v>
      </c>
      <c r="E96" s="10">
        <v>431584.2680508981</v>
      </c>
      <c r="F96" s="1">
        <v>16</v>
      </c>
      <c r="G96" s="1">
        <v>600</v>
      </c>
      <c r="H96">
        <f t="shared" si="3"/>
        <v>2012</v>
      </c>
      <c r="I96">
        <f t="shared" si="4"/>
        <v>2015</v>
      </c>
      <c r="J96" s="7">
        <f t="shared" si="5"/>
        <v>441293.9499283951</v>
      </c>
      <c r="K96" s="7"/>
    </row>
    <row r="97" spans="1:11" x14ac:dyDescent="0.25">
      <c r="A97" s="1" t="s">
        <v>17</v>
      </c>
      <c r="B97" s="2">
        <v>201203</v>
      </c>
      <c r="C97" s="2">
        <v>201601</v>
      </c>
      <c r="D97" s="10">
        <v>10751.139908008918</v>
      </c>
      <c r="E97" s="10">
        <v>382741.87234058703</v>
      </c>
      <c r="F97" s="1">
        <v>8</v>
      </c>
      <c r="G97" s="1">
        <v>497</v>
      </c>
      <c r="H97">
        <f t="shared" si="3"/>
        <v>2012</v>
      </c>
      <c r="I97">
        <f t="shared" si="4"/>
        <v>2016</v>
      </c>
      <c r="J97" s="7">
        <f t="shared" si="5"/>
        <v>393493.01224859594</v>
      </c>
      <c r="K97" s="7"/>
    </row>
    <row r="98" spans="1:11" x14ac:dyDescent="0.25">
      <c r="A98" s="1" t="s">
        <v>17</v>
      </c>
      <c r="B98" s="2">
        <v>201203</v>
      </c>
      <c r="C98" s="2">
        <v>201602</v>
      </c>
      <c r="D98" s="10">
        <v>16596.026456990636</v>
      </c>
      <c r="E98" s="10">
        <v>359645.88730305916</v>
      </c>
      <c r="F98" s="1">
        <v>9</v>
      </c>
      <c r="G98" s="1">
        <v>492</v>
      </c>
      <c r="H98">
        <f t="shared" si="3"/>
        <v>2012</v>
      </c>
      <c r="I98">
        <f t="shared" si="4"/>
        <v>2016</v>
      </c>
      <c r="J98" s="7">
        <f t="shared" si="5"/>
        <v>376241.91376004979</v>
      </c>
      <c r="K98" s="7"/>
    </row>
    <row r="99" spans="1:11" x14ac:dyDescent="0.25">
      <c r="A99" s="1" t="s">
        <v>17</v>
      </c>
      <c r="B99" s="2">
        <v>201203</v>
      </c>
      <c r="C99" s="2">
        <v>201603</v>
      </c>
      <c r="D99" s="10">
        <v>45612.156218219185</v>
      </c>
      <c r="E99" s="10">
        <v>327242.75378522638</v>
      </c>
      <c r="F99" s="1">
        <v>6</v>
      </c>
      <c r="G99" s="1">
        <v>409</v>
      </c>
      <c r="H99">
        <f t="shared" si="3"/>
        <v>2012</v>
      </c>
      <c r="I99">
        <f t="shared" si="4"/>
        <v>2016</v>
      </c>
      <c r="J99" s="7">
        <f t="shared" si="5"/>
        <v>372854.91000344558</v>
      </c>
      <c r="K99" s="7"/>
    </row>
    <row r="100" spans="1:11" x14ac:dyDescent="0.25">
      <c r="A100" s="1" t="s">
        <v>17</v>
      </c>
      <c r="B100" s="2">
        <v>201203</v>
      </c>
      <c r="C100" s="2">
        <v>201604</v>
      </c>
      <c r="D100" s="10">
        <v>11348.966269933979</v>
      </c>
      <c r="E100" s="10">
        <v>286750.7419956752</v>
      </c>
      <c r="F100" s="1">
        <v>6</v>
      </c>
      <c r="G100" s="1">
        <v>291</v>
      </c>
      <c r="H100">
        <f t="shared" si="3"/>
        <v>2012</v>
      </c>
      <c r="I100">
        <f t="shared" si="4"/>
        <v>2016</v>
      </c>
      <c r="J100" s="7">
        <f t="shared" si="5"/>
        <v>298099.70826560917</v>
      </c>
      <c r="K100" s="7"/>
    </row>
    <row r="101" spans="1:11" x14ac:dyDescent="0.25">
      <c r="A101" s="1" t="s">
        <v>17</v>
      </c>
      <c r="B101" s="2">
        <v>201203</v>
      </c>
      <c r="C101" s="2">
        <v>201701</v>
      </c>
      <c r="D101" s="10">
        <v>13670.063087870738</v>
      </c>
      <c r="E101" s="10">
        <v>268488.3429476684</v>
      </c>
      <c r="F101" s="1">
        <v>4</v>
      </c>
      <c r="G101" s="1">
        <v>232</v>
      </c>
      <c r="H101">
        <f t="shared" si="3"/>
        <v>2012</v>
      </c>
      <c r="I101">
        <f t="shared" si="4"/>
        <v>2017</v>
      </c>
      <c r="J101" s="7">
        <f t="shared" si="5"/>
        <v>282158.40603553911</v>
      </c>
      <c r="K101" s="7"/>
    </row>
    <row r="102" spans="1:11" x14ac:dyDescent="0.25">
      <c r="A102" s="1" t="s">
        <v>17</v>
      </c>
      <c r="B102" s="2">
        <v>201203</v>
      </c>
      <c r="C102" s="2">
        <v>201702</v>
      </c>
      <c r="D102" s="10">
        <v>6265.3986348739654</v>
      </c>
      <c r="E102" s="10">
        <v>248631.25987463415</v>
      </c>
      <c r="F102" s="1">
        <v>2</v>
      </c>
      <c r="G102" s="1">
        <v>225</v>
      </c>
      <c r="H102">
        <f t="shared" si="3"/>
        <v>2012</v>
      </c>
      <c r="I102">
        <f t="shared" si="4"/>
        <v>2017</v>
      </c>
      <c r="J102" s="7">
        <f t="shared" si="5"/>
        <v>254896.65850950812</v>
      </c>
      <c r="K102" s="7"/>
    </row>
    <row r="103" spans="1:11" x14ac:dyDescent="0.25">
      <c r="A103" s="1" t="s">
        <v>17</v>
      </c>
      <c r="B103" s="2">
        <v>201203</v>
      </c>
      <c r="C103" s="2">
        <v>201703</v>
      </c>
      <c r="D103" s="10">
        <v>4563.8484256658394</v>
      </c>
      <c r="E103" s="10">
        <v>221908.69181211118</v>
      </c>
      <c r="F103" s="1">
        <v>8</v>
      </c>
      <c r="G103" s="1">
        <v>154</v>
      </c>
      <c r="H103">
        <f t="shared" si="3"/>
        <v>2012</v>
      </c>
      <c r="I103">
        <f t="shared" si="4"/>
        <v>2017</v>
      </c>
      <c r="J103" s="7">
        <f t="shared" si="5"/>
        <v>226472.54023777702</v>
      </c>
      <c r="K103" s="7"/>
    </row>
    <row r="104" spans="1:11" x14ac:dyDescent="0.25">
      <c r="A104" s="1" t="s">
        <v>17</v>
      </c>
      <c r="B104" s="2">
        <v>201203</v>
      </c>
      <c r="C104" s="2">
        <v>201704</v>
      </c>
      <c r="D104" s="10">
        <v>63907.591009398144</v>
      </c>
      <c r="E104" s="10">
        <v>232252.86543331185</v>
      </c>
      <c r="F104" s="1">
        <v>2</v>
      </c>
      <c r="G104" s="1">
        <v>124</v>
      </c>
      <c r="H104">
        <f t="shared" si="3"/>
        <v>2012</v>
      </c>
      <c r="I104">
        <f t="shared" si="4"/>
        <v>2017</v>
      </c>
      <c r="J104" s="7">
        <f t="shared" si="5"/>
        <v>296160.45644271001</v>
      </c>
      <c r="K104" s="7"/>
    </row>
    <row r="105" spans="1:11" x14ac:dyDescent="0.25">
      <c r="A105" s="1" t="s">
        <v>17</v>
      </c>
      <c r="B105" s="2">
        <v>201203</v>
      </c>
      <c r="C105" s="2">
        <v>201801</v>
      </c>
      <c r="D105" s="10">
        <v>6763.016301347353</v>
      </c>
      <c r="E105" s="10">
        <v>214917.82845100475</v>
      </c>
      <c r="F105" s="1">
        <v>2</v>
      </c>
      <c r="G105" s="1">
        <v>114</v>
      </c>
      <c r="H105">
        <f t="shared" si="3"/>
        <v>2012</v>
      </c>
      <c r="I105">
        <f t="shared" si="4"/>
        <v>2018</v>
      </c>
      <c r="J105" s="7">
        <f t="shared" si="5"/>
        <v>221680.8447523521</v>
      </c>
      <c r="K105" s="7"/>
    </row>
    <row r="106" spans="1:11" x14ac:dyDescent="0.25">
      <c r="A106" s="1" t="s">
        <v>17</v>
      </c>
      <c r="B106" s="2">
        <v>201203</v>
      </c>
      <c r="C106" s="2">
        <v>201802</v>
      </c>
      <c r="D106" s="10">
        <v>17130.048018225079</v>
      </c>
      <c r="E106" s="10">
        <v>208702.61290381395</v>
      </c>
      <c r="F106" s="1">
        <v>0</v>
      </c>
      <c r="G106" s="1">
        <v>105</v>
      </c>
      <c r="H106">
        <f t="shared" si="3"/>
        <v>2012</v>
      </c>
      <c r="I106">
        <f t="shared" si="4"/>
        <v>2018</v>
      </c>
      <c r="J106" s="7">
        <f t="shared" si="5"/>
        <v>225832.66092203904</v>
      </c>
      <c r="K106" s="7"/>
    </row>
    <row r="107" spans="1:11" x14ac:dyDescent="0.25">
      <c r="A107" s="1" t="s">
        <v>17</v>
      </c>
      <c r="B107" s="2">
        <v>201203</v>
      </c>
      <c r="C107" s="2">
        <v>201803</v>
      </c>
      <c r="D107" s="10">
        <v>52256.556918045499</v>
      </c>
      <c r="E107" s="10">
        <v>186902.24995094922</v>
      </c>
      <c r="F107" s="1">
        <v>2</v>
      </c>
      <c r="G107" s="1">
        <v>98</v>
      </c>
      <c r="H107">
        <f t="shared" si="3"/>
        <v>2012</v>
      </c>
      <c r="I107">
        <f t="shared" si="4"/>
        <v>2018</v>
      </c>
      <c r="J107" s="7">
        <f t="shared" si="5"/>
        <v>239158.80686899472</v>
      </c>
      <c r="K107" s="7"/>
    </row>
    <row r="108" spans="1:11" x14ac:dyDescent="0.25">
      <c r="A108" s="1" t="s">
        <v>17</v>
      </c>
      <c r="B108" s="2">
        <v>201203</v>
      </c>
      <c r="C108" s="2">
        <v>201804</v>
      </c>
      <c r="D108" s="10">
        <v>1563.0398255083319</v>
      </c>
      <c r="E108" s="10">
        <v>170252.64466109697</v>
      </c>
      <c r="F108" s="1">
        <v>1</v>
      </c>
      <c r="G108" s="1">
        <v>80</v>
      </c>
      <c r="H108">
        <f t="shared" si="3"/>
        <v>2012</v>
      </c>
      <c r="I108">
        <f t="shared" si="4"/>
        <v>2018</v>
      </c>
      <c r="J108" s="7">
        <f t="shared" si="5"/>
        <v>171815.68448660531</v>
      </c>
      <c r="K108" s="7"/>
    </row>
    <row r="109" spans="1:11" x14ac:dyDescent="0.25">
      <c r="A109" s="1" t="s">
        <v>17</v>
      </c>
      <c r="B109" s="2">
        <v>201203</v>
      </c>
      <c r="C109" s="2">
        <v>201901</v>
      </c>
      <c r="D109" s="10">
        <v>5539.939963384134</v>
      </c>
      <c r="E109" s="10">
        <v>155188.46734320713</v>
      </c>
      <c r="F109" s="1">
        <v>1</v>
      </c>
      <c r="G109" s="1">
        <v>76</v>
      </c>
      <c r="H109">
        <f t="shared" si="3"/>
        <v>2012</v>
      </c>
      <c r="I109">
        <f t="shared" si="4"/>
        <v>2019</v>
      </c>
      <c r="J109" s="7">
        <f t="shared" si="5"/>
        <v>160728.40730659125</v>
      </c>
      <c r="K109" s="7"/>
    </row>
    <row r="110" spans="1:11" x14ac:dyDescent="0.25">
      <c r="A110" s="1" t="s">
        <v>17</v>
      </c>
      <c r="B110" s="2">
        <v>201203</v>
      </c>
      <c r="C110" s="2">
        <v>201902</v>
      </c>
      <c r="D110" s="10">
        <v>15966.137567017922</v>
      </c>
      <c r="E110" s="10">
        <v>131703.71991187285</v>
      </c>
      <c r="F110" s="1">
        <v>1</v>
      </c>
      <c r="G110" s="1">
        <v>74</v>
      </c>
      <c r="H110">
        <f t="shared" si="3"/>
        <v>2012</v>
      </c>
      <c r="I110">
        <f t="shared" si="4"/>
        <v>2019</v>
      </c>
      <c r="J110" s="7">
        <f t="shared" si="5"/>
        <v>147669.85747889077</v>
      </c>
      <c r="K110" s="7"/>
    </row>
    <row r="111" spans="1:11" x14ac:dyDescent="0.25">
      <c r="A111" s="1" t="s">
        <v>17</v>
      </c>
      <c r="B111" s="2">
        <v>201203</v>
      </c>
      <c r="C111" s="2">
        <v>201903</v>
      </c>
      <c r="D111" s="10">
        <v>3401.4952427866765</v>
      </c>
      <c r="E111" s="10">
        <v>175299.68688790782</v>
      </c>
      <c r="F111" s="1">
        <v>3</v>
      </c>
      <c r="G111" s="1">
        <v>72</v>
      </c>
      <c r="H111">
        <f t="shared" si="3"/>
        <v>2012</v>
      </c>
      <c r="I111">
        <f t="shared" si="4"/>
        <v>2019</v>
      </c>
      <c r="J111" s="7">
        <f t="shared" si="5"/>
        <v>178701.18213069451</v>
      </c>
      <c r="K111" s="7"/>
    </row>
    <row r="112" spans="1:11" x14ac:dyDescent="0.25">
      <c r="A112" s="1" t="s">
        <v>17</v>
      </c>
      <c r="B112" s="2">
        <v>201203</v>
      </c>
      <c r="C112" s="2">
        <v>201904</v>
      </c>
      <c r="D112" s="10">
        <v>3961.1739890450881</v>
      </c>
      <c r="E112" s="10">
        <v>180214.66542821782</v>
      </c>
      <c r="F112" s="1">
        <v>2</v>
      </c>
      <c r="G112" s="1">
        <v>71</v>
      </c>
      <c r="H112">
        <f t="shared" si="3"/>
        <v>2012</v>
      </c>
      <c r="I112">
        <f t="shared" si="4"/>
        <v>2019</v>
      </c>
      <c r="J112" s="7">
        <f t="shared" si="5"/>
        <v>184175.83941726291</v>
      </c>
      <c r="K112" s="7"/>
    </row>
    <row r="113" spans="1:11" x14ac:dyDescent="0.25">
      <c r="A113" s="1" t="s">
        <v>17</v>
      </c>
      <c r="B113" s="2">
        <v>201203</v>
      </c>
      <c r="C113" s="2">
        <v>202001</v>
      </c>
      <c r="D113" s="10">
        <v>3308.6387340747133</v>
      </c>
      <c r="E113" s="10">
        <v>182052.95847230472</v>
      </c>
      <c r="F113" s="1">
        <v>1</v>
      </c>
      <c r="G113" s="1">
        <v>66</v>
      </c>
      <c r="H113">
        <f t="shared" si="3"/>
        <v>2012</v>
      </c>
      <c r="I113">
        <f t="shared" si="4"/>
        <v>2020</v>
      </c>
      <c r="J113" s="7">
        <f t="shared" si="5"/>
        <v>185361.59720637943</v>
      </c>
      <c r="K113" s="7"/>
    </row>
    <row r="114" spans="1:11" x14ac:dyDescent="0.25">
      <c r="A114" s="1" t="s">
        <v>17</v>
      </c>
      <c r="B114" s="2">
        <v>201203</v>
      </c>
      <c r="C114" s="2">
        <v>202002</v>
      </c>
      <c r="D114" s="10">
        <v>474.180482207392</v>
      </c>
      <c r="E114" s="10">
        <v>172943.16470619634</v>
      </c>
      <c r="F114" s="1">
        <v>0</v>
      </c>
      <c r="G114" s="1">
        <v>62</v>
      </c>
      <c r="H114">
        <f t="shared" si="3"/>
        <v>2012</v>
      </c>
      <c r="I114">
        <f t="shared" si="4"/>
        <v>2020</v>
      </c>
      <c r="J114" s="7">
        <f t="shared" si="5"/>
        <v>173417.34518840373</v>
      </c>
      <c r="K114" s="7"/>
    </row>
    <row r="115" spans="1:11" x14ac:dyDescent="0.25">
      <c r="A115" s="1" t="s">
        <v>17</v>
      </c>
      <c r="B115" s="2">
        <v>201203</v>
      </c>
      <c r="C115" s="2">
        <v>202003</v>
      </c>
      <c r="D115" s="10">
        <v>604.75402479766512</v>
      </c>
      <c r="E115" s="10">
        <v>171662.88139389752</v>
      </c>
      <c r="F115" s="1">
        <v>2</v>
      </c>
      <c r="G115" s="1">
        <v>57</v>
      </c>
      <c r="H115">
        <f t="shared" si="3"/>
        <v>2012</v>
      </c>
      <c r="I115">
        <f t="shared" si="4"/>
        <v>2020</v>
      </c>
      <c r="J115" s="7">
        <f t="shared" si="5"/>
        <v>172267.63541869519</v>
      </c>
      <c r="K115" s="7"/>
    </row>
    <row r="116" spans="1:11" x14ac:dyDescent="0.25">
      <c r="A116" s="1" t="s">
        <v>17</v>
      </c>
      <c r="B116" s="2">
        <v>201203</v>
      </c>
      <c r="C116" s="2">
        <v>202004</v>
      </c>
      <c r="D116" s="10">
        <v>1671.4597495791061</v>
      </c>
      <c r="E116" s="10">
        <v>169102.00414920665</v>
      </c>
      <c r="F116" s="1">
        <v>0</v>
      </c>
      <c r="G116" s="1">
        <v>52</v>
      </c>
      <c r="H116">
        <f t="shared" si="3"/>
        <v>2012</v>
      </c>
      <c r="I116">
        <f t="shared" si="4"/>
        <v>2020</v>
      </c>
      <c r="J116" s="7">
        <f t="shared" si="5"/>
        <v>170773.46389878576</v>
      </c>
      <c r="K116" s="7"/>
    </row>
    <row r="117" spans="1:11" x14ac:dyDescent="0.25">
      <c r="A117" s="1" t="s">
        <v>17</v>
      </c>
      <c r="B117" s="2">
        <v>201203</v>
      </c>
      <c r="C117" s="2">
        <v>202101</v>
      </c>
      <c r="D117" s="10">
        <v>2028.1806402842251</v>
      </c>
      <c r="E117" s="10">
        <v>167843.55914630945</v>
      </c>
      <c r="F117" s="1">
        <v>2</v>
      </c>
      <c r="G117" s="1">
        <v>52</v>
      </c>
      <c r="H117">
        <f t="shared" si="3"/>
        <v>2012</v>
      </c>
      <c r="I117">
        <f t="shared" si="4"/>
        <v>2021</v>
      </c>
      <c r="J117" s="7">
        <f t="shared" si="5"/>
        <v>169871.73978659368</v>
      </c>
      <c r="K117" s="7"/>
    </row>
    <row r="118" spans="1:11" x14ac:dyDescent="0.25">
      <c r="A118" s="1" t="s">
        <v>17</v>
      </c>
      <c r="B118" s="2">
        <v>201203</v>
      </c>
      <c r="C118" s="2">
        <v>202102</v>
      </c>
      <c r="D118" s="10">
        <v>6617.3207975160121</v>
      </c>
      <c r="E118" s="10">
        <v>171508.4923645232</v>
      </c>
      <c r="F118" s="1">
        <v>3</v>
      </c>
      <c r="G118" s="1">
        <v>52</v>
      </c>
      <c r="H118">
        <f t="shared" si="3"/>
        <v>2012</v>
      </c>
      <c r="I118">
        <f t="shared" si="4"/>
        <v>2021</v>
      </c>
      <c r="J118" s="7">
        <f t="shared" si="5"/>
        <v>178125.81316203921</v>
      </c>
      <c r="K118" s="7"/>
    </row>
    <row r="119" spans="1:11" x14ac:dyDescent="0.25">
      <c r="A119" s="1" t="s">
        <v>17</v>
      </c>
      <c r="B119" s="2">
        <v>201203</v>
      </c>
      <c r="C119" s="2">
        <v>202103</v>
      </c>
      <c r="D119" s="10">
        <v>11461.35283369128</v>
      </c>
      <c r="E119" s="10">
        <v>168307.34214544154</v>
      </c>
      <c r="F119" s="1">
        <v>0</v>
      </c>
      <c r="G119" s="1">
        <v>52</v>
      </c>
      <c r="H119">
        <f t="shared" si="3"/>
        <v>2012</v>
      </c>
      <c r="I119">
        <f t="shared" si="4"/>
        <v>2021</v>
      </c>
      <c r="J119" s="7">
        <f t="shared" si="5"/>
        <v>179768.69497913282</v>
      </c>
      <c r="K119" s="7"/>
    </row>
    <row r="120" spans="1:11" x14ac:dyDescent="0.25">
      <c r="A120" s="1" t="s">
        <v>17</v>
      </c>
      <c r="B120" s="2">
        <v>201203</v>
      </c>
      <c r="C120" s="2">
        <v>202104</v>
      </c>
      <c r="D120" s="10">
        <v>2682.5802247600518</v>
      </c>
      <c r="E120" s="10">
        <v>217127.66637374327</v>
      </c>
      <c r="F120" s="1">
        <v>0</v>
      </c>
      <c r="G120" s="1">
        <v>52</v>
      </c>
      <c r="H120">
        <f t="shared" si="3"/>
        <v>2012</v>
      </c>
      <c r="I120">
        <f t="shared" si="4"/>
        <v>2021</v>
      </c>
      <c r="J120" s="7">
        <f t="shared" si="5"/>
        <v>219810.24659850332</v>
      </c>
      <c r="K120" s="7"/>
    </row>
    <row r="121" spans="1:11" x14ac:dyDescent="0.25">
      <c r="A121" s="1" t="s">
        <v>17</v>
      </c>
      <c r="B121" s="2">
        <v>201204</v>
      </c>
      <c r="C121" s="2">
        <v>201204</v>
      </c>
      <c r="D121" s="10">
        <v>64328.575187420211</v>
      </c>
      <c r="E121" s="10">
        <v>449802.85151020694</v>
      </c>
      <c r="F121" s="1">
        <v>4027</v>
      </c>
      <c r="G121" s="1">
        <v>2481</v>
      </c>
      <c r="H121">
        <f t="shared" si="3"/>
        <v>2012</v>
      </c>
      <c r="I121">
        <f t="shared" si="4"/>
        <v>2012</v>
      </c>
      <c r="J121" s="7">
        <f t="shared" si="5"/>
        <v>514131.42669762718</v>
      </c>
      <c r="K121" s="7"/>
    </row>
    <row r="122" spans="1:11" x14ac:dyDescent="0.25">
      <c r="A122" s="1" t="s">
        <v>17</v>
      </c>
      <c r="B122" s="2">
        <v>201204</v>
      </c>
      <c r="C122" s="2">
        <v>201301</v>
      </c>
      <c r="D122" s="10">
        <v>166111.206000178</v>
      </c>
      <c r="E122" s="10">
        <v>467350.19050375849</v>
      </c>
      <c r="F122" s="1">
        <v>2334</v>
      </c>
      <c r="G122" s="1">
        <v>2489</v>
      </c>
      <c r="H122">
        <f t="shared" si="3"/>
        <v>2012</v>
      </c>
      <c r="I122">
        <f t="shared" si="4"/>
        <v>2013</v>
      </c>
      <c r="J122" s="7">
        <f t="shared" si="5"/>
        <v>633461.3965039365</v>
      </c>
      <c r="K122" s="7"/>
    </row>
    <row r="123" spans="1:11" x14ac:dyDescent="0.25">
      <c r="A123" s="1" t="s">
        <v>17</v>
      </c>
      <c r="B123" s="2">
        <v>201204</v>
      </c>
      <c r="C123" s="2">
        <v>201302</v>
      </c>
      <c r="D123" s="10">
        <v>123048.68155492052</v>
      </c>
      <c r="E123" s="10">
        <v>522503.32939472608</v>
      </c>
      <c r="F123" s="1">
        <v>592</v>
      </c>
      <c r="G123" s="1">
        <v>2045</v>
      </c>
      <c r="H123">
        <f t="shared" si="3"/>
        <v>2012</v>
      </c>
      <c r="I123">
        <f t="shared" si="4"/>
        <v>2013</v>
      </c>
      <c r="J123" s="7">
        <f t="shared" si="5"/>
        <v>645552.01094964659</v>
      </c>
      <c r="K123" s="7"/>
    </row>
    <row r="124" spans="1:11" x14ac:dyDescent="0.25">
      <c r="A124" s="1" t="s">
        <v>17</v>
      </c>
      <c r="B124" s="2">
        <v>201204</v>
      </c>
      <c r="C124" s="2">
        <v>201303</v>
      </c>
      <c r="D124" s="10">
        <v>62881.776541655061</v>
      </c>
      <c r="E124" s="10">
        <v>545557.98534244159</v>
      </c>
      <c r="F124" s="1">
        <v>204</v>
      </c>
      <c r="G124" s="1">
        <v>1761</v>
      </c>
      <c r="H124">
        <f t="shared" si="3"/>
        <v>2012</v>
      </c>
      <c r="I124">
        <f t="shared" si="4"/>
        <v>2013</v>
      </c>
      <c r="J124" s="7">
        <f t="shared" si="5"/>
        <v>608439.76188409666</v>
      </c>
      <c r="K124" s="7"/>
    </row>
    <row r="125" spans="1:11" x14ac:dyDescent="0.25">
      <c r="A125" s="1" t="s">
        <v>17</v>
      </c>
      <c r="B125" s="2">
        <v>201204</v>
      </c>
      <c r="C125" s="2">
        <v>201304</v>
      </c>
      <c r="D125" s="10">
        <v>49668.614450909023</v>
      </c>
      <c r="E125" s="10">
        <v>563125.98658928461</v>
      </c>
      <c r="F125" s="1">
        <v>132</v>
      </c>
      <c r="G125" s="1">
        <v>1454</v>
      </c>
      <c r="H125">
        <f t="shared" si="3"/>
        <v>2012</v>
      </c>
      <c r="I125">
        <f t="shared" si="4"/>
        <v>2013</v>
      </c>
      <c r="J125" s="7">
        <f t="shared" si="5"/>
        <v>612794.60104019358</v>
      </c>
      <c r="K125" s="7"/>
    </row>
    <row r="126" spans="1:11" x14ac:dyDescent="0.25">
      <c r="A126" s="1" t="s">
        <v>17</v>
      </c>
      <c r="B126" s="2">
        <v>201204</v>
      </c>
      <c r="C126" s="2">
        <v>201401</v>
      </c>
      <c r="D126" s="10">
        <v>33064.7872234073</v>
      </c>
      <c r="E126" s="10">
        <v>492653.13642208057</v>
      </c>
      <c r="F126" s="1">
        <v>70</v>
      </c>
      <c r="G126" s="1">
        <v>1275</v>
      </c>
      <c r="H126">
        <f t="shared" si="3"/>
        <v>2012</v>
      </c>
      <c r="I126">
        <f t="shared" si="4"/>
        <v>2014</v>
      </c>
      <c r="J126" s="7">
        <f t="shared" si="5"/>
        <v>525717.92364548787</v>
      </c>
      <c r="K126" s="7"/>
    </row>
    <row r="127" spans="1:11" x14ac:dyDescent="0.25">
      <c r="A127" s="1" t="s">
        <v>17</v>
      </c>
      <c r="B127" s="2">
        <v>201204</v>
      </c>
      <c r="C127" s="2">
        <v>201402</v>
      </c>
      <c r="D127" s="10">
        <v>20098.095826100678</v>
      </c>
      <c r="E127" s="10">
        <v>489215.50695820997</v>
      </c>
      <c r="F127" s="1">
        <v>49</v>
      </c>
      <c r="G127" s="1">
        <v>1153</v>
      </c>
      <c r="H127">
        <f t="shared" si="3"/>
        <v>2012</v>
      </c>
      <c r="I127">
        <f t="shared" si="4"/>
        <v>2014</v>
      </c>
      <c r="J127" s="7">
        <f t="shared" si="5"/>
        <v>509313.60278431064</v>
      </c>
      <c r="K127" s="7"/>
    </row>
    <row r="128" spans="1:11" x14ac:dyDescent="0.25">
      <c r="A128" s="1" t="s">
        <v>17</v>
      </c>
      <c r="B128" s="2">
        <v>201204</v>
      </c>
      <c r="C128" s="2">
        <v>201403</v>
      </c>
      <c r="D128" s="10">
        <v>26266.703965767349</v>
      </c>
      <c r="E128" s="10">
        <v>510479.03609029111</v>
      </c>
      <c r="F128" s="1">
        <v>40</v>
      </c>
      <c r="G128" s="1">
        <v>1073</v>
      </c>
      <c r="H128">
        <f t="shared" si="3"/>
        <v>2012</v>
      </c>
      <c r="I128">
        <f t="shared" si="4"/>
        <v>2014</v>
      </c>
      <c r="J128" s="7">
        <f t="shared" si="5"/>
        <v>536745.74005605851</v>
      </c>
      <c r="K128" s="7"/>
    </row>
    <row r="129" spans="1:11" x14ac:dyDescent="0.25">
      <c r="A129" s="1" t="s">
        <v>17</v>
      </c>
      <c r="B129" s="2">
        <v>201204</v>
      </c>
      <c r="C129" s="2">
        <v>201404</v>
      </c>
      <c r="D129" s="10">
        <v>43784.033606028104</v>
      </c>
      <c r="E129" s="10">
        <v>498989.26351454126</v>
      </c>
      <c r="F129" s="1">
        <v>31</v>
      </c>
      <c r="G129" s="1">
        <v>894</v>
      </c>
      <c r="H129">
        <f t="shared" si="3"/>
        <v>2012</v>
      </c>
      <c r="I129">
        <f t="shared" si="4"/>
        <v>2014</v>
      </c>
      <c r="J129" s="7">
        <f t="shared" si="5"/>
        <v>542773.29712056939</v>
      </c>
      <c r="K129" s="7"/>
    </row>
    <row r="130" spans="1:11" x14ac:dyDescent="0.25">
      <c r="A130" s="1" t="s">
        <v>17</v>
      </c>
      <c r="B130" s="2">
        <v>201204</v>
      </c>
      <c r="C130" s="2">
        <v>201501</v>
      </c>
      <c r="D130" s="10">
        <v>18326.41967384535</v>
      </c>
      <c r="E130" s="10">
        <v>436838.41486494598</v>
      </c>
      <c r="F130" s="1">
        <v>24</v>
      </c>
      <c r="G130" s="1">
        <v>840</v>
      </c>
      <c r="H130">
        <f t="shared" si="3"/>
        <v>2012</v>
      </c>
      <c r="I130">
        <f t="shared" si="4"/>
        <v>2015</v>
      </c>
      <c r="J130" s="7">
        <f t="shared" si="5"/>
        <v>455164.83453879133</v>
      </c>
      <c r="K130" s="7"/>
    </row>
    <row r="131" spans="1:11" x14ac:dyDescent="0.25">
      <c r="A131" s="1" t="s">
        <v>17</v>
      </c>
      <c r="B131" s="2">
        <v>201204</v>
      </c>
      <c r="C131" s="2">
        <v>201502</v>
      </c>
      <c r="D131" s="10">
        <v>25629.639594520428</v>
      </c>
      <c r="E131" s="10">
        <v>384894.75543692085</v>
      </c>
      <c r="F131" s="1">
        <v>29</v>
      </c>
      <c r="G131" s="1">
        <v>761</v>
      </c>
      <c r="H131">
        <f t="shared" si="3"/>
        <v>2012</v>
      </c>
      <c r="I131">
        <f t="shared" si="4"/>
        <v>2015</v>
      </c>
      <c r="J131" s="7">
        <f t="shared" si="5"/>
        <v>410524.39503144129</v>
      </c>
      <c r="K131" s="7"/>
    </row>
    <row r="132" spans="1:11" x14ac:dyDescent="0.25">
      <c r="A132" s="1" t="s">
        <v>17</v>
      </c>
      <c r="B132" s="2">
        <v>201204</v>
      </c>
      <c r="C132" s="2">
        <v>201503</v>
      </c>
      <c r="D132" s="10">
        <v>27614.200039054052</v>
      </c>
      <c r="E132" s="10">
        <v>355553.0556515163</v>
      </c>
      <c r="F132" s="1">
        <v>13</v>
      </c>
      <c r="G132" s="1">
        <v>691</v>
      </c>
      <c r="H132">
        <f t="shared" ref="H132:H195" si="6">VALUE(LEFT(B132,4))</f>
        <v>2012</v>
      </c>
      <c r="I132">
        <f t="shared" ref="I132:I195" si="7">VALUE(LEFT(C132,4))</f>
        <v>2015</v>
      </c>
      <c r="J132" s="7">
        <f t="shared" si="5"/>
        <v>383167.25569057034</v>
      </c>
      <c r="K132" s="7"/>
    </row>
    <row r="133" spans="1:11" x14ac:dyDescent="0.25">
      <c r="A133" s="1" t="s">
        <v>17</v>
      </c>
      <c r="B133" s="2">
        <v>201204</v>
      </c>
      <c r="C133" s="2">
        <v>201504</v>
      </c>
      <c r="D133" s="10">
        <v>17289.488802858672</v>
      </c>
      <c r="E133" s="10">
        <v>419780.84773712605</v>
      </c>
      <c r="F133" s="1">
        <v>28</v>
      </c>
      <c r="G133" s="1">
        <v>618</v>
      </c>
      <c r="H133">
        <f t="shared" si="6"/>
        <v>2012</v>
      </c>
      <c r="I133">
        <f t="shared" si="7"/>
        <v>2015</v>
      </c>
      <c r="J133" s="7">
        <f t="shared" ref="J133:J196" si="8">D133+E133</f>
        <v>437070.33653998474</v>
      </c>
      <c r="K133" s="7"/>
    </row>
    <row r="134" spans="1:11" x14ac:dyDescent="0.25">
      <c r="A134" s="1" t="s">
        <v>17</v>
      </c>
      <c r="B134" s="2">
        <v>201204</v>
      </c>
      <c r="C134" s="2">
        <v>201601</v>
      </c>
      <c r="D134" s="10">
        <v>26071.93154947025</v>
      </c>
      <c r="E134" s="10">
        <v>359097.71886058006</v>
      </c>
      <c r="F134" s="1">
        <v>9</v>
      </c>
      <c r="G134" s="1">
        <v>528</v>
      </c>
      <c r="H134">
        <f t="shared" si="6"/>
        <v>2012</v>
      </c>
      <c r="I134">
        <f t="shared" si="7"/>
        <v>2016</v>
      </c>
      <c r="J134" s="7">
        <f t="shared" si="8"/>
        <v>385169.65041005029</v>
      </c>
      <c r="K134" s="7"/>
    </row>
    <row r="135" spans="1:11" x14ac:dyDescent="0.25">
      <c r="A135" s="1" t="s">
        <v>17</v>
      </c>
      <c r="B135" s="2">
        <v>201204</v>
      </c>
      <c r="C135" s="2">
        <v>201602</v>
      </c>
      <c r="D135" s="10">
        <v>15195.872245938295</v>
      </c>
      <c r="E135" s="10">
        <v>375764.20000348415</v>
      </c>
      <c r="F135" s="1">
        <v>9</v>
      </c>
      <c r="G135" s="1">
        <v>513</v>
      </c>
      <c r="H135">
        <f t="shared" si="6"/>
        <v>2012</v>
      </c>
      <c r="I135">
        <f t="shared" si="7"/>
        <v>2016</v>
      </c>
      <c r="J135" s="7">
        <f t="shared" si="8"/>
        <v>390960.07224942243</v>
      </c>
      <c r="K135" s="7"/>
    </row>
    <row r="136" spans="1:11" x14ac:dyDescent="0.25">
      <c r="A136" s="1" t="s">
        <v>17</v>
      </c>
      <c r="B136" s="2">
        <v>201204</v>
      </c>
      <c r="C136" s="2">
        <v>201603</v>
      </c>
      <c r="D136" s="10">
        <v>4798.6008182085598</v>
      </c>
      <c r="E136" s="10">
        <v>354197.72258461319</v>
      </c>
      <c r="F136" s="1">
        <v>2</v>
      </c>
      <c r="G136" s="1">
        <v>450</v>
      </c>
      <c r="H136">
        <f t="shared" si="6"/>
        <v>2012</v>
      </c>
      <c r="I136">
        <f t="shared" si="7"/>
        <v>2016</v>
      </c>
      <c r="J136" s="7">
        <f t="shared" si="8"/>
        <v>358996.32340282173</v>
      </c>
      <c r="K136" s="7"/>
    </row>
    <row r="137" spans="1:11" x14ac:dyDescent="0.25">
      <c r="A137" s="1" t="s">
        <v>17</v>
      </c>
      <c r="B137" s="2">
        <v>201204</v>
      </c>
      <c r="C137" s="2">
        <v>201604</v>
      </c>
      <c r="D137" s="10">
        <v>10066.125009971869</v>
      </c>
      <c r="E137" s="10">
        <v>381772.87687811191</v>
      </c>
      <c r="F137" s="1">
        <v>12</v>
      </c>
      <c r="G137" s="1">
        <v>339</v>
      </c>
      <c r="H137">
        <f t="shared" si="6"/>
        <v>2012</v>
      </c>
      <c r="I137">
        <f t="shared" si="7"/>
        <v>2016</v>
      </c>
      <c r="J137" s="7">
        <f t="shared" si="8"/>
        <v>391839.00188808376</v>
      </c>
      <c r="K137" s="7"/>
    </row>
    <row r="138" spans="1:11" x14ac:dyDescent="0.25">
      <c r="A138" s="1" t="s">
        <v>17</v>
      </c>
      <c r="B138" s="2">
        <v>201204</v>
      </c>
      <c r="C138" s="2">
        <v>201701</v>
      </c>
      <c r="D138" s="10">
        <v>9636.5145449650136</v>
      </c>
      <c r="E138" s="10">
        <v>361863.86542373663</v>
      </c>
      <c r="F138" s="1">
        <v>7</v>
      </c>
      <c r="G138" s="1">
        <v>288</v>
      </c>
      <c r="H138">
        <f t="shared" si="6"/>
        <v>2012</v>
      </c>
      <c r="I138">
        <f t="shared" si="7"/>
        <v>2017</v>
      </c>
      <c r="J138" s="7">
        <f t="shared" si="8"/>
        <v>371500.37996870163</v>
      </c>
      <c r="K138" s="7"/>
    </row>
    <row r="139" spans="1:11" x14ac:dyDescent="0.25">
      <c r="A139" s="1" t="s">
        <v>17</v>
      </c>
      <c r="B139" s="2">
        <v>201204</v>
      </c>
      <c r="C139" s="2">
        <v>201702</v>
      </c>
      <c r="D139" s="10">
        <v>32720.993815909191</v>
      </c>
      <c r="E139" s="10">
        <v>309285.00136860309</v>
      </c>
      <c r="F139" s="1">
        <v>5</v>
      </c>
      <c r="G139" s="1">
        <v>277</v>
      </c>
      <c r="H139">
        <f t="shared" si="6"/>
        <v>2012</v>
      </c>
      <c r="I139">
        <f t="shared" si="7"/>
        <v>2017</v>
      </c>
      <c r="J139" s="7">
        <f t="shared" si="8"/>
        <v>342005.99518451229</v>
      </c>
      <c r="K139" s="7"/>
    </row>
    <row r="140" spans="1:11" x14ac:dyDescent="0.25">
      <c r="A140" s="1" t="s">
        <v>17</v>
      </c>
      <c r="B140" s="2">
        <v>201204</v>
      </c>
      <c r="C140" s="2">
        <v>201703</v>
      </c>
      <c r="D140" s="10">
        <v>35514.387608520476</v>
      </c>
      <c r="E140" s="10">
        <v>293277.8462348553</v>
      </c>
      <c r="F140" s="1">
        <v>4</v>
      </c>
      <c r="G140" s="1">
        <v>205</v>
      </c>
      <c r="H140">
        <f t="shared" si="6"/>
        <v>2012</v>
      </c>
      <c r="I140">
        <f t="shared" si="7"/>
        <v>2017</v>
      </c>
      <c r="J140" s="7">
        <f t="shared" si="8"/>
        <v>328792.23384337575</v>
      </c>
      <c r="K140" s="7"/>
    </row>
    <row r="141" spans="1:11" x14ac:dyDescent="0.25">
      <c r="A141" s="1" t="s">
        <v>17</v>
      </c>
      <c r="B141" s="2">
        <v>201204</v>
      </c>
      <c r="C141" s="2">
        <v>201704</v>
      </c>
      <c r="D141" s="10">
        <v>18855.835503874678</v>
      </c>
      <c r="E141" s="10">
        <v>257976.63241060078</v>
      </c>
      <c r="F141" s="1">
        <v>1</v>
      </c>
      <c r="G141" s="1">
        <v>147</v>
      </c>
      <c r="H141">
        <f t="shared" si="6"/>
        <v>2012</v>
      </c>
      <c r="I141">
        <f t="shared" si="7"/>
        <v>2017</v>
      </c>
      <c r="J141" s="7">
        <f t="shared" si="8"/>
        <v>276832.46791447548</v>
      </c>
      <c r="K141" s="7"/>
    </row>
    <row r="142" spans="1:11" x14ac:dyDescent="0.25">
      <c r="A142" s="1" t="s">
        <v>17</v>
      </c>
      <c r="B142" s="2">
        <v>201204</v>
      </c>
      <c r="C142" s="2">
        <v>201801</v>
      </c>
      <c r="D142" s="10">
        <v>7665.4893512920034</v>
      </c>
      <c r="E142" s="10">
        <v>233264.61451033712</v>
      </c>
      <c r="F142" s="1">
        <v>4</v>
      </c>
      <c r="G142" s="1">
        <v>138</v>
      </c>
      <c r="H142">
        <f t="shared" si="6"/>
        <v>2012</v>
      </c>
      <c r="I142">
        <f t="shared" si="7"/>
        <v>2018</v>
      </c>
      <c r="J142" s="7">
        <f t="shared" si="8"/>
        <v>240930.10386162912</v>
      </c>
      <c r="K142" s="7"/>
    </row>
    <row r="143" spans="1:11" x14ac:dyDescent="0.25">
      <c r="A143" s="1" t="s">
        <v>17</v>
      </c>
      <c r="B143" s="2">
        <v>201204</v>
      </c>
      <c r="C143" s="2">
        <v>201802</v>
      </c>
      <c r="D143" s="10">
        <v>41995.77501547015</v>
      </c>
      <c r="E143" s="10">
        <v>253408.09587316503</v>
      </c>
      <c r="F143" s="1">
        <v>4</v>
      </c>
      <c r="G143" s="1">
        <v>136</v>
      </c>
      <c r="H143">
        <f t="shared" si="6"/>
        <v>2012</v>
      </c>
      <c r="I143">
        <f t="shared" si="7"/>
        <v>2018</v>
      </c>
      <c r="J143" s="7">
        <f t="shared" si="8"/>
        <v>295403.87088863517</v>
      </c>
      <c r="K143" s="7"/>
    </row>
    <row r="144" spans="1:11" x14ac:dyDescent="0.25">
      <c r="A144" s="1" t="s">
        <v>17</v>
      </c>
      <c r="B144" s="2">
        <v>201204</v>
      </c>
      <c r="C144" s="2">
        <v>201803</v>
      </c>
      <c r="D144" s="10">
        <v>9930.6056271752896</v>
      </c>
      <c r="E144" s="10">
        <v>233717.78370155231</v>
      </c>
      <c r="F144" s="1">
        <v>1</v>
      </c>
      <c r="G144" s="1">
        <v>128</v>
      </c>
      <c r="H144">
        <f t="shared" si="6"/>
        <v>2012</v>
      </c>
      <c r="I144">
        <f t="shared" si="7"/>
        <v>2018</v>
      </c>
      <c r="J144" s="7">
        <f t="shared" si="8"/>
        <v>243648.38932872762</v>
      </c>
      <c r="K144" s="7"/>
    </row>
    <row r="145" spans="1:11" x14ac:dyDescent="0.25">
      <c r="A145" s="1" t="s">
        <v>17</v>
      </c>
      <c r="B145" s="2">
        <v>201204</v>
      </c>
      <c r="C145" s="2">
        <v>201804</v>
      </c>
      <c r="D145" s="10">
        <v>20583.451081276708</v>
      </c>
      <c r="E145" s="10">
        <v>212277.57717449282</v>
      </c>
      <c r="F145" s="1">
        <v>3</v>
      </c>
      <c r="G145" s="1">
        <v>109</v>
      </c>
      <c r="H145">
        <f t="shared" si="6"/>
        <v>2012</v>
      </c>
      <c r="I145">
        <f t="shared" si="7"/>
        <v>2018</v>
      </c>
      <c r="J145" s="7">
        <f t="shared" si="8"/>
        <v>232861.02825576952</v>
      </c>
      <c r="K145" s="7"/>
    </row>
    <row r="146" spans="1:11" x14ac:dyDescent="0.25">
      <c r="A146" s="1" t="s">
        <v>17</v>
      </c>
      <c r="B146" s="2">
        <v>201204</v>
      </c>
      <c r="C146" s="2">
        <v>201901</v>
      </c>
      <c r="D146" s="10">
        <v>3199.7625134439977</v>
      </c>
      <c r="E146" s="10">
        <v>203727.03923322653</v>
      </c>
      <c r="F146" s="1">
        <v>2</v>
      </c>
      <c r="G146" s="1">
        <v>99</v>
      </c>
      <c r="H146">
        <f t="shared" si="6"/>
        <v>2012</v>
      </c>
      <c r="I146">
        <f t="shared" si="7"/>
        <v>2019</v>
      </c>
      <c r="J146" s="7">
        <f t="shared" si="8"/>
        <v>206926.80174667054</v>
      </c>
      <c r="K146" s="7"/>
    </row>
    <row r="147" spans="1:11" x14ac:dyDescent="0.25">
      <c r="A147" s="1" t="s">
        <v>17</v>
      </c>
      <c r="B147" s="2">
        <v>201204</v>
      </c>
      <c r="C147" s="2">
        <v>201902</v>
      </c>
      <c r="D147" s="10">
        <v>5202.5313567190942</v>
      </c>
      <c r="E147" s="10">
        <v>199893.36492878789</v>
      </c>
      <c r="F147" s="1">
        <v>2</v>
      </c>
      <c r="G147" s="1">
        <v>95</v>
      </c>
      <c r="H147">
        <f t="shared" si="6"/>
        <v>2012</v>
      </c>
      <c r="I147">
        <f t="shared" si="7"/>
        <v>2019</v>
      </c>
      <c r="J147" s="7">
        <f t="shared" si="8"/>
        <v>205095.89628550698</v>
      </c>
      <c r="K147" s="7"/>
    </row>
    <row r="148" spans="1:11" x14ac:dyDescent="0.25">
      <c r="A148" s="1" t="s">
        <v>17</v>
      </c>
      <c r="B148" s="2">
        <v>201204</v>
      </c>
      <c r="C148" s="2">
        <v>201903</v>
      </c>
      <c r="D148" s="10">
        <v>-1713.4945945015918</v>
      </c>
      <c r="E148" s="10">
        <v>194796.68321152453</v>
      </c>
      <c r="F148" s="1">
        <v>0</v>
      </c>
      <c r="G148" s="1">
        <v>85</v>
      </c>
      <c r="H148">
        <f t="shared" si="6"/>
        <v>2012</v>
      </c>
      <c r="I148">
        <f t="shared" si="7"/>
        <v>2019</v>
      </c>
      <c r="J148" s="7">
        <f t="shared" si="8"/>
        <v>193083.18861702294</v>
      </c>
      <c r="K148" s="7"/>
    </row>
    <row r="149" spans="1:11" x14ac:dyDescent="0.25">
      <c r="A149" s="1" t="s">
        <v>17</v>
      </c>
      <c r="B149" s="2">
        <v>201204</v>
      </c>
      <c r="C149" s="2">
        <v>201904</v>
      </c>
      <c r="D149" s="10">
        <v>4199.9606573047786</v>
      </c>
      <c r="E149" s="10">
        <v>198234.84109647246</v>
      </c>
      <c r="F149" s="1">
        <v>2</v>
      </c>
      <c r="G149" s="1">
        <v>84</v>
      </c>
      <c r="H149">
        <f t="shared" si="6"/>
        <v>2012</v>
      </c>
      <c r="I149">
        <f t="shared" si="7"/>
        <v>2019</v>
      </c>
      <c r="J149" s="7">
        <f t="shared" si="8"/>
        <v>202434.80175377725</v>
      </c>
      <c r="K149" s="7"/>
    </row>
    <row r="150" spans="1:11" x14ac:dyDescent="0.25">
      <c r="A150" s="1" t="s">
        <v>17</v>
      </c>
      <c r="B150" s="2">
        <v>201204</v>
      </c>
      <c r="C150" s="2">
        <v>202001</v>
      </c>
      <c r="D150" s="10">
        <v>4109.227174250459</v>
      </c>
      <c r="E150" s="10">
        <v>182719.98352718994</v>
      </c>
      <c r="F150" s="1">
        <v>0</v>
      </c>
      <c r="G150" s="1">
        <v>77</v>
      </c>
      <c r="H150">
        <f t="shared" si="6"/>
        <v>2012</v>
      </c>
      <c r="I150">
        <f t="shared" si="7"/>
        <v>2020</v>
      </c>
      <c r="J150" s="7">
        <f t="shared" si="8"/>
        <v>186829.2107014404</v>
      </c>
      <c r="K150" s="7"/>
    </row>
    <row r="151" spans="1:11" x14ac:dyDescent="0.25">
      <c r="A151" s="1" t="s">
        <v>17</v>
      </c>
      <c r="B151" s="2">
        <v>201204</v>
      </c>
      <c r="C151" s="2">
        <v>202002</v>
      </c>
      <c r="D151" s="10">
        <v>1392.5257435118438</v>
      </c>
      <c r="E151" s="10">
        <v>183480.30931199493</v>
      </c>
      <c r="F151" s="1">
        <v>1</v>
      </c>
      <c r="G151" s="1">
        <v>71</v>
      </c>
      <c r="H151">
        <f t="shared" si="6"/>
        <v>2012</v>
      </c>
      <c r="I151">
        <f t="shared" si="7"/>
        <v>2020</v>
      </c>
      <c r="J151" s="7">
        <f t="shared" si="8"/>
        <v>184872.83505550679</v>
      </c>
      <c r="K151" s="7"/>
    </row>
    <row r="152" spans="1:11" x14ac:dyDescent="0.25">
      <c r="A152" s="1" t="s">
        <v>17</v>
      </c>
      <c r="B152" s="2">
        <v>201204</v>
      </c>
      <c r="C152" s="2">
        <v>202003</v>
      </c>
      <c r="D152" s="10">
        <v>2445.4862980856369</v>
      </c>
      <c r="E152" s="10">
        <v>177826.39955572921</v>
      </c>
      <c r="F152" s="1">
        <v>2</v>
      </c>
      <c r="G152" s="1">
        <v>64</v>
      </c>
      <c r="H152">
        <f t="shared" si="6"/>
        <v>2012</v>
      </c>
      <c r="I152">
        <f t="shared" si="7"/>
        <v>2020</v>
      </c>
      <c r="J152" s="7">
        <f t="shared" si="8"/>
        <v>180271.88585381483</v>
      </c>
      <c r="K152" s="7"/>
    </row>
    <row r="153" spans="1:11" x14ac:dyDescent="0.25">
      <c r="A153" s="1" t="s">
        <v>17</v>
      </c>
      <c r="B153" s="2">
        <v>201204</v>
      </c>
      <c r="C153" s="2">
        <v>202004</v>
      </c>
      <c r="D153" s="10">
        <v>1186.5750380245543</v>
      </c>
      <c r="E153" s="10">
        <v>170372.11517304761</v>
      </c>
      <c r="F153" s="1">
        <v>0</v>
      </c>
      <c r="G153" s="1">
        <v>58</v>
      </c>
      <c r="H153">
        <f t="shared" si="6"/>
        <v>2012</v>
      </c>
      <c r="I153">
        <f t="shared" si="7"/>
        <v>2020</v>
      </c>
      <c r="J153" s="7">
        <f t="shared" si="8"/>
        <v>171558.69021107216</v>
      </c>
      <c r="K153" s="7"/>
    </row>
    <row r="154" spans="1:11" x14ac:dyDescent="0.25">
      <c r="A154" s="1" t="s">
        <v>17</v>
      </c>
      <c r="B154" s="2">
        <v>201204</v>
      </c>
      <c r="C154" s="2">
        <v>202101</v>
      </c>
      <c r="D154" s="10">
        <v>40545.759567085777</v>
      </c>
      <c r="E154" s="10">
        <v>167327.47486464353</v>
      </c>
      <c r="F154" s="1">
        <v>1</v>
      </c>
      <c r="G154" s="1">
        <v>57</v>
      </c>
      <c r="H154">
        <f t="shared" si="6"/>
        <v>2012</v>
      </c>
      <c r="I154">
        <f t="shared" si="7"/>
        <v>2021</v>
      </c>
      <c r="J154" s="7">
        <f t="shared" si="8"/>
        <v>207873.2344317293</v>
      </c>
      <c r="K154" s="7"/>
    </row>
    <row r="155" spans="1:11" x14ac:dyDescent="0.25">
      <c r="A155" s="1" t="s">
        <v>17</v>
      </c>
      <c r="B155" s="2">
        <v>201204</v>
      </c>
      <c r="C155" s="2">
        <v>202102</v>
      </c>
      <c r="D155" s="10">
        <v>1034.2081542165588</v>
      </c>
      <c r="E155" s="10">
        <v>167621.89380877101</v>
      </c>
      <c r="F155" s="1">
        <v>1</v>
      </c>
      <c r="G155" s="1">
        <v>55</v>
      </c>
      <c r="H155">
        <f t="shared" si="6"/>
        <v>2012</v>
      </c>
      <c r="I155">
        <f t="shared" si="7"/>
        <v>2021</v>
      </c>
      <c r="J155" s="7">
        <f t="shared" si="8"/>
        <v>168656.10196298757</v>
      </c>
      <c r="K155" s="7"/>
    </row>
    <row r="156" spans="1:11" x14ac:dyDescent="0.25">
      <c r="A156" s="1" t="s">
        <v>17</v>
      </c>
      <c r="B156" s="2">
        <v>201204</v>
      </c>
      <c r="C156" s="2">
        <v>202103</v>
      </c>
      <c r="D156" s="10">
        <v>5766.5754486820315</v>
      </c>
      <c r="E156" s="10">
        <v>167706.50779838994</v>
      </c>
      <c r="F156" s="1">
        <v>2</v>
      </c>
      <c r="G156" s="1">
        <v>51</v>
      </c>
      <c r="H156">
        <f t="shared" si="6"/>
        <v>2012</v>
      </c>
      <c r="I156">
        <f t="shared" si="7"/>
        <v>2021</v>
      </c>
      <c r="J156" s="7">
        <f t="shared" si="8"/>
        <v>173473.08324707198</v>
      </c>
      <c r="K156" s="7"/>
    </row>
    <row r="157" spans="1:11" x14ac:dyDescent="0.25">
      <c r="A157" s="1" t="s">
        <v>17</v>
      </c>
      <c r="B157" s="2">
        <v>201204</v>
      </c>
      <c r="C157" s="2">
        <v>202104</v>
      </c>
      <c r="D157" s="10">
        <v>1144.12994286612</v>
      </c>
      <c r="E157" s="10">
        <v>131689.36162986874</v>
      </c>
      <c r="F157" s="1">
        <v>0</v>
      </c>
      <c r="G157" s="1">
        <v>48</v>
      </c>
      <c r="H157">
        <f t="shared" si="6"/>
        <v>2012</v>
      </c>
      <c r="I157">
        <f t="shared" si="7"/>
        <v>2021</v>
      </c>
      <c r="J157" s="7">
        <f t="shared" si="8"/>
        <v>132833.49157273487</v>
      </c>
      <c r="K157" s="7"/>
    </row>
    <row r="158" spans="1:11" x14ac:dyDescent="0.25">
      <c r="A158" s="1" t="s">
        <v>17</v>
      </c>
      <c r="B158" s="2">
        <v>201301</v>
      </c>
      <c r="C158" s="2">
        <v>201301</v>
      </c>
      <c r="D158" s="10">
        <v>89028.230022785356</v>
      </c>
      <c r="E158" s="10">
        <v>443007.63782754721</v>
      </c>
      <c r="F158" s="1">
        <v>4438</v>
      </c>
      <c r="G158" s="1">
        <v>2770</v>
      </c>
      <c r="H158">
        <f t="shared" si="6"/>
        <v>2013</v>
      </c>
      <c r="I158">
        <f t="shared" si="7"/>
        <v>2013</v>
      </c>
      <c r="J158" s="7">
        <f t="shared" si="8"/>
        <v>532035.86785033252</v>
      </c>
      <c r="K158" s="7"/>
    </row>
    <row r="159" spans="1:11" x14ac:dyDescent="0.25">
      <c r="A159" s="1" t="s">
        <v>17</v>
      </c>
      <c r="B159" s="2">
        <v>201301</v>
      </c>
      <c r="C159" s="2">
        <v>201302</v>
      </c>
      <c r="D159" s="10">
        <v>232450.62852510475</v>
      </c>
      <c r="E159" s="10">
        <v>629884.59953521367</v>
      </c>
      <c r="F159" s="1">
        <v>2604</v>
      </c>
      <c r="G159" s="1">
        <v>2984</v>
      </c>
      <c r="H159">
        <f t="shared" si="6"/>
        <v>2013</v>
      </c>
      <c r="I159">
        <f t="shared" si="7"/>
        <v>2013</v>
      </c>
      <c r="J159" s="7">
        <f t="shared" si="8"/>
        <v>862335.22806031839</v>
      </c>
      <c r="K159" s="7"/>
    </row>
    <row r="160" spans="1:11" x14ac:dyDescent="0.25">
      <c r="A160" s="1" t="s">
        <v>17</v>
      </c>
      <c r="B160" s="2">
        <v>201301</v>
      </c>
      <c r="C160" s="2">
        <v>201303</v>
      </c>
      <c r="D160" s="10">
        <v>149885.98131376409</v>
      </c>
      <c r="E160" s="10">
        <v>689785.0198154822</v>
      </c>
      <c r="F160" s="1">
        <v>636</v>
      </c>
      <c r="G160" s="1">
        <v>2597</v>
      </c>
      <c r="H160">
        <f t="shared" si="6"/>
        <v>2013</v>
      </c>
      <c r="I160">
        <f t="shared" si="7"/>
        <v>2013</v>
      </c>
      <c r="J160" s="7">
        <f t="shared" si="8"/>
        <v>839671.00112924632</v>
      </c>
      <c r="K160" s="7"/>
    </row>
    <row r="161" spans="1:11" x14ac:dyDescent="0.25">
      <c r="A161" s="1" t="s">
        <v>17</v>
      </c>
      <c r="B161" s="2">
        <v>201301</v>
      </c>
      <c r="C161" s="2">
        <v>201304</v>
      </c>
      <c r="D161" s="10">
        <v>116934.61757550226</v>
      </c>
      <c r="E161" s="10">
        <v>866999.98033833702</v>
      </c>
      <c r="F161" s="1">
        <v>359</v>
      </c>
      <c r="G161" s="1">
        <v>2205</v>
      </c>
      <c r="H161">
        <f t="shared" si="6"/>
        <v>2013</v>
      </c>
      <c r="I161">
        <f t="shared" si="7"/>
        <v>2013</v>
      </c>
      <c r="J161" s="7">
        <f t="shared" si="8"/>
        <v>983934.59791383927</v>
      </c>
      <c r="K161" s="7"/>
    </row>
    <row r="162" spans="1:11" x14ac:dyDescent="0.25">
      <c r="A162" s="1" t="s">
        <v>17</v>
      </c>
      <c r="B162" s="2">
        <v>201301</v>
      </c>
      <c r="C162" s="2">
        <v>201401</v>
      </c>
      <c r="D162" s="10">
        <v>83922.555542723348</v>
      </c>
      <c r="E162" s="10">
        <v>802571.31234268227</v>
      </c>
      <c r="F162" s="1">
        <v>221</v>
      </c>
      <c r="G162" s="1">
        <v>2055</v>
      </c>
      <c r="H162">
        <f t="shared" si="6"/>
        <v>2013</v>
      </c>
      <c r="I162">
        <f t="shared" si="7"/>
        <v>2014</v>
      </c>
      <c r="J162" s="7">
        <f t="shared" si="8"/>
        <v>886493.86788540566</v>
      </c>
      <c r="K162" s="7"/>
    </row>
    <row r="163" spans="1:11" x14ac:dyDescent="0.25">
      <c r="A163" s="1" t="s">
        <v>17</v>
      </c>
      <c r="B163" s="2">
        <v>201301</v>
      </c>
      <c r="C163" s="2">
        <v>201402</v>
      </c>
      <c r="D163" s="10">
        <v>55688.764911658502</v>
      </c>
      <c r="E163" s="10">
        <v>779219.93904511374</v>
      </c>
      <c r="F163" s="1">
        <v>132</v>
      </c>
      <c r="G163" s="1">
        <v>1821</v>
      </c>
      <c r="H163">
        <f t="shared" si="6"/>
        <v>2013</v>
      </c>
      <c r="I163">
        <f t="shared" si="7"/>
        <v>2014</v>
      </c>
      <c r="J163" s="7">
        <f t="shared" si="8"/>
        <v>834908.70395677222</v>
      </c>
      <c r="K163" s="7"/>
    </row>
    <row r="164" spans="1:11" x14ac:dyDescent="0.25">
      <c r="A164" s="1" t="s">
        <v>17</v>
      </c>
      <c r="B164" s="2">
        <v>201301</v>
      </c>
      <c r="C164" s="2">
        <v>201403</v>
      </c>
      <c r="D164" s="10">
        <v>40750.160314857407</v>
      </c>
      <c r="E164" s="10">
        <v>804834.8479027953</v>
      </c>
      <c r="F164" s="1">
        <v>87</v>
      </c>
      <c r="G164" s="1">
        <v>1710</v>
      </c>
      <c r="H164">
        <f t="shared" si="6"/>
        <v>2013</v>
      </c>
      <c r="I164">
        <f t="shared" si="7"/>
        <v>2014</v>
      </c>
      <c r="J164" s="7">
        <f t="shared" si="8"/>
        <v>845585.00821765268</v>
      </c>
      <c r="K164" s="7"/>
    </row>
    <row r="165" spans="1:11" x14ac:dyDescent="0.25">
      <c r="A165" s="1" t="s">
        <v>17</v>
      </c>
      <c r="B165" s="2">
        <v>201301</v>
      </c>
      <c r="C165" s="2">
        <v>201404</v>
      </c>
      <c r="D165" s="10">
        <v>50499.187737796994</v>
      </c>
      <c r="E165" s="10">
        <v>842978.61696493649</v>
      </c>
      <c r="F165" s="1">
        <v>75</v>
      </c>
      <c r="G165" s="1">
        <v>1392</v>
      </c>
      <c r="H165">
        <f t="shared" si="6"/>
        <v>2013</v>
      </c>
      <c r="I165">
        <f t="shared" si="7"/>
        <v>2014</v>
      </c>
      <c r="J165" s="7">
        <f t="shared" si="8"/>
        <v>893477.80470273353</v>
      </c>
      <c r="K165" s="7"/>
    </row>
    <row r="166" spans="1:11" x14ac:dyDescent="0.25">
      <c r="A166" s="1" t="s">
        <v>17</v>
      </c>
      <c r="B166" s="2">
        <v>201301</v>
      </c>
      <c r="C166" s="2">
        <v>201501</v>
      </c>
      <c r="D166" s="10">
        <v>42482.239679118407</v>
      </c>
      <c r="E166" s="10">
        <v>823487.50065916521</v>
      </c>
      <c r="F166" s="1">
        <v>72</v>
      </c>
      <c r="G166" s="1">
        <v>1298</v>
      </c>
      <c r="H166">
        <f t="shared" si="6"/>
        <v>2013</v>
      </c>
      <c r="I166">
        <f t="shared" si="7"/>
        <v>2015</v>
      </c>
      <c r="J166" s="7">
        <f t="shared" si="8"/>
        <v>865969.74033828359</v>
      </c>
      <c r="K166" s="7"/>
    </row>
    <row r="167" spans="1:11" x14ac:dyDescent="0.25">
      <c r="A167" s="1" t="s">
        <v>17</v>
      </c>
      <c r="B167" s="2">
        <v>201301</v>
      </c>
      <c r="C167" s="2">
        <v>201502</v>
      </c>
      <c r="D167" s="10">
        <v>51799.990809816263</v>
      </c>
      <c r="E167" s="10">
        <v>830663.31993339211</v>
      </c>
      <c r="F167" s="1">
        <v>51</v>
      </c>
      <c r="G167" s="1">
        <v>1202</v>
      </c>
      <c r="H167">
        <f t="shared" si="6"/>
        <v>2013</v>
      </c>
      <c r="I167">
        <f t="shared" si="7"/>
        <v>2015</v>
      </c>
      <c r="J167" s="7">
        <f t="shared" si="8"/>
        <v>882463.31074320839</v>
      </c>
      <c r="K167" s="7"/>
    </row>
    <row r="168" spans="1:11" x14ac:dyDescent="0.25">
      <c r="A168" s="1" t="s">
        <v>17</v>
      </c>
      <c r="B168" s="2">
        <v>201301</v>
      </c>
      <c r="C168" s="2">
        <v>201503</v>
      </c>
      <c r="D168" s="10">
        <v>30468.452877808788</v>
      </c>
      <c r="E168" s="10">
        <v>819416.57821942715</v>
      </c>
      <c r="F168" s="1">
        <v>34</v>
      </c>
      <c r="G168" s="1">
        <v>1144</v>
      </c>
      <c r="H168">
        <f t="shared" si="6"/>
        <v>2013</v>
      </c>
      <c r="I168">
        <f t="shared" si="7"/>
        <v>2015</v>
      </c>
      <c r="J168" s="7">
        <f t="shared" si="8"/>
        <v>849885.03109723597</v>
      </c>
      <c r="K168" s="7"/>
    </row>
    <row r="169" spans="1:11" x14ac:dyDescent="0.25">
      <c r="A169" s="1" t="s">
        <v>17</v>
      </c>
      <c r="B169" s="2">
        <v>201301</v>
      </c>
      <c r="C169" s="2">
        <v>201504</v>
      </c>
      <c r="D169" s="10">
        <v>41084.386953753674</v>
      </c>
      <c r="E169" s="10">
        <v>829760.41946591251</v>
      </c>
      <c r="F169" s="1">
        <v>56</v>
      </c>
      <c r="G169" s="1">
        <v>1064</v>
      </c>
      <c r="H169">
        <f t="shared" si="6"/>
        <v>2013</v>
      </c>
      <c r="I169">
        <f t="shared" si="7"/>
        <v>2015</v>
      </c>
      <c r="J169" s="7">
        <f t="shared" si="8"/>
        <v>870844.80641966616</v>
      </c>
      <c r="K169" s="7"/>
    </row>
    <row r="170" spans="1:11" x14ac:dyDescent="0.25">
      <c r="A170" s="1" t="s">
        <v>17</v>
      </c>
      <c r="B170" s="2">
        <v>201301</v>
      </c>
      <c r="C170" s="2">
        <v>201601</v>
      </c>
      <c r="D170" s="10">
        <v>42154.72106901947</v>
      </c>
      <c r="E170" s="10">
        <v>862529.8116511167</v>
      </c>
      <c r="F170" s="1">
        <v>38</v>
      </c>
      <c r="G170" s="1">
        <v>988</v>
      </c>
      <c r="H170">
        <f t="shared" si="6"/>
        <v>2013</v>
      </c>
      <c r="I170">
        <f t="shared" si="7"/>
        <v>2016</v>
      </c>
      <c r="J170" s="7">
        <f t="shared" si="8"/>
        <v>904684.53272013622</v>
      </c>
      <c r="K170" s="7"/>
    </row>
    <row r="171" spans="1:11" x14ac:dyDescent="0.25">
      <c r="A171" s="1" t="s">
        <v>17</v>
      </c>
      <c r="B171" s="2">
        <v>201301</v>
      </c>
      <c r="C171" s="2">
        <v>201602</v>
      </c>
      <c r="D171" s="10">
        <v>28626.511530984324</v>
      </c>
      <c r="E171" s="10">
        <v>849658.87440231163</v>
      </c>
      <c r="F171" s="1">
        <v>32</v>
      </c>
      <c r="G171" s="1">
        <v>914</v>
      </c>
      <c r="H171">
        <f t="shared" si="6"/>
        <v>2013</v>
      </c>
      <c r="I171">
        <f t="shared" si="7"/>
        <v>2016</v>
      </c>
      <c r="J171" s="7">
        <f t="shared" si="8"/>
        <v>878285.38593329594</v>
      </c>
      <c r="K171" s="7"/>
    </row>
    <row r="172" spans="1:11" x14ac:dyDescent="0.25">
      <c r="A172" s="1" t="s">
        <v>17</v>
      </c>
      <c r="B172" s="2">
        <v>201301</v>
      </c>
      <c r="C172" s="2">
        <v>201603</v>
      </c>
      <c r="D172" s="10">
        <v>19912.5546647595</v>
      </c>
      <c r="E172" s="10">
        <v>823224.96569604985</v>
      </c>
      <c r="F172" s="1">
        <v>28</v>
      </c>
      <c r="G172" s="1">
        <v>805</v>
      </c>
      <c r="H172">
        <f t="shared" si="6"/>
        <v>2013</v>
      </c>
      <c r="I172">
        <f t="shared" si="7"/>
        <v>2016</v>
      </c>
      <c r="J172" s="7">
        <f t="shared" si="8"/>
        <v>843137.5203608094</v>
      </c>
      <c r="K172" s="7"/>
    </row>
    <row r="173" spans="1:11" x14ac:dyDescent="0.25">
      <c r="A173" s="1" t="s">
        <v>17</v>
      </c>
      <c r="B173" s="2">
        <v>201301</v>
      </c>
      <c r="C173" s="2">
        <v>201604</v>
      </c>
      <c r="D173" s="10">
        <v>29891.140980890723</v>
      </c>
      <c r="E173" s="10">
        <v>801993.99588489858</v>
      </c>
      <c r="F173" s="1">
        <v>19</v>
      </c>
      <c r="G173" s="1">
        <v>600</v>
      </c>
      <c r="H173">
        <f t="shared" si="6"/>
        <v>2013</v>
      </c>
      <c r="I173">
        <f t="shared" si="7"/>
        <v>2016</v>
      </c>
      <c r="J173" s="7">
        <f t="shared" si="8"/>
        <v>831885.1368657893</v>
      </c>
      <c r="K173" s="7"/>
    </row>
    <row r="174" spans="1:11" x14ac:dyDescent="0.25">
      <c r="A174" s="1" t="s">
        <v>17</v>
      </c>
      <c r="B174" s="2">
        <v>201301</v>
      </c>
      <c r="C174" s="2">
        <v>201701</v>
      </c>
      <c r="D174" s="10">
        <v>15758.037818101649</v>
      </c>
      <c r="E174" s="10">
        <v>798314.67978353065</v>
      </c>
      <c r="F174" s="1">
        <v>24</v>
      </c>
      <c r="G174" s="1">
        <v>544</v>
      </c>
      <c r="H174">
        <f t="shared" si="6"/>
        <v>2013</v>
      </c>
      <c r="I174">
        <f t="shared" si="7"/>
        <v>2017</v>
      </c>
      <c r="J174" s="7">
        <f t="shared" si="8"/>
        <v>814072.71760163235</v>
      </c>
      <c r="K174" s="7"/>
    </row>
    <row r="175" spans="1:11" x14ac:dyDescent="0.25">
      <c r="A175" s="1" t="s">
        <v>17</v>
      </c>
      <c r="B175" s="2">
        <v>201301</v>
      </c>
      <c r="C175" s="2">
        <v>201702</v>
      </c>
      <c r="D175" s="10">
        <v>37976.111592085719</v>
      </c>
      <c r="E175" s="10">
        <v>785561.13470658497</v>
      </c>
      <c r="F175" s="1">
        <v>15</v>
      </c>
      <c r="G175" s="1">
        <v>526</v>
      </c>
      <c r="H175">
        <f t="shared" si="6"/>
        <v>2013</v>
      </c>
      <c r="I175">
        <f t="shared" si="7"/>
        <v>2017</v>
      </c>
      <c r="J175" s="7">
        <f t="shared" si="8"/>
        <v>823537.24629867065</v>
      </c>
      <c r="K175" s="7"/>
    </row>
    <row r="176" spans="1:11" x14ac:dyDescent="0.25">
      <c r="A176" s="1" t="s">
        <v>17</v>
      </c>
      <c r="B176" s="2">
        <v>201301</v>
      </c>
      <c r="C176" s="2">
        <v>201703</v>
      </c>
      <c r="D176" s="10">
        <v>12659.312962510414</v>
      </c>
      <c r="E176" s="10">
        <v>788426.97712802596</v>
      </c>
      <c r="F176" s="1">
        <v>18</v>
      </c>
      <c r="G176" s="1">
        <v>443</v>
      </c>
      <c r="H176">
        <f t="shared" si="6"/>
        <v>2013</v>
      </c>
      <c r="I176">
        <f t="shared" si="7"/>
        <v>2017</v>
      </c>
      <c r="J176" s="7">
        <f t="shared" si="8"/>
        <v>801086.29009053635</v>
      </c>
      <c r="K176" s="7"/>
    </row>
    <row r="177" spans="1:11" x14ac:dyDescent="0.25">
      <c r="A177" s="1" t="s">
        <v>17</v>
      </c>
      <c r="B177" s="2">
        <v>201301</v>
      </c>
      <c r="C177" s="2">
        <v>201704</v>
      </c>
      <c r="D177" s="10">
        <v>9248.4814441602375</v>
      </c>
      <c r="E177" s="10">
        <v>725989.75493503548</v>
      </c>
      <c r="F177" s="1">
        <v>13</v>
      </c>
      <c r="G177" s="1">
        <v>377</v>
      </c>
      <c r="H177">
        <f t="shared" si="6"/>
        <v>2013</v>
      </c>
      <c r="I177">
        <f t="shared" si="7"/>
        <v>2017</v>
      </c>
      <c r="J177" s="7">
        <f t="shared" si="8"/>
        <v>735238.2363791957</v>
      </c>
      <c r="K177" s="7"/>
    </row>
    <row r="178" spans="1:11" x14ac:dyDescent="0.25">
      <c r="A178" s="1" t="s">
        <v>17</v>
      </c>
      <c r="B178" s="2">
        <v>201301</v>
      </c>
      <c r="C178" s="2">
        <v>201801</v>
      </c>
      <c r="D178" s="10">
        <v>59341.129399966063</v>
      </c>
      <c r="E178" s="10">
        <v>683646.70076922164</v>
      </c>
      <c r="F178" s="1">
        <v>10</v>
      </c>
      <c r="G178" s="1">
        <v>360</v>
      </c>
      <c r="H178">
        <f t="shared" si="6"/>
        <v>2013</v>
      </c>
      <c r="I178">
        <f t="shared" si="7"/>
        <v>2018</v>
      </c>
      <c r="J178" s="7">
        <f t="shared" si="8"/>
        <v>742987.83016918774</v>
      </c>
      <c r="K178" s="7"/>
    </row>
    <row r="179" spans="1:11" x14ac:dyDescent="0.25">
      <c r="A179" s="1" t="s">
        <v>17</v>
      </c>
      <c r="B179" s="2">
        <v>201301</v>
      </c>
      <c r="C179" s="2">
        <v>201802</v>
      </c>
      <c r="D179" s="10">
        <v>48149.011945211409</v>
      </c>
      <c r="E179" s="10">
        <v>679952.11759904947</v>
      </c>
      <c r="F179" s="1">
        <v>10</v>
      </c>
      <c r="G179" s="1">
        <v>341</v>
      </c>
      <c r="H179">
        <f t="shared" si="6"/>
        <v>2013</v>
      </c>
      <c r="I179">
        <f t="shared" si="7"/>
        <v>2018</v>
      </c>
      <c r="J179" s="7">
        <f t="shared" si="8"/>
        <v>728101.12954426091</v>
      </c>
      <c r="K179" s="7"/>
    </row>
    <row r="180" spans="1:11" x14ac:dyDescent="0.25">
      <c r="A180" s="1" t="s">
        <v>17</v>
      </c>
      <c r="B180" s="2">
        <v>201301</v>
      </c>
      <c r="C180" s="2">
        <v>201803</v>
      </c>
      <c r="D180" s="10">
        <v>69368.458061190977</v>
      </c>
      <c r="E180" s="10">
        <v>642906.03064033599</v>
      </c>
      <c r="F180" s="1">
        <v>12</v>
      </c>
      <c r="G180" s="1">
        <v>348</v>
      </c>
      <c r="H180">
        <f t="shared" si="6"/>
        <v>2013</v>
      </c>
      <c r="I180">
        <f t="shared" si="7"/>
        <v>2018</v>
      </c>
      <c r="J180" s="7">
        <f t="shared" si="8"/>
        <v>712274.48870152701</v>
      </c>
      <c r="K180" s="7"/>
    </row>
    <row r="181" spans="1:11" x14ac:dyDescent="0.25">
      <c r="A181" s="1" t="s">
        <v>17</v>
      </c>
      <c r="B181" s="2">
        <v>201301</v>
      </c>
      <c r="C181" s="2">
        <v>201804</v>
      </c>
      <c r="D181" s="10">
        <v>47851.800628519275</v>
      </c>
      <c r="E181" s="10">
        <v>539893.0812635934</v>
      </c>
      <c r="F181" s="1">
        <v>9</v>
      </c>
      <c r="G181" s="1">
        <v>294</v>
      </c>
      <c r="H181">
        <f t="shared" si="6"/>
        <v>2013</v>
      </c>
      <c r="I181">
        <f t="shared" si="7"/>
        <v>2018</v>
      </c>
      <c r="J181" s="7">
        <f t="shared" si="8"/>
        <v>587744.88189211267</v>
      </c>
      <c r="K181" s="7"/>
    </row>
    <row r="182" spans="1:11" x14ac:dyDescent="0.25">
      <c r="A182" s="1" t="s">
        <v>17</v>
      </c>
      <c r="B182" s="2">
        <v>201301</v>
      </c>
      <c r="C182" s="2">
        <v>201901</v>
      </c>
      <c r="D182" s="10">
        <v>22977.090862234159</v>
      </c>
      <c r="E182" s="10">
        <v>486840.38152826676</v>
      </c>
      <c r="F182" s="1">
        <v>5</v>
      </c>
      <c r="G182" s="1">
        <v>271</v>
      </c>
      <c r="H182">
        <f t="shared" si="6"/>
        <v>2013</v>
      </c>
      <c r="I182">
        <f t="shared" si="7"/>
        <v>2019</v>
      </c>
      <c r="J182" s="7">
        <f t="shared" si="8"/>
        <v>509817.47239050095</v>
      </c>
      <c r="K182" s="7"/>
    </row>
    <row r="183" spans="1:11" x14ac:dyDescent="0.25">
      <c r="A183" s="1" t="s">
        <v>17</v>
      </c>
      <c r="B183" s="2">
        <v>201301</v>
      </c>
      <c r="C183" s="2">
        <v>201902</v>
      </c>
      <c r="D183" s="10">
        <v>21323.728424235087</v>
      </c>
      <c r="E183" s="10">
        <v>540449.78515614395</v>
      </c>
      <c r="F183" s="1">
        <v>10</v>
      </c>
      <c r="G183" s="1">
        <v>267</v>
      </c>
      <c r="H183">
        <f t="shared" si="6"/>
        <v>2013</v>
      </c>
      <c r="I183">
        <f t="shared" si="7"/>
        <v>2019</v>
      </c>
      <c r="J183" s="7">
        <f t="shared" si="8"/>
        <v>561773.51358037908</v>
      </c>
      <c r="K183" s="7"/>
    </row>
    <row r="184" spans="1:11" x14ac:dyDescent="0.25">
      <c r="A184" s="1" t="s">
        <v>17</v>
      </c>
      <c r="B184" s="2">
        <v>201301</v>
      </c>
      <c r="C184" s="2">
        <v>201903</v>
      </c>
      <c r="D184" s="10">
        <v>32209.505841460861</v>
      </c>
      <c r="E184" s="10">
        <v>489158.59357924928</v>
      </c>
      <c r="F184" s="1">
        <v>10</v>
      </c>
      <c r="G184" s="1">
        <v>254</v>
      </c>
      <c r="H184">
        <f t="shared" si="6"/>
        <v>2013</v>
      </c>
      <c r="I184">
        <f t="shared" si="7"/>
        <v>2019</v>
      </c>
      <c r="J184" s="7">
        <f t="shared" si="8"/>
        <v>521368.09942071012</v>
      </c>
      <c r="K184" s="7"/>
    </row>
    <row r="185" spans="1:11" x14ac:dyDescent="0.25">
      <c r="A185" s="1" t="s">
        <v>17</v>
      </c>
      <c r="B185" s="2">
        <v>201301</v>
      </c>
      <c r="C185" s="2">
        <v>201904</v>
      </c>
      <c r="D185" s="10">
        <v>30468.377371064056</v>
      </c>
      <c r="E185" s="10">
        <v>571507.35141891532</v>
      </c>
      <c r="F185" s="1">
        <v>7</v>
      </c>
      <c r="G185" s="1">
        <v>243</v>
      </c>
      <c r="H185">
        <f t="shared" si="6"/>
        <v>2013</v>
      </c>
      <c r="I185">
        <f t="shared" si="7"/>
        <v>2019</v>
      </c>
      <c r="J185" s="7">
        <f t="shared" si="8"/>
        <v>601975.72878997936</v>
      </c>
      <c r="K185" s="7"/>
    </row>
    <row r="186" spans="1:11" x14ac:dyDescent="0.25">
      <c r="A186" s="1" t="s">
        <v>17</v>
      </c>
      <c r="B186" s="2">
        <v>201301</v>
      </c>
      <c r="C186" s="2">
        <v>202001</v>
      </c>
      <c r="D186" s="10">
        <v>22933.764278565894</v>
      </c>
      <c r="E186" s="10">
        <v>609374.4552440492</v>
      </c>
      <c r="F186" s="1">
        <v>8</v>
      </c>
      <c r="G186" s="1">
        <v>230</v>
      </c>
      <c r="H186">
        <f t="shared" si="6"/>
        <v>2013</v>
      </c>
      <c r="I186">
        <f t="shared" si="7"/>
        <v>2020</v>
      </c>
      <c r="J186" s="7">
        <f t="shared" si="8"/>
        <v>632308.21952261508</v>
      </c>
      <c r="K186" s="7"/>
    </row>
    <row r="187" spans="1:11" x14ac:dyDescent="0.25">
      <c r="A187" s="1" t="s">
        <v>17</v>
      </c>
      <c r="B187" s="2">
        <v>201301</v>
      </c>
      <c r="C187" s="2">
        <v>202002</v>
      </c>
      <c r="D187" s="10">
        <v>61780.816271390169</v>
      </c>
      <c r="E187" s="10">
        <v>537026.2305689652</v>
      </c>
      <c r="F187" s="1">
        <v>2</v>
      </c>
      <c r="G187" s="1">
        <v>193</v>
      </c>
      <c r="H187">
        <f t="shared" si="6"/>
        <v>2013</v>
      </c>
      <c r="I187">
        <f t="shared" si="7"/>
        <v>2020</v>
      </c>
      <c r="J187" s="7">
        <f t="shared" si="8"/>
        <v>598807.04684035538</v>
      </c>
      <c r="K187" s="7"/>
    </row>
    <row r="188" spans="1:11" x14ac:dyDescent="0.25">
      <c r="A188" s="1" t="s">
        <v>17</v>
      </c>
      <c r="B188" s="2">
        <v>201301</v>
      </c>
      <c r="C188" s="2">
        <v>202003</v>
      </c>
      <c r="D188" s="10">
        <v>32069.860399491012</v>
      </c>
      <c r="E188" s="10">
        <v>475175.5847266732</v>
      </c>
      <c r="F188" s="1">
        <v>2</v>
      </c>
      <c r="G188" s="1">
        <v>168</v>
      </c>
      <c r="H188">
        <f t="shared" si="6"/>
        <v>2013</v>
      </c>
      <c r="I188">
        <f t="shared" si="7"/>
        <v>2020</v>
      </c>
      <c r="J188" s="7">
        <f t="shared" si="8"/>
        <v>507245.44512616424</v>
      </c>
      <c r="K188" s="7"/>
    </row>
    <row r="189" spans="1:11" x14ac:dyDescent="0.25">
      <c r="A189" s="1" t="s">
        <v>17</v>
      </c>
      <c r="B189" s="2">
        <v>201301</v>
      </c>
      <c r="C189" s="2">
        <v>202004</v>
      </c>
      <c r="D189" s="10">
        <v>12860.333290250564</v>
      </c>
      <c r="E189" s="10">
        <v>465998.1507588175</v>
      </c>
      <c r="F189" s="1">
        <v>5</v>
      </c>
      <c r="G189" s="1">
        <v>162</v>
      </c>
      <c r="H189">
        <f t="shared" si="6"/>
        <v>2013</v>
      </c>
      <c r="I189">
        <f t="shared" si="7"/>
        <v>2020</v>
      </c>
      <c r="J189" s="7">
        <f t="shared" si="8"/>
        <v>478858.48404906807</v>
      </c>
      <c r="K189" s="7"/>
    </row>
    <row r="190" spans="1:11" x14ac:dyDescent="0.25">
      <c r="A190" s="1" t="s">
        <v>17</v>
      </c>
      <c r="B190" s="2">
        <v>201301</v>
      </c>
      <c r="C190" s="2">
        <v>202101</v>
      </c>
      <c r="D190" s="10">
        <v>18781.446987342049</v>
      </c>
      <c r="E190" s="10">
        <v>463165.1866806497</v>
      </c>
      <c r="F190" s="1">
        <v>3</v>
      </c>
      <c r="G190" s="1">
        <v>149</v>
      </c>
      <c r="H190">
        <f t="shared" si="6"/>
        <v>2013</v>
      </c>
      <c r="I190">
        <f t="shared" si="7"/>
        <v>2021</v>
      </c>
      <c r="J190" s="7">
        <f t="shared" si="8"/>
        <v>481946.63366799173</v>
      </c>
      <c r="K190" s="7"/>
    </row>
    <row r="191" spans="1:11" x14ac:dyDescent="0.25">
      <c r="A191" s="1" t="s">
        <v>17</v>
      </c>
      <c r="B191" s="2">
        <v>201301</v>
      </c>
      <c r="C191" s="2">
        <v>202102</v>
      </c>
      <c r="D191" s="10">
        <v>2685.3109429314195</v>
      </c>
      <c r="E191" s="10">
        <v>465475.99047457444</v>
      </c>
      <c r="F191" s="1">
        <v>4</v>
      </c>
      <c r="G191" s="1">
        <v>145</v>
      </c>
      <c r="H191">
        <f t="shared" si="6"/>
        <v>2013</v>
      </c>
      <c r="I191">
        <f t="shared" si="7"/>
        <v>2021</v>
      </c>
      <c r="J191" s="7">
        <f t="shared" si="8"/>
        <v>468161.30141750583</v>
      </c>
      <c r="K191" s="7"/>
    </row>
    <row r="192" spans="1:11" x14ac:dyDescent="0.25">
      <c r="A192" s="1" t="s">
        <v>17</v>
      </c>
      <c r="B192" s="2">
        <v>201301</v>
      </c>
      <c r="C192" s="2">
        <v>202103</v>
      </c>
      <c r="D192" s="10">
        <v>19579.890278534822</v>
      </c>
      <c r="E192" s="10">
        <v>436973.19017864793</v>
      </c>
      <c r="F192" s="1">
        <v>1</v>
      </c>
      <c r="G192" s="1">
        <v>138</v>
      </c>
      <c r="H192">
        <f t="shared" si="6"/>
        <v>2013</v>
      </c>
      <c r="I192">
        <f t="shared" si="7"/>
        <v>2021</v>
      </c>
      <c r="J192" s="7">
        <f t="shared" si="8"/>
        <v>456553.08045718278</v>
      </c>
      <c r="K192" s="7"/>
    </row>
    <row r="193" spans="1:11" x14ac:dyDescent="0.25">
      <c r="A193" s="1" t="s">
        <v>17</v>
      </c>
      <c r="B193" s="2">
        <v>201301</v>
      </c>
      <c r="C193" s="2">
        <v>202104</v>
      </c>
      <c r="D193" s="10">
        <v>160625.30062017671</v>
      </c>
      <c r="E193" s="10">
        <v>268770.4723853789</v>
      </c>
      <c r="F193" s="1">
        <v>4</v>
      </c>
      <c r="G193" s="1">
        <v>129</v>
      </c>
      <c r="H193">
        <f t="shared" si="6"/>
        <v>2013</v>
      </c>
      <c r="I193">
        <f t="shared" si="7"/>
        <v>2021</v>
      </c>
      <c r="J193" s="7">
        <f t="shared" si="8"/>
        <v>429395.77300555562</v>
      </c>
      <c r="K193" s="7"/>
    </row>
    <row r="194" spans="1:11" x14ac:dyDescent="0.25">
      <c r="A194" s="1" t="s">
        <v>17</v>
      </c>
      <c r="B194" s="2">
        <v>201302</v>
      </c>
      <c r="C194" s="2">
        <v>201302</v>
      </c>
      <c r="D194" s="10">
        <v>81749.419083690707</v>
      </c>
      <c r="E194" s="10">
        <v>380422.02320705052</v>
      </c>
      <c r="F194" s="1">
        <v>4601</v>
      </c>
      <c r="G194" s="1">
        <v>2725</v>
      </c>
      <c r="H194">
        <f t="shared" si="6"/>
        <v>2013</v>
      </c>
      <c r="I194">
        <f t="shared" si="7"/>
        <v>2013</v>
      </c>
      <c r="J194" s="7">
        <f t="shared" si="8"/>
        <v>462171.44229074125</v>
      </c>
      <c r="K194" s="7"/>
    </row>
    <row r="195" spans="1:11" x14ac:dyDescent="0.25">
      <c r="A195" s="1" t="s">
        <v>17</v>
      </c>
      <c r="B195" s="2">
        <v>201302</v>
      </c>
      <c r="C195" s="2">
        <v>201303</v>
      </c>
      <c r="D195" s="10">
        <v>165327.554610094</v>
      </c>
      <c r="E195" s="10">
        <v>537432.85123334837</v>
      </c>
      <c r="F195" s="1">
        <v>2535</v>
      </c>
      <c r="G195" s="1">
        <v>2781</v>
      </c>
      <c r="H195">
        <f t="shared" si="6"/>
        <v>2013</v>
      </c>
      <c r="I195">
        <f t="shared" si="7"/>
        <v>2013</v>
      </c>
      <c r="J195" s="7">
        <f t="shared" si="8"/>
        <v>702760.40584344231</v>
      </c>
      <c r="K195" s="7"/>
    </row>
    <row r="196" spans="1:11" x14ac:dyDescent="0.25">
      <c r="A196" s="1" t="s">
        <v>17</v>
      </c>
      <c r="B196" s="2">
        <v>201302</v>
      </c>
      <c r="C196" s="2">
        <v>201304</v>
      </c>
      <c r="D196" s="10">
        <v>132239.87872831436</v>
      </c>
      <c r="E196" s="10">
        <v>551475.12195512373</v>
      </c>
      <c r="F196" s="1">
        <v>583</v>
      </c>
      <c r="G196" s="1">
        <v>2296</v>
      </c>
      <c r="H196">
        <f t="shared" ref="H196:H259" si="9">VALUE(LEFT(B196,4))</f>
        <v>2013</v>
      </c>
      <c r="I196">
        <f t="shared" ref="I196:I259" si="10">VALUE(LEFT(C196,4))</f>
        <v>2013</v>
      </c>
      <c r="J196" s="7">
        <f t="shared" si="8"/>
        <v>683715.00068343803</v>
      </c>
      <c r="K196" s="7"/>
    </row>
    <row r="197" spans="1:11" x14ac:dyDescent="0.25">
      <c r="A197" s="1" t="s">
        <v>17</v>
      </c>
      <c r="B197" s="2">
        <v>201302</v>
      </c>
      <c r="C197" s="2">
        <v>201401</v>
      </c>
      <c r="D197" s="10">
        <v>81580.239405852015</v>
      </c>
      <c r="E197" s="10">
        <v>593908.69966284605</v>
      </c>
      <c r="F197" s="1">
        <v>261</v>
      </c>
      <c r="G197" s="1">
        <v>2048</v>
      </c>
      <c r="H197">
        <f t="shared" si="9"/>
        <v>2013</v>
      </c>
      <c r="I197">
        <f t="shared" si="10"/>
        <v>2014</v>
      </c>
      <c r="J197" s="7">
        <f t="shared" ref="J197:J260" si="11">D197+E197</f>
        <v>675488.93906869809</v>
      </c>
      <c r="K197" s="7"/>
    </row>
    <row r="198" spans="1:11" x14ac:dyDescent="0.25">
      <c r="A198" s="1" t="s">
        <v>17</v>
      </c>
      <c r="B198" s="2">
        <v>201302</v>
      </c>
      <c r="C198" s="2">
        <v>201402</v>
      </c>
      <c r="D198" s="10">
        <v>36884.197479222763</v>
      </c>
      <c r="E198" s="10">
        <v>596062.52044753521</v>
      </c>
      <c r="F198" s="1">
        <v>130</v>
      </c>
      <c r="G198" s="1">
        <v>1815</v>
      </c>
      <c r="H198">
        <f t="shared" si="9"/>
        <v>2013</v>
      </c>
      <c r="I198">
        <f t="shared" si="10"/>
        <v>2014</v>
      </c>
      <c r="J198" s="7">
        <f t="shared" si="11"/>
        <v>632946.71792675799</v>
      </c>
      <c r="K198" s="7"/>
    </row>
    <row r="199" spans="1:11" x14ac:dyDescent="0.25">
      <c r="A199" s="1" t="s">
        <v>17</v>
      </c>
      <c r="B199" s="2">
        <v>201302</v>
      </c>
      <c r="C199" s="2">
        <v>201403</v>
      </c>
      <c r="D199" s="10">
        <v>42275.652889140845</v>
      </c>
      <c r="E199" s="10">
        <v>581832.50472424994</v>
      </c>
      <c r="F199" s="1">
        <v>99</v>
      </c>
      <c r="G199" s="1">
        <v>1658</v>
      </c>
      <c r="H199">
        <f t="shared" si="9"/>
        <v>2013</v>
      </c>
      <c r="I199">
        <f t="shared" si="10"/>
        <v>2014</v>
      </c>
      <c r="J199" s="7">
        <f t="shared" si="11"/>
        <v>624108.15761339082</v>
      </c>
      <c r="K199" s="7"/>
    </row>
    <row r="200" spans="1:11" x14ac:dyDescent="0.25">
      <c r="A200" s="1" t="s">
        <v>17</v>
      </c>
      <c r="B200" s="2">
        <v>201302</v>
      </c>
      <c r="C200" s="2">
        <v>201404</v>
      </c>
      <c r="D200" s="10">
        <v>41251.756296855965</v>
      </c>
      <c r="E200" s="10">
        <v>607851.58879228472</v>
      </c>
      <c r="F200" s="1">
        <v>61</v>
      </c>
      <c r="G200" s="1">
        <v>1286</v>
      </c>
      <c r="H200">
        <f t="shared" si="9"/>
        <v>2013</v>
      </c>
      <c r="I200">
        <f t="shared" si="10"/>
        <v>2014</v>
      </c>
      <c r="J200" s="7">
        <f t="shared" si="11"/>
        <v>649103.3450891407</v>
      </c>
      <c r="K200" s="7"/>
    </row>
    <row r="201" spans="1:11" x14ac:dyDescent="0.25">
      <c r="A201" s="1" t="s">
        <v>17</v>
      </c>
      <c r="B201" s="2">
        <v>201302</v>
      </c>
      <c r="C201" s="2">
        <v>201501</v>
      </c>
      <c r="D201" s="10">
        <v>45860.526328663313</v>
      </c>
      <c r="E201" s="10">
        <v>573612.51982009457</v>
      </c>
      <c r="F201" s="1">
        <v>49</v>
      </c>
      <c r="G201" s="1">
        <v>1136</v>
      </c>
      <c r="H201">
        <f t="shared" si="9"/>
        <v>2013</v>
      </c>
      <c r="I201">
        <f t="shared" si="10"/>
        <v>2015</v>
      </c>
      <c r="J201" s="7">
        <f t="shared" si="11"/>
        <v>619473.04614875792</v>
      </c>
      <c r="K201" s="7"/>
    </row>
    <row r="202" spans="1:11" x14ac:dyDescent="0.25">
      <c r="A202" s="1" t="s">
        <v>17</v>
      </c>
      <c r="B202" s="2">
        <v>201302</v>
      </c>
      <c r="C202" s="2">
        <v>201502</v>
      </c>
      <c r="D202" s="10">
        <v>19784.583920064819</v>
      </c>
      <c r="E202" s="10">
        <v>597036.57785130176</v>
      </c>
      <c r="F202" s="1">
        <v>33</v>
      </c>
      <c r="G202" s="1">
        <v>1053</v>
      </c>
      <c r="H202">
        <f t="shared" si="9"/>
        <v>2013</v>
      </c>
      <c r="I202">
        <f t="shared" si="10"/>
        <v>2015</v>
      </c>
      <c r="J202" s="7">
        <f t="shared" si="11"/>
        <v>616821.16177136661</v>
      </c>
      <c r="K202" s="7"/>
    </row>
    <row r="203" spans="1:11" x14ac:dyDescent="0.25">
      <c r="A203" s="1" t="s">
        <v>17</v>
      </c>
      <c r="B203" s="2">
        <v>201302</v>
      </c>
      <c r="C203" s="2">
        <v>201503</v>
      </c>
      <c r="D203" s="10">
        <v>39517.596863910236</v>
      </c>
      <c r="E203" s="10">
        <v>570306.38904423953</v>
      </c>
      <c r="F203" s="1">
        <v>24</v>
      </c>
      <c r="G203" s="1">
        <v>969</v>
      </c>
      <c r="H203">
        <f t="shared" si="9"/>
        <v>2013</v>
      </c>
      <c r="I203">
        <f t="shared" si="10"/>
        <v>2015</v>
      </c>
      <c r="J203" s="7">
        <f t="shared" si="11"/>
        <v>609823.98590814974</v>
      </c>
      <c r="K203" s="7"/>
    </row>
    <row r="204" spans="1:11" x14ac:dyDescent="0.25">
      <c r="A204" s="1" t="s">
        <v>17</v>
      </c>
      <c r="B204" s="2">
        <v>201302</v>
      </c>
      <c r="C204" s="2">
        <v>201504</v>
      </c>
      <c r="D204" s="10">
        <v>40486.944508555229</v>
      </c>
      <c r="E204" s="10">
        <v>538812.02583303733</v>
      </c>
      <c r="F204" s="1">
        <v>32</v>
      </c>
      <c r="G204" s="1">
        <v>891</v>
      </c>
      <c r="H204">
        <f t="shared" si="9"/>
        <v>2013</v>
      </c>
      <c r="I204">
        <f t="shared" si="10"/>
        <v>2015</v>
      </c>
      <c r="J204" s="7">
        <f t="shared" si="11"/>
        <v>579298.97034159256</v>
      </c>
      <c r="K204" s="7"/>
    </row>
    <row r="205" spans="1:11" x14ac:dyDescent="0.25">
      <c r="A205" s="1" t="s">
        <v>17</v>
      </c>
      <c r="B205" s="2">
        <v>201302</v>
      </c>
      <c r="C205" s="2">
        <v>201601</v>
      </c>
      <c r="D205" s="10">
        <v>14521.239222897861</v>
      </c>
      <c r="E205" s="10">
        <v>485046.45949060615</v>
      </c>
      <c r="F205" s="1">
        <v>19</v>
      </c>
      <c r="G205" s="1">
        <v>791</v>
      </c>
      <c r="H205">
        <f t="shared" si="9"/>
        <v>2013</v>
      </c>
      <c r="I205">
        <f t="shared" si="10"/>
        <v>2016</v>
      </c>
      <c r="J205" s="7">
        <f t="shared" si="11"/>
        <v>499567.69871350401</v>
      </c>
      <c r="K205" s="7"/>
    </row>
    <row r="206" spans="1:11" x14ac:dyDescent="0.25">
      <c r="A206" s="1" t="s">
        <v>17</v>
      </c>
      <c r="B206" s="2">
        <v>201302</v>
      </c>
      <c r="C206" s="2">
        <v>201602</v>
      </c>
      <c r="D206" s="10">
        <v>14051.334211868156</v>
      </c>
      <c r="E206" s="10">
        <v>491013.53804868279</v>
      </c>
      <c r="F206" s="1">
        <v>32</v>
      </c>
      <c r="G206" s="1">
        <v>789</v>
      </c>
      <c r="H206">
        <f t="shared" si="9"/>
        <v>2013</v>
      </c>
      <c r="I206">
        <f t="shared" si="10"/>
        <v>2016</v>
      </c>
      <c r="J206" s="7">
        <f t="shared" si="11"/>
        <v>505064.87226055097</v>
      </c>
      <c r="K206" s="7"/>
    </row>
    <row r="207" spans="1:11" x14ac:dyDescent="0.25">
      <c r="A207" s="1" t="s">
        <v>17</v>
      </c>
      <c r="B207" s="2">
        <v>201302</v>
      </c>
      <c r="C207" s="2">
        <v>201603</v>
      </c>
      <c r="D207" s="10">
        <v>12460.927311338188</v>
      </c>
      <c r="E207" s="10">
        <v>487621.12641626276</v>
      </c>
      <c r="F207" s="1">
        <v>13</v>
      </c>
      <c r="G207" s="1">
        <v>721</v>
      </c>
      <c r="H207">
        <f t="shared" si="9"/>
        <v>2013</v>
      </c>
      <c r="I207">
        <f t="shared" si="10"/>
        <v>2016</v>
      </c>
      <c r="J207" s="7">
        <f t="shared" si="11"/>
        <v>500082.05372760096</v>
      </c>
      <c r="K207" s="7"/>
    </row>
    <row r="208" spans="1:11" x14ac:dyDescent="0.25">
      <c r="A208" s="1" t="s">
        <v>17</v>
      </c>
      <c r="B208" s="2">
        <v>201302</v>
      </c>
      <c r="C208" s="2">
        <v>201604</v>
      </c>
      <c r="D208" s="10">
        <v>59647.268532810107</v>
      </c>
      <c r="E208" s="10">
        <v>600939.50461419986</v>
      </c>
      <c r="F208" s="1">
        <v>12</v>
      </c>
      <c r="G208" s="1">
        <v>486</v>
      </c>
      <c r="H208">
        <f t="shared" si="9"/>
        <v>2013</v>
      </c>
      <c r="I208">
        <f t="shared" si="10"/>
        <v>2016</v>
      </c>
      <c r="J208" s="7">
        <f t="shared" si="11"/>
        <v>660586.77314701001</v>
      </c>
      <c r="K208" s="7"/>
    </row>
    <row r="209" spans="1:11" x14ac:dyDescent="0.25">
      <c r="A209" s="1" t="s">
        <v>17</v>
      </c>
      <c r="B209" s="2">
        <v>201302</v>
      </c>
      <c r="C209" s="2">
        <v>201701</v>
      </c>
      <c r="D209" s="10">
        <v>18460.565491823378</v>
      </c>
      <c r="E209" s="10">
        <v>548220.30529946578</v>
      </c>
      <c r="F209" s="1">
        <v>11</v>
      </c>
      <c r="G209" s="1">
        <v>395</v>
      </c>
      <c r="H209">
        <f t="shared" si="9"/>
        <v>2013</v>
      </c>
      <c r="I209">
        <f t="shared" si="10"/>
        <v>2017</v>
      </c>
      <c r="J209" s="7">
        <f t="shared" si="11"/>
        <v>566680.87079128914</v>
      </c>
      <c r="K209" s="7"/>
    </row>
    <row r="210" spans="1:11" x14ac:dyDescent="0.25">
      <c r="A210" s="1" t="s">
        <v>17</v>
      </c>
      <c r="B210" s="2">
        <v>201302</v>
      </c>
      <c r="C210" s="2">
        <v>201702</v>
      </c>
      <c r="D210" s="10">
        <v>16693.162812992814</v>
      </c>
      <c r="E210" s="10">
        <v>560693.64788023767</v>
      </c>
      <c r="F210" s="1">
        <v>9</v>
      </c>
      <c r="G210" s="1">
        <v>391</v>
      </c>
      <c r="H210">
        <f t="shared" si="9"/>
        <v>2013</v>
      </c>
      <c r="I210">
        <f t="shared" si="10"/>
        <v>2017</v>
      </c>
      <c r="J210" s="7">
        <f t="shared" si="11"/>
        <v>577386.81069323048</v>
      </c>
      <c r="K210" s="7"/>
    </row>
    <row r="211" spans="1:11" x14ac:dyDescent="0.25">
      <c r="A211" s="1" t="s">
        <v>17</v>
      </c>
      <c r="B211" s="2">
        <v>201302</v>
      </c>
      <c r="C211" s="2">
        <v>201703</v>
      </c>
      <c r="D211" s="10">
        <v>26008.906609395657</v>
      </c>
      <c r="E211" s="10">
        <v>432213.74226440885</v>
      </c>
      <c r="F211" s="1">
        <v>5</v>
      </c>
      <c r="G211" s="1">
        <v>295</v>
      </c>
      <c r="H211">
        <f t="shared" si="9"/>
        <v>2013</v>
      </c>
      <c r="I211">
        <f t="shared" si="10"/>
        <v>2017</v>
      </c>
      <c r="J211" s="7">
        <f t="shared" si="11"/>
        <v>458222.64887380449</v>
      </c>
      <c r="K211" s="7"/>
    </row>
    <row r="212" spans="1:11" x14ac:dyDescent="0.25">
      <c r="A212" s="1" t="s">
        <v>17</v>
      </c>
      <c r="B212" s="2">
        <v>201302</v>
      </c>
      <c r="C212" s="2">
        <v>201704</v>
      </c>
      <c r="D212" s="10">
        <v>11974.559879887001</v>
      </c>
      <c r="E212" s="10">
        <v>376486.27015353309</v>
      </c>
      <c r="F212" s="1">
        <v>6</v>
      </c>
      <c r="G212" s="1">
        <v>218</v>
      </c>
      <c r="H212">
        <f t="shared" si="9"/>
        <v>2013</v>
      </c>
      <c r="I212">
        <f t="shared" si="10"/>
        <v>2017</v>
      </c>
      <c r="J212" s="7">
        <f t="shared" si="11"/>
        <v>388460.83003342006</v>
      </c>
      <c r="K212" s="7"/>
    </row>
    <row r="213" spans="1:11" x14ac:dyDescent="0.25">
      <c r="A213" s="1" t="s">
        <v>17</v>
      </c>
      <c r="B213" s="2">
        <v>201302</v>
      </c>
      <c r="C213" s="2">
        <v>201801</v>
      </c>
      <c r="D213" s="10">
        <v>4540.0514776476557</v>
      </c>
      <c r="E213" s="10">
        <v>367363.62294141622</v>
      </c>
      <c r="F213" s="1">
        <v>8</v>
      </c>
      <c r="G213" s="1">
        <v>207</v>
      </c>
      <c r="H213">
        <f t="shared" si="9"/>
        <v>2013</v>
      </c>
      <c r="I213">
        <f t="shared" si="10"/>
        <v>2018</v>
      </c>
      <c r="J213" s="7">
        <f t="shared" si="11"/>
        <v>371903.6744190639</v>
      </c>
      <c r="K213" s="7"/>
    </row>
    <row r="214" spans="1:11" x14ac:dyDescent="0.25">
      <c r="A214" s="1" t="s">
        <v>17</v>
      </c>
      <c r="B214" s="2">
        <v>201302</v>
      </c>
      <c r="C214" s="2">
        <v>201802</v>
      </c>
      <c r="D214" s="10">
        <v>7392.0743006844514</v>
      </c>
      <c r="E214" s="10">
        <v>376459.09474913211</v>
      </c>
      <c r="F214" s="1">
        <v>7</v>
      </c>
      <c r="G214" s="1">
        <v>196</v>
      </c>
      <c r="H214">
        <f t="shared" si="9"/>
        <v>2013</v>
      </c>
      <c r="I214">
        <f t="shared" si="10"/>
        <v>2018</v>
      </c>
      <c r="J214" s="7">
        <f t="shared" si="11"/>
        <v>383851.16904981656</v>
      </c>
      <c r="K214" s="7"/>
    </row>
    <row r="215" spans="1:11" x14ac:dyDescent="0.25">
      <c r="A215" s="1" t="s">
        <v>17</v>
      </c>
      <c r="B215" s="2">
        <v>201302</v>
      </c>
      <c r="C215" s="2">
        <v>201803</v>
      </c>
      <c r="D215" s="10">
        <v>13746.983418479091</v>
      </c>
      <c r="E215" s="10">
        <v>379084.65370255016</v>
      </c>
      <c r="F215" s="1">
        <v>5</v>
      </c>
      <c r="G215" s="1">
        <v>196</v>
      </c>
      <c r="H215">
        <f t="shared" si="9"/>
        <v>2013</v>
      </c>
      <c r="I215">
        <f t="shared" si="10"/>
        <v>2018</v>
      </c>
      <c r="J215" s="7">
        <f t="shared" si="11"/>
        <v>392831.63712102926</v>
      </c>
      <c r="K215" s="7"/>
    </row>
    <row r="216" spans="1:11" x14ac:dyDescent="0.25">
      <c r="A216" s="1" t="s">
        <v>17</v>
      </c>
      <c r="B216" s="2">
        <v>201302</v>
      </c>
      <c r="C216" s="2">
        <v>201804</v>
      </c>
      <c r="D216" s="10">
        <v>9694.5320489056994</v>
      </c>
      <c r="E216" s="10">
        <v>362348.87982755696</v>
      </c>
      <c r="F216" s="1">
        <v>1</v>
      </c>
      <c r="G216" s="1">
        <v>160</v>
      </c>
      <c r="H216">
        <f t="shared" si="9"/>
        <v>2013</v>
      </c>
      <c r="I216">
        <f t="shared" si="10"/>
        <v>2018</v>
      </c>
      <c r="J216" s="7">
        <f t="shared" si="11"/>
        <v>372043.41187646263</v>
      </c>
      <c r="K216" s="7"/>
    </row>
    <row r="217" spans="1:11" x14ac:dyDescent="0.25">
      <c r="A217" s="1" t="s">
        <v>17</v>
      </c>
      <c r="B217" s="2">
        <v>201302</v>
      </c>
      <c r="C217" s="2">
        <v>201901</v>
      </c>
      <c r="D217" s="10">
        <v>15058.5154635739</v>
      </c>
      <c r="E217" s="10">
        <v>348018.94358920201</v>
      </c>
      <c r="F217" s="1">
        <v>2</v>
      </c>
      <c r="G217" s="1">
        <v>145</v>
      </c>
      <c r="H217">
        <f t="shared" si="9"/>
        <v>2013</v>
      </c>
      <c r="I217">
        <f t="shared" si="10"/>
        <v>2019</v>
      </c>
      <c r="J217" s="7">
        <f t="shared" si="11"/>
        <v>363077.45905277593</v>
      </c>
      <c r="K217" s="7"/>
    </row>
    <row r="218" spans="1:11" x14ac:dyDescent="0.25">
      <c r="A218" s="1" t="s">
        <v>17</v>
      </c>
      <c r="B218" s="2">
        <v>201302</v>
      </c>
      <c r="C218" s="2">
        <v>201902</v>
      </c>
      <c r="D218" s="10">
        <v>8718.663479208215</v>
      </c>
      <c r="E218" s="10">
        <v>204919.46218034625</v>
      </c>
      <c r="F218" s="1">
        <v>3</v>
      </c>
      <c r="G218" s="1">
        <v>140</v>
      </c>
      <c r="H218">
        <f t="shared" si="9"/>
        <v>2013</v>
      </c>
      <c r="I218">
        <f t="shared" si="10"/>
        <v>2019</v>
      </c>
      <c r="J218" s="7">
        <f t="shared" si="11"/>
        <v>213638.12565955447</v>
      </c>
      <c r="K218" s="7"/>
    </row>
    <row r="219" spans="1:11" x14ac:dyDescent="0.25">
      <c r="A219" s="1" t="s">
        <v>17</v>
      </c>
      <c r="B219" s="2">
        <v>201302</v>
      </c>
      <c r="C219" s="2">
        <v>201903</v>
      </c>
      <c r="D219" s="10">
        <v>3298.5066063341455</v>
      </c>
      <c r="E219" s="10">
        <v>175979.23225160592</v>
      </c>
      <c r="F219" s="1">
        <v>3</v>
      </c>
      <c r="G219" s="1">
        <v>126</v>
      </c>
      <c r="H219">
        <f t="shared" si="9"/>
        <v>2013</v>
      </c>
      <c r="I219">
        <f t="shared" si="10"/>
        <v>2019</v>
      </c>
      <c r="J219" s="7">
        <f t="shared" si="11"/>
        <v>179277.73885794007</v>
      </c>
      <c r="K219" s="7"/>
    </row>
    <row r="220" spans="1:11" x14ac:dyDescent="0.25">
      <c r="A220" s="1" t="s">
        <v>17</v>
      </c>
      <c r="B220" s="2">
        <v>201302</v>
      </c>
      <c r="C220" s="2">
        <v>201904</v>
      </c>
      <c r="D220" s="10">
        <v>6640.0357615203493</v>
      </c>
      <c r="E220" s="10">
        <v>166654.45904440721</v>
      </c>
      <c r="F220" s="1">
        <v>4</v>
      </c>
      <c r="G220" s="1">
        <v>123</v>
      </c>
      <c r="H220">
        <f t="shared" si="9"/>
        <v>2013</v>
      </c>
      <c r="I220">
        <f t="shared" si="10"/>
        <v>2019</v>
      </c>
      <c r="J220" s="7">
        <f t="shared" si="11"/>
        <v>173294.49480592756</v>
      </c>
      <c r="K220" s="7"/>
    </row>
    <row r="221" spans="1:11" x14ac:dyDescent="0.25">
      <c r="A221" s="1" t="s">
        <v>17</v>
      </c>
      <c r="B221" s="2">
        <v>201302</v>
      </c>
      <c r="C221" s="2">
        <v>202001</v>
      </c>
      <c r="D221" s="10">
        <v>13302.112367046535</v>
      </c>
      <c r="E221" s="10">
        <v>156556.8826469653</v>
      </c>
      <c r="F221" s="1">
        <v>1</v>
      </c>
      <c r="G221" s="1">
        <v>108</v>
      </c>
      <c r="H221">
        <f t="shared" si="9"/>
        <v>2013</v>
      </c>
      <c r="I221">
        <f t="shared" si="10"/>
        <v>2020</v>
      </c>
      <c r="J221" s="7">
        <f t="shared" si="11"/>
        <v>169858.99501401183</v>
      </c>
      <c r="K221" s="7"/>
    </row>
    <row r="222" spans="1:11" x14ac:dyDescent="0.25">
      <c r="A222" s="1" t="s">
        <v>17</v>
      </c>
      <c r="B222" s="2">
        <v>201302</v>
      </c>
      <c r="C222" s="2">
        <v>202002</v>
      </c>
      <c r="D222" s="10">
        <v>10555.349663098539</v>
      </c>
      <c r="E222" s="10">
        <v>136439.10455073684</v>
      </c>
      <c r="F222" s="1">
        <v>1</v>
      </c>
      <c r="G222" s="1">
        <v>98</v>
      </c>
      <c r="H222">
        <f t="shared" si="9"/>
        <v>2013</v>
      </c>
      <c r="I222">
        <f t="shared" si="10"/>
        <v>2020</v>
      </c>
      <c r="J222" s="7">
        <f t="shared" si="11"/>
        <v>146994.45421383539</v>
      </c>
      <c r="K222" s="7"/>
    </row>
    <row r="223" spans="1:11" x14ac:dyDescent="0.25">
      <c r="A223" s="1" t="s">
        <v>17</v>
      </c>
      <c r="B223" s="2">
        <v>201302</v>
      </c>
      <c r="C223" s="2">
        <v>202003</v>
      </c>
      <c r="D223" s="10">
        <v>4426.2982833961905</v>
      </c>
      <c r="E223" s="10">
        <v>109375.48448109187</v>
      </c>
      <c r="F223" s="1">
        <v>2</v>
      </c>
      <c r="G223" s="1">
        <v>83</v>
      </c>
      <c r="H223">
        <f t="shared" si="9"/>
        <v>2013</v>
      </c>
      <c r="I223">
        <f t="shared" si="10"/>
        <v>2020</v>
      </c>
      <c r="J223" s="7">
        <f t="shared" si="11"/>
        <v>113801.78276448806</v>
      </c>
      <c r="K223" s="7"/>
    </row>
    <row r="224" spans="1:11" x14ac:dyDescent="0.25">
      <c r="A224" s="1" t="s">
        <v>17</v>
      </c>
      <c r="B224" s="2">
        <v>201302</v>
      </c>
      <c r="C224" s="2">
        <v>202004</v>
      </c>
      <c r="D224" s="10">
        <v>1451.5746357398596</v>
      </c>
      <c r="E224" s="10">
        <v>111306.79280945433</v>
      </c>
      <c r="F224" s="1">
        <v>3</v>
      </c>
      <c r="G224" s="1">
        <v>79</v>
      </c>
      <c r="H224">
        <f t="shared" si="9"/>
        <v>2013</v>
      </c>
      <c r="I224">
        <f t="shared" si="10"/>
        <v>2020</v>
      </c>
      <c r="J224" s="7">
        <f t="shared" si="11"/>
        <v>112758.36744519419</v>
      </c>
      <c r="K224" s="7"/>
    </row>
    <row r="225" spans="1:11" x14ac:dyDescent="0.25">
      <c r="A225" s="1" t="s">
        <v>17</v>
      </c>
      <c r="B225" s="2">
        <v>201302</v>
      </c>
      <c r="C225" s="2">
        <v>202101</v>
      </c>
      <c r="D225" s="10">
        <v>2753.9243063551153</v>
      </c>
      <c r="E225" s="10">
        <v>117124.77531556114</v>
      </c>
      <c r="F225" s="1">
        <v>2</v>
      </c>
      <c r="G225" s="1">
        <v>80</v>
      </c>
      <c r="H225">
        <f t="shared" si="9"/>
        <v>2013</v>
      </c>
      <c r="I225">
        <f t="shared" si="10"/>
        <v>2021</v>
      </c>
      <c r="J225" s="7">
        <f t="shared" si="11"/>
        <v>119878.69962191625</v>
      </c>
      <c r="K225" s="7"/>
    </row>
    <row r="226" spans="1:11" x14ac:dyDescent="0.25">
      <c r="A226" s="1" t="s">
        <v>17</v>
      </c>
      <c r="B226" s="2">
        <v>201302</v>
      </c>
      <c r="C226" s="2">
        <v>202102</v>
      </c>
      <c r="D226" s="10">
        <v>20182.510807462269</v>
      </c>
      <c r="E226" s="10">
        <v>117516.26413853619</v>
      </c>
      <c r="F226" s="1">
        <v>3</v>
      </c>
      <c r="G226" s="1">
        <v>75</v>
      </c>
      <c r="H226">
        <f t="shared" si="9"/>
        <v>2013</v>
      </c>
      <c r="I226">
        <f t="shared" si="10"/>
        <v>2021</v>
      </c>
      <c r="J226" s="7">
        <f t="shared" si="11"/>
        <v>137698.77494599845</v>
      </c>
      <c r="K226" s="7"/>
    </row>
    <row r="227" spans="1:11" x14ac:dyDescent="0.25">
      <c r="A227" s="1" t="s">
        <v>17</v>
      </c>
      <c r="B227" s="2">
        <v>201302</v>
      </c>
      <c r="C227" s="2">
        <v>202103</v>
      </c>
      <c r="D227" s="10">
        <v>6896.8698778899325</v>
      </c>
      <c r="E227" s="10">
        <v>120106.73193763455</v>
      </c>
      <c r="F227" s="1">
        <v>2</v>
      </c>
      <c r="G227" s="1">
        <v>73</v>
      </c>
      <c r="H227">
        <f t="shared" si="9"/>
        <v>2013</v>
      </c>
      <c r="I227">
        <f t="shared" si="10"/>
        <v>2021</v>
      </c>
      <c r="J227" s="7">
        <f t="shared" si="11"/>
        <v>127003.60181552448</v>
      </c>
      <c r="K227" s="7"/>
    </row>
    <row r="228" spans="1:11" x14ac:dyDescent="0.25">
      <c r="A228" s="1" t="s">
        <v>17</v>
      </c>
      <c r="B228" s="2">
        <v>201302</v>
      </c>
      <c r="C228" s="2">
        <v>202104</v>
      </c>
      <c r="D228" s="10">
        <v>4271.9313466784888</v>
      </c>
      <c r="E228" s="10">
        <v>82340.945029946786</v>
      </c>
      <c r="F228" s="1">
        <v>1</v>
      </c>
      <c r="G228" s="1">
        <v>68</v>
      </c>
      <c r="H228">
        <f t="shared" si="9"/>
        <v>2013</v>
      </c>
      <c r="I228">
        <f t="shared" si="10"/>
        <v>2021</v>
      </c>
      <c r="J228" s="7">
        <f t="shared" si="11"/>
        <v>86612.876376625281</v>
      </c>
      <c r="K228" s="7"/>
    </row>
    <row r="229" spans="1:11" x14ac:dyDescent="0.25">
      <c r="A229" s="1" t="s">
        <v>17</v>
      </c>
      <c r="B229" s="2">
        <v>201303</v>
      </c>
      <c r="C229" s="2">
        <v>201303</v>
      </c>
      <c r="D229" s="10">
        <v>84603.616594883191</v>
      </c>
      <c r="E229" s="10">
        <v>444549.15129810129</v>
      </c>
      <c r="F229" s="1">
        <v>4912</v>
      </c>
      <c r="G229" s="1">
        <v>3191</v>
      </c>
      <c r="H229">
        <f t="shared" si="9"/>
        <v>2013</v>
      </c>
      <c r="I229">
        <f t="shared" si="10"/>
        <v>2013</v>
      </c>
      <c r="J229" s="7">
        <f t="shared" si="11"/>
        <v>529152.76789298444</v>
      </c>
      <c r="K229" s="7"/>
    </row>
    <row r="230" spans="1:11" x14ac:dyDescent="0.25">
      <c r="A230" s="1" t="s">
        <v>17</v>
      </c>
      <c r="B230" s="2">
        <v>201303</v>
      </c>
      <c r="C230" s="2">
        <v>201304</v>
      </c>
      <c r="D230" s="10">
        <v>191261.66037876613</v>
      </c>
      <c r="E230" s="10">
        <v>654629.511603939</v>
      </c>
      <c r="F230" s="1">
        <v>2575</v>
      </c>
      <c r="G230" s="1">
        <v>3220</v>
      </c>
      <c r="H230">
        <f t="shared" si="9"/>
        <v>2013</v>
      </c>
      <c r="I230">
        <f t="shared" si="10"/>
        <v>2013</v>
      </c>
      <c r="J230" s="7">
        <f t="shared" si="11"/>
        <v>845891.17198270513</v>
      </c>
      <c r="K230" s="7"/>
    </row>
    <row r="231" spans="1:11" x14ac:dyDescent="0.25">
      <c r="A231" s="1" t="s">
        <v>17</v>
      </c>
      <c r="B231" s="2">
        <v>201303</v>
      </c>
      <c r="C231" s="2">
        <v>201401</v>
      </c>
      <c r="D231" s="10">
        <v>124801.95251214835</v>
      </c>
      <c r="E231" s="10">
        <v>593703.3352952057</v>
      </c>
      <c r="F231" s="1">
        <v>551</v>
      </c>
      <c r="G231" s="1">
        <v>2699</v>
      </c>
      <c r="H231">
        <f t="shared" si="9"/>
        <v>2013</v>
      </c>
      <c r="I231">
        <f t="shared" si="10"/>
        <v>2014</v>
      </c>
      <c r="J231" s="7">
        <f t="shared" si="11"/>
        <v>718505.28780735401</v>
      </c>
      <c r="K231" s="7"/>
    </row>
    <row r="232" spans="1:11" x14ac:dyDescent="0.25">
      <c r="A232" s="1" t="s">
        <v>17</v>
      </c>
      <c r="B232" s="2">
        <v>201303</v>
      </c>
      <c r="C232" s="2">
        <v>201402</v>
      </c>
      <c r="D232" s="10">
        <v>77491.284973786067</v>
      </c>
      <c r="E232" s="10">
        <v>583572.86695366073</v>
      </c>
      <c r="F232" s="1">
        <v>230</v>
      </c>
      <c r="G232" s="1">
        <v>2274</v>
      </c>
      <c r="H232">
        <f t="shared" si="9"/>
        <v>2013</v>
      </c>
      <c r="I232">
        <f t="shared" si="10"/>
        <v>2014</v>
      </c>
      <c r="J232" s="7">
        <f t="shared" si="11"/>
        <v>661064.15192744683</v>
      </c>
      <c r="K232" s="7"/>
    </row>
    <row r="233" spans="1:11" x14ac:dyDescent="0.25">
      <c r="A233" s="1" t="s">
        <v>17</v>
      </c>
      <c r="B233" s="2">
        <v>201303</v>
      </c>
      <c r="C233" s="2">
        <v>201403</v>
      </c>
      <c r="D233" s="10">
        <v>75130.764823643607</v>
      </c>
      <c r="E233" s="10">
        <v>567156.51777681662</v>
      </c>
      <c r="F233" s="1">
        <v>142</v>
      </c>
      <c r="G233" s="1">
        <v>2151</v>
      </c>
      <c r="H233">
        <f t="shared" si="9"/>
        <v>2013</v>
      </c>
      <c r="I233">
        <f t="shared" si="10"/>
        <v>2014</v>
      </c>
      <c r="J233" s="7">
        <f t="shared" si="11"/>
        <v>642287.28260046022</v>
      </c>
      <c r="K233" s="7"/>
    </row>
    <row r="234" spans="1:11" x14ac:dyDescent="0.25">
      <c r="A234" s="1" t="s">
        <v>17</v>
      </c>
      <c r="B234" s="2">
        <v>201303</v>
      </c>
      <c r="C234" s="2">
        <v>201404</v>
      </c>
      <c r="D234" s="10">
        <v>37440.230711732489</v>
      </c>
      <c r="E234" s="10">
        <v>610502.7563312886</v>
      </c>
      <c r="F234" s="1">
        <v>80</v>
      </c>
      <c r="G234" s="1">
        <v>1714</v>
      </c>
      <c r="H234">
        <f t="shared" si="9"/>
        <v>2013</v>
      </c>
      <c r="I234">
        <f t="shared" si="10"/>
        <v>2014</v>
      </c>
      <c r="J234" s="7">
        <f t="shared" si="11"/>
        <v>647942.98704302113</v>
      </c>
      <c r="K234" s="7"/>
    </row>
    <row r="235" spans="1:11" x14ac:dyDescent="0.25">
      <c r="A235" s="1" t="s">
        <v>17</v>
      </c>
      <c r="B235" s="2">
        <v>201303</v>
      </c>
      <c r="C235" s="2">
        <v>201501</v>
      </c>
      <c r="D235" s="10">
        <v>39270.86567631668</v>
      </c>
      <c r="E235" s="10">
        <v>555852.68919564597</v>
      </c>
      <c r="F235" s="1">
        <v>64</v>
      </c>
      <c r="G235" s="1">
        <v>1528</v>
      </c>
      <c r="H235">
        <f t="shared" si="9"/>
        <v>2013</v>
      </c>
      <c r="I235">
        <f t="shared" si="10"/>
        <v>2015</v>
      </c>
      <c r="J235" s="7">
        <f t="shared" si="11"/>
        <v>595123.55487196264</v>
      </c>
      <c r="K235" s="7"/>
    </row>
    <row r="236" spans="1:11" x14ac:dyDescent="0.25">
      <c r="A236" s="1" t="s">
        <v>17</v>
      </c>
      <c r="B236" s="2">
        <v>201303</v>
      </c>
      <c r="C236" s="2">
        <v>201502</v>
      </c>
      <c r="D236" s="10">
        <v>37683.528411155668</v>
      </c>
      <c r="E236" s="10">
        <v>606431.84599904658</v>
      </c>
      <c r="F236" s="1">
        <v>58</v>
      </c>
      <c r="G236" s="1">
        <v>1402</v>
      </c>
      <c r="H236">
        <f t="shared" si="9"/>
        <v>2013</v>
      </c>
      <c r="I236">
        <f t="shared" si="10"/>
        <v>2015</v>
      </c>
      <c r="J236" s="7">
        <f t="shared" si="11"/>
        <v>644115.37441020226</v>
      </c>
      <c r="K236" s="7"/>
    </row>
    <row r="237" spans="1:11" x14ac:dyDescent="0.25">
      <c r="A237" s="1" t="s">
        <v>17</v>
      </c>
      <c r="B237" s="2">
        <v>201303</v>
      </c>
      <c r="C237" s="2">
        <v>201503</v>
      </c>
      <c r="D237" s="10">
        <v>25787.246607592606</v>
      </c>
      <c r="E237" s="10">
        <v>592090.40578801127</v>
      </c>
      <c r="F237" s="1">
        <v>26</v>
      </c>
      <c r="G237" s="1">
        <v>1275</v>
      </c>
      <c r="H237">
        <f t="shared" si="9"/>
        <v>2013</v>
      </c>
      <c r="I237">
        <f t="shared" si="10"/>
        <v>2015</v>
      </c>
      <c r="J237" s="7">
        <f t="shared" si="11"/>
        <v>617877.65239560383</v>
      </c>
      <c r="K237" s="7"/>
    </row>
    <row r="238" spans="1:11" x14ac:dyDescent="0.25">
      <c r="A238" s="1" t="s">
        <v>17</v>
      </c>
      <c r="B238" s="2">
        <v>201303</v>
      </c>
      <c r="C238" s="2">
        <v>201504</v>
      </c>
      <c r="D238" s="10">
        <v>52618.477878197169</v>
      </c>
      <c r="E238" s="10">
        <v>573552.14374511223</v>
      </c>
      <c r="F238" s="1">
        <v>27</v>
      </c>
      <c r="G238" s="1">
        <v>1166</v>
      </c>
      <c r="H238">
        <f t="shared" si="9"/>
        <v>2013</v>
      </c>
      <c r="I238">
        <f t="shared" si="10"/>
        <v>2015</v>
      </c>
      <c r="J238" s="7">
        <f t="shared" si="11"/>
        <v>626170.62162330945</v>
      </c>
      <c r="K238" s="7"/>
    </row>
    <row r="239" spans="1:11" x14ac:dyDescent="0.25">
      <c r="A239" s="1" t="s">
        <v>17</v>
      </c>
      <c r="B239" s="2">
        <v>201303</v>
      </c>
      <c r="C239" s="2">
        <v>201601</v>
      </c>
      <c r="D239" s="10">
        <v>35896.186805349258</v>
      </c>
      <c r="E239" s="10">
        <v>496656.23314156785</v>
      </c>
      <c r="F239" s="1">
        <v>19</v>
      </c>
      <c r="G239" s="1">
        <v>1038</v>
      </c>
      <c r="H239">
        <f t="shared" si="9"/>
        <v>2013</v>
      </c>
      <c r="I239">
        <f t="shared" si="10"/>
        <v>2016</v>
      </c>
      <c r="J239" s="7">
        <f t="shared" si="11"/>
        <v>532552.4199469171</v>
      </c>
      <c r="K239" s="7"/>
    </row>
    <row r="240" spans="1:11" x14ac:dyDescent="0.25">
      <c r="A240" s="1" t="s">
        <v>17</v>
      </c>
      <c r="B240" s="2">
        <v>201303</v>
      </c>
      <c r="C240" s="2">
        <v>201602</v>
      </c>
      <c r="D240" s="10">
        <v>19405.130020295845</v>
      </c>
      <c r="E240" s="10">
        <v>544180.62137152965</v>
      </c>
      <c r="F240" s="1">
        <v>33</v>
      </c>
      <c r="G240" s="1">
        <v>985</v>
      </c>
      <c r="H240">
        <f t="shared" si="9"/>
        <v>2013</v>
      </c>
      <c r="I240">
        <f t="shared" si="10"/>
        <v>2016</v>
      </c>
      <c r="J240" s="7">
        <f t="shared" si="11"/>
        <v>563585.7513918255</v>
      </c>
      <c r="K240" s="7"/>
    </row>
    <row r="241" spans="1:11" x14ac:dyDescent="0.25">
      <c r="A241" s="1" t="s">
        <v>17</v>
      </c>
      <c r="B241" s="2">
        <v>201303</v>
      </c>
      <c r="C241" s="2">
        <v>201603</v>
      </c>
      <c r="D241" s="10">
        <v>15555.365945759815</v>
      </c>
      <c r="E241" s="10">
        <v>609098.05162751488</v>
      </c>
      <c r="F241" s="1">
        <v>29</v>
      </c>
      <c r="G241" s="1">
        <v>899</v>
      </c>
      <c r="H241">
        <f t="shared" si="9"/>
        <v>2013</v>
      </c>
      <c r="I241">
        <f t="shared" si="10"/>
        <v>2016</v>
      </c>
      <c r="J241" s="7">
        <f t="shared" si="11"/>
        <v>624653.4175732747</v>
      </c>
      <c r="K241" s="7"/>
    </row>
    <row r="242" spans="1:11" x14ac:dyDescent="0.25">
      <c r="A242" s="1" t="s">
        <v>17</v>
      </c>
      <c r="B242" s="2">
        <v>201303</v>
      </c>
      <c r="C242" s="2">
        <v>201604</v>
      </c>
      <c r="D242" s="10">
        <v>22199.595158807286</v>
      </c>
      <c r="E242" s="10">
        <v>625335.98367683403</v>
      </c>
      <c r="F242" s="1">
        <v>17</v>
      </c>
      <c r="G242" s="1">
        <v>628</v>
      </c>
      <c r="H242">
        <f t="shared" si="9"/>
        <v>2013</v>
      </c>
      <c r="I242">
        <f t="shared" si="10"/>
        <v>2016</v>
      </c>
      <c r="J242" s="7">
        <f t="shared" si="11"/>
        <v>647535.57883564127</v>
      </c>
      <c r="K242" s="7"/>
    </row>
    <row r="243" spans="1:11" x14ac:dyDescent="0.25">
      <c r="A243" s="1" t="s">
        <v>17</v>
      </c>
      <c r="B243" s="2">
        <v>201303</v>
      </c>
      <c r="C243" s="2">
        <v>201701</v>
      </c>
      <c r="D243" s="10">
        <v>23035.280892663322</v>
      </c>
      <c r="E243" s="10">
        <v>567708.3247908185</v>
      </c>
      <c r="F243" s="1">
        <v>3</v>
      </c>
      <c r="G243" s="1">
        <v>506</v>
      </c>
      <c r="H243">
        <f t="shared" si="9"/>
        <v>2013</v>
      </c>
      <c r="I243">
        <f t="shared" si="10"/>
        <v>2017</v>
      </c>
      <c r="J243" s="7">
        <f t="shared" si="11"/>
        <v>590743.60568348179</v>
      </c>
      <c r="K243" s="7"/>
    </row>
    <row r="244" spans="1:11" x14ac:dyDescent="0.25">
      <c r="A244" s="1" t="s">
        <v>17</v>
      </c>
      <c r="B244" s="2">
        <v>201303</v>
      </c>
      <c r="C244" s="2">
        <v>201702</v>
      </c>
      <c r="D244" s="10">
        <v>11521.107554408816</v>
      </c>
      <c r="E244" s="10">
        <v>566646.69139192288</v>
      </c>
      <c r="F244" s="1">
        <v>6</v>
      </c>
      <c r="G244" s="1">
        <v>513</v>
      </c>
      <c r="H244">
        <f t="shared" si="9"/>
        <v>2013</v>
      </c>
      <c r="I244">
        <f t="shared" si="10"/>
        <v>2017</v>
      </c>
      <c r="J244" s="7">
        <f t="shared" si="11"/>
        <v>578167.79894633172</v>
      </c>
      <c r="K244" s="7"/>
    </row>
    <row r="245" spans="1:11" x14ac:dyDescent="0.25">
      <c r="A245" s="1" t="s">
        <v>17</v>
      </c>
      <c r="B245" s="2">
        <v>201303</v>
      </c>
      <c r="C245" s="2">
        <v>201703</v>
      </c>
      <c r="D245" s="10">
        <v>37740.566226343988</v>
      </c>
      <c r="E245" s="10">
        <v>487650.04347200511</v>
      </c>
      <c r="F245" s="1">
        <v>9</v>
      </c>
      <c r="G245" s="1">
        <v>364</v>
      </c>
      <c r="H245">
        <f t="shared" si="9"/>
        <v>2013</v>
      </c>
      <c r="I245">
        <f t="shared" si="10"/>
        <v>2017</v>
      </c>
      <c r="J245" s="7">
        <f t="shared" si="11"/>
        <v>525390.60969834914</v>
      </c>
      <c r="K245" s="7"/>
    </row>
    <row r="246" spans="1:11" x14ac:dyDescent="0.25">
      <c r="A246" s="1" t="s">
        <v>17</v>
      </c>
      <c r="B246" s="2">
        <v>201303</v>
      </c>
      <c r="C246" s="2">
        <v>201704</v>
      </c>
      <c r="D246" s="10">
        <v>2518.5833352234008</v>
      </c>
      <c r="E246" s="10">
        <v>513195.73795564123</v>
      </c>
      <c r="F246" s="1">
        <v>2</v>
      </c>
      <c r="G246" s="1">
        <v>258</v>
      </c>
      <c r="H246">
        <f t="shared" si="9"/>
        <v>2013</v>
      </c>
      <c r="I246">
        <f t="shared" si="10"/>
        <v>2017</v>
      </c>
      <c r="J246" s="7">
        <f t="shared" si="11"/>
        <v>515714.32129086461</v>
      </c>
      <c r="K246" s="7"/>
    </row>
    <row r="247" spans="1:11" x14ac:dyDescent="0.25">
      <c r="A247" s="1" t="s">
        <v>17</v>
      </c>
      <c r="B247" s="2">
        <v>201303</v>
      </c>
      <c r="C247" s="2">
        <v>201801</v>
      </c>
      <c r="D247" s="10">
        <v>82896.277929797929</v>
      </c>
      <c r="E247" s="10">
        <v>413608.93301866169</v>
      </c>
      <c r="F247" s="1">
        <v>6</v>
      </c>
      <c r="G247" s="1">
        <v>245</v>
      </c>
      <c r="H247">
        <f t="shared" si="9"/>
        <v>2013</v>
      </c>
      <c r="I247">
        <f t="shared" si="10"/>
        <v>2018</v>
      </c>
      <c r="J247" s="7">
        <f t="shared" si="11"/>
        <v>496505.21094845963</v>
      </c>
      <c r="K247" s="7"/>
    </row>
    <row r="248" spans="1:11" x14ac:dyDescent="0.25">
      <c r="A248" s="1" t="s">
        <v>17</v>
      </c>
      <c r="B248" s="2">
        <v>201303</v>
      </c>
      <c r="C248" s="2">
        <v>201802</v>
      </c>
      <c r="D248" s="10">
        <v>9838.1742648524087</v>
      </c>
      <c r="E248" s="10">
        <v>404639.24236862652</v>
      </c>
      <c r="F248" s="1">
        <v>4</v>
      </c>
      <c r="G248" s="1">
        <v>221</v>
      </c>
      <c r="H248">
        <f t="shared" si="9"/>
        <v>2013</v>
      </c>
      <c r="I248">
        <f t="shared" si="10"/>
        <v>2018</v>
      </c>
      <c r="J248" s="7">
        <f t="shared" si="11"/>
        <v>414477.41663347895</v>
      </c>
      <c r="K248" s="7"/>
    </row>
    <row r="249" spans="1:11" x14ac:dyDescent="0.25">
      <c r="A249" s="1" t="s">
        <v>17</v>
      </c>
      <c r="B249" s="2">
        <v>201303</v>
      </c>
      <c r="C249" s="2">
        <v>201803</v>
      </c>
      <c r="D249" s="10">
        <v>16611.828093363401</v>
      </c>
      <c r="E249" s="10">
        <v>402781.53470027767</v>
      </c>
      <c r="F249" s="1">
        <v>0</v>
      </c>
      <c r="G249" s="1">
        <v>216</v>
      </c>
      <c r="H249">
        <f t="shared" si="9"/>
        <v>2013</v>
      </c>
      <c r="I249">
        <f t="shared" si="10"/>
        <v>2018</v>
      </c>
      <c r="J249" s="7">
        <f t="shared" si="11"/>
        <v>419393.36279364105</v>
      </c>
      <c r="K249" s="7"/>
    </row>
    <row r="250" spans="1:11" x14ac:dyDescent="0.25">
      <c r="A250" s="1" t="s">
        <v>17</v>
      </c>
      <c r="B250" s="2">
        <v>201303</v>
      </c>
      <c r="C250" s="2">
        <v>201804</v>
      </c>
      <c r="D250" s="10">
        <v>6235.4431067406967</v>
      </c>
      <c r="E250" s="10">
        <v>391994.89195585891</v>
      </c>
      <c r="F250" s="1">
        <v>2</v>
      </c>
      <c r="G250" s="1">
        <v>175</v>
      </c>
      <c r="H250">
        <f t="shared" si="9"/>
        <v>2013</v>
      </c>
      <c r="I250">
        <f t="shared" si="10"/>
        <v>2018</v>
      </c>
      <c r="J250" s="7">
        <f t="shared" si="11"/>
        <v>398230.33506259962</v>
      </c>
      <c r="K250" s="7"/>
    </row>
    <row r="251" spans="1:11" x14ac:dyDescent="0.25">
      <c r="A251" s="1" t="s">
        <v>17</v>
      </c>
      <c r="B251" s="2">
        <v>201303</v>
      </c>
      <c r="C251" s="2">
        <v>201901</v>
      </c>
      <c r="D251" s="10">
        <v>14946.164228250982</v>
      </c>
      <c r="E251" s="10">
        <v>369784.2984195266</v>
      </c>
      <c r="F251" s="1">
        <v>0</v>
      </c>
      <c r="G251" s="1">
        <v>157</v>
      </c>
      <c r="H251">
        <f t="shared" si="9"/>
        <v>2013</v>
      </c>
      <c r="I251">
        <f t="shared" si="10"/>
        <v>2019</v>
      </c>
      <c r="J251" s="7">
        <f t="shared" si="11"/>
        <v>384730.46264777757</v>
      </c>
      <c r="K251" s="7"/>
    </row>
    <row r="252" spans="1:11" x14ac:dyDescent="0.25">
      <c r="A252" s="1" t="s">
        <v>17</v>
      </c>
      <c r="B252" s="2">
        <v>201303</v>
      </c>
      <c r="C252" s="2">
        <v>201902</v>
      </c>
      <c r="D252" s="10">
        <v>4742.3746241363087</v>
      </c>
      <c r="E252" s="10">
        <v>375757.95943751646</v>
      </c>
      <c r="F252" s="1">
        <v>2</v>
      </c>
      <c r="G252" s="1">
        <v>156</v>
      </c>
      <c r="H252">
        <f t="shared" si="9"/>
        <v>2013</v>
      </c>
      <c r="I252">
        <f t="shared" si="10"/>
        <v>2019</v>
      </c>
      <c r="J252" s="7">
        <f t="shared" si="11"/>
        <v>380500.33406165277</v>
      </c>
      <c r="K252" s="7"/>
    </row>
    <row r="253" spans="1:11" x14ac:dyDescent="0.25">
      <c r="A253" s="1" t="s">
        <v>17</v>
      </c>
      <c r="B253" s="2">
        <v>201303</v>
      </c>
      <c r="C253" s="2">
        <v>201903</v>
      </c>
      <c r="D253" s="10">
        <v>15199.320613721651</v>
      </c>
      <c r="E253" s="10">
        <v>350330.81965944334</v>
      </c>
      <c r="F253" s="1">
        <v>1</v>
      </c>
      <c r="G253" s="1">
        <v>138</v>
      </c>
      <c r="H253">
        <f t="shared" si="9"/>
        <v>2013</v>
      </c>
      <c r="I253">
        <f t="shared" si="10"/>
        <v>2019</v>
      </c>
      <c r="J253" s="7">
        <f t="shared" si="11"/>
        <v>365530.14027316502</v>
      </c>
      <c r="K253" s="7"/>
    </row>
    <row r="254" spans="1:11" x14ac:dyDescent="0.25">
      <c r="A254" s="1" t="s">
        <v>17</v>
      </c>
      <c r="B254" s="2">
        <v>201303</v>
      </c>
      <c r="C254" s="2">
        <v>201904</v>
      </c>
      <c r="D254" s="10">
        <v>11381.890352224824</v>
      </c>
      <c r="E254" s="10">
        <v>391861.71503721678</v>
      </c>
      <c r="F254" s="1">
        <v>1</v>
      </c>
      <c r="G254" s="1">
        <v>124</v>
      </c>
      <c r="H254">
        <f t="shared" si="9"/>
        <v>2013</v>
      </c>
      <c r="I254">
        <f t="shared" si="10"/>
        <v>2019</v>
      </c>
      <c r="J254" s="7">
        <f t="shared" si="11"/>
        <v>403243.6053894416</v>
      </c>
      <c r="K254" s="7"/>
    </row>
    <row r="255" spans="1:11" x14ac:dyDescent="0.25">
      <c r="A255" s="1" t="s">
        <v>17</v>
      </c>
      <c r="B255" s="2">
        <v>201303</v>
      </c>
      <c r="C255" s="2">
        <v>202001</v>
      </c>
      <c r="D255" s="10">
        <v>11943.763290794452</v>
      </c>
      <c r="E255" s="10">
        <v>408394.22117520712</v>
      </c>
      <c r="F255" s="1">
        <v>0</v>
      </c>
      <c r="G255" s="1">
        <v>104</v>
      </c>
      <c r="H255">
        <f t="shared" si="9"/>
        <v>2013</v>
      </c>
      <c r="I255">
        <f t="shared" si="10"/>
        <v>2020</v>
      </c>
      <c r="J255" s="7">
        <f t="shared" si="11"/>
        <v>420337.98446600157</v>
      </c>
      <c r="K255" s="7"/>
    </row>
    <row r="256" spans="1:11" x14ac:dyDescent="0.25">
      <c r="A256" s="1" t="s">
        <v>17</v>
      </c>
      <c r="B256" s="2">
        <v>201303</v>
      </c>
      <c r="C256" s="2">
        <v>202002</v>
      </c>
      <c r="D256" s="10">
        <v>17408.440779302731</v>
      </c>
      <c r="E256" s="10">
        <v>384815.96398159902</v>
      </c>
      <c r="F256" s="1">
        <v>2</v>
      </c>
      <c r="G256" s="1">
        <v>95</v>
      </c>
      <c r="H256">
        <f t="shared" si="9"/>
        <v>2013</v>
      </c>
      <c r="I256">
        <f t="shared" si="10"/>
        <v>2020</v>
      </c>
      <c r="J256" s="7">
        <f t="shared" si="11"/>
        <v>402224.40476090176</v>
      </c>
      <c r="K256" s="7"/>
    </row>
    <row r="257" spans="1:11" x14ac:dyDescent="0.25">
      <c r="A257" s="1" t="s">
        <v>17</v>
      </c>
      <c r="B257" s="2">
        <v>201303</v>
      </c>
      <c r="C257" s="2">
        <v>202003</v>
      </c>
      <c r="D257" s="10">
        <v>7508.9185243508491</v>
      </c>
      <c r="E257" s="10">
        <v>353930.96512471471</v>
      </c>
      <c r="F257" s="1">
        <v>0</v>
      </c>
      <c r="G257" s="1">
        <v>78</v>
      </c>
      <c r="H257">
        <f t="shared" si="9"/>
        <v>2013</v>
      </c>
      <c r="I257">
        <f t="shared" si="10"/>
        <v>2020</v>
      </c>
      <c r="J257" s="7">
        <f t="shared" si="11"/>
        <v>361439.88364906557</v>
      </c>
      <c r="K257" s="7"/>
    </row>
    <row r="258" spans="1:11" x14ac:dyDescent="0.25">
      <c r="A258" s="1" t="s">
        <v>17</v>
      </c>
      <c r="B258" s="2">
        <v>201303</v>
      </c>
      <c r="C258" s="2">
        <v>202004</v>
      </c>
      <c r="D258" s="10">
        <v>1675.8499743945854</v>
      </c>
      <c r="E258" s="10">
        <v>340283.6824684912</v>
      </c>
      <c r="F258" s="1">
        <v>0</v>
      </c>
      <c r="G258" s="1">
        <v>78</v>
      </c>
      <c r="H258">
        <f t="shared" si="9"/>
        <v>2013</v>
      </c>
      <c r="I258">
        <f t="shared" si="10"/>
        <v>2020</v>
      </c>
      <c r="J258" s="7">
        <f t="shared" si="11"/>
        <v>341959.5324428858</v>
      </c>
      <c r="K258" s="7"/>
    </row>
    <row r="259" spans="1:11" x14ac:dyDescent="0.25">
      <c r="A259" s="1" t="s">
        <v>17</v>
      </c>
      <c r="B259" s="2">
        <v>201303</v>
      </c>
      <c r="C259" s="2">
        <v>202101</v>
      </c>
      <c r="D259" s="10">
        <v>9717.419196283643</v>
      </c>
      <c r="E259" s="10">
        <v>342723.5803225917</v>
      </c>
      <c r="F259" s="1">
        <v>1</v>
      </c>
      <c r="G259" s="1">
        <v>73</v>
      </c>
      <c r="H259">
        <f t="shared" si="9"/>
        <v>2013</v>
      </c>
      <c r="I259">
        <f t="shared" si="10"/>
        <v>2021</v>
      </c>
      <c r="J259" s="7">
        <f t="shared" si="11"/>
        <v>352440.99951887532</v>
      </c>
      <c r="K259" s="7"/>
    </row>
    <row r="260" spans="1:11" x14ac:dyDescent="0.25">
      <c r="A260" s="1" t="s">
        <v>17</v>
      </c>
      <c r="B260" s="2">
        <v>201303</v>
      </c>
      <c r="C260" s="2">
        <v>202102</v>
      </c>
      <c r="D260" s="10">
        <v>12097.02329270832</v>
      </c>
      <c r="E260" s="10">
        <v>345820.17186236737</v>
      </c>
      <c r="F260" s="1">
        <v>3</v>
      </c>
      <c r="G260" s="1">
        <v>70</v>
      </c>
      <c r="H260">
        <f t="shared" ref="H260:H323" si="12">VALUE(LEFT(B260,4))</f>
        <v>2013</v>
      </c>
      <c r="I260">
        <f t="shared" ref="I260:I323" si="13">VALUE(LEFT(C260,4))</f>
        <v>2021</v>
      </c>
      <c r="J260" s="7">
        <f t="shared" si="11"/>
        <v>357917.19515507569</v>
      </c>
      <c r="K260" s="7"/>
    </row>
    <row r="261" spans="1:11" x14ac:dyDescent="0.25">
      <c r="A261" s="1" t="s">
        <v>17</v>
      </c>
      <c r="B261" s="2">
        <v>201303</v>
      </c>
      <c r="C261" s="2">
        <v>202103</v>
      </c>
      <c r="D261" s="10">
        <v>8635.4006030192231</v>
      </c>
      <c r="E261" s="10">
        <v>345411.58808085439</v>
      </c>
      <c r="F261" s="1">
        <v>4</v>
      </c>
      <c r="G261" s="1">
        <v>69</v>
      </c>
      <c r="H261">
        <f t="shared" si="12"/>
        <v>2013</v>
      </c>
      <c r="I261">
        <f t="shared" si="13"/>
        <v>2021</v>
      </c>
      <c r="J261" s="7">
        <f t="shared" ref="J261:J324" si="14">D261+E261</f>
        <v>354046.98868387361</v>
      </c>
      <c r="K261" s="7"/>
    </row>
    <row r="262" spans="1:11" x14ac:dyDescent="0.25">
      <c r="A262" s="1" t="s">
        <v>17</v>
      </c>
      <c r="B262" s="2">
        <v>201303</v>
      </c>
      <c r="C262" s="2">
        <v>202104</v>
      </c>
      <c r="D262" s="10">
        <v>3752.1413626866361</v>
      </c>
      <c r="E262" s="10">
        <v>349228.43945678609</v>
      </c>
      <c r="F262" s="1">
        <v>4</v>
      </c>
      <c r="G262" s="1">
        <v>71</v>
      </c>
      <c r="H262">
        <f t="shared" si="12"/>
        <v>2013</v>
      </c>
      <c r="I262">
        <f t="shared" si="13"/>
        <v>2021</v>
      </c>
      <c r="J262" s="7">
        <f t="shared" si="14"/>
        <v>352980.58081947273</v>
      </c>
      <c r="K262" s="7"/>
    </row>
    <row r="263" spans="1:11" x14ac:dyDescent="0.25">
      <c r="A263" s="1" t="s">
        <v>17</v>
      </c>
      <c r="B263" s="2">
        <v>201304</v>
      </c>
      <c r="C263" s="2">
        <v>201304</v>
      </c>
      <c r="D263" s="10">
        <v>62671.205434366952</v>
      </c>
      <c r="E263" s="10">
        <v>382233.49153329927</v>
      </c>
      <c r="F263" s="1">
        <v>4134</v>
      </c>
      <c r="G263" s="1">
        <v>2599</v>
      </c>
      <c r="H263">
        <f t="shared" si="12"/>
        <v>2013</v>
      </c>
      <c r="I263">
        <f t="shared" si="13"/>
        <v>2013</v>
      </c>
      <c r="J263" s="7">
        <f t="shared" si="14"/>
        <v>444904.69696766621</v>
      </c>
      <c r="K263" s="7"/>
    </row>
    <row r="264" spans="1:11" x14ac:dyDescent="0.25">
      <c r="A264" s="1" t="s">
        <v>17</v>
      </c>
      <c r="B264" s="2">
        <v>201304</v>
      </c>
      <c r="C264" s="2">
        <v>201401</v>
      </c>
      <c r="D264" s="10">
        <v>175649.27024690964</v>
      </c>
      <c r="E264" s="10">
        <v>498206.61363798298</v>
      </c>
      <c r="F264" s="1">
        <v>2367</v>
      </c>
      <c r="G264" s="1">
        <v>2598</v>
      </c>
      <c r="H264">
        <f t="shared" si="12"/>
        <v>2013</v>
      </c>
      <c r="I264">
        <f t="shared" si="13"/>
        <v>2014</v>
      </c>
      <c r="J264" s="7">
        <f t="shared" si="14"/>
        <v>673855.88388489257</v>
      </c>
      <c r="K264" s="7"/>
    </row>
    <row r="265" spans="1:11" x14ac:dyDescent="0.25">
      <c r="A265" s="1" t="s">
        <v>17</v>
      </c>
      <c r="B265" s="2">
        <v>201304</v>
      </c>
      <c r="C265" s="2">
        <v>201402</v>
      </c>
      <c r="D265" s="10">
        <v>86715.465089685138</v>
      </c>
      <c r="E265" s="10">
        <v>510961.17708858155</v>
      </c>
      <c r="F265" s="1">
        <v>565</v>
      </c>
      <c r="G265" s="1">
        <v>2285</v>
      </c>
      <c r="H265">
        <f t="shared" si="12"/>
        <v>2013</v>
      </c>
      <c r="I265">
        <f t="shared" si="13"/>
        <v>2014</v>
      </c>
      <c r="J265" s="7">
        <f t="shared" si="14"/>
        <v>597676.64217826666</v>
      </c>
      <c r="K265" s="7"/>
    </row>
    <row r="266" spans="1:11" x14ac:dyDescent="0.25">
      <c r="A266" s="1" t="s">
        <v>17</v>
      </c>
      <c r="B266" s="2">
        <v>201304</v>
      </c>
      <c r="C266" s="2">
        <v>201403</v>
      </c>
      <c r="D266" s="10">
        <v>52962.862559494366</v>
      </c>
      <c r="E266" s="10">
        <v>569405.82523121184</v>
      </c>
      <c r="F266" s="1">
        <v>276</v>
      </c>
      <c r="G266" s="1">
        <v>2120</v>
      </c>
      <c r="H266">
        <f t="shared" si="12"/>
        <v>2013</v>
      </c>
      <c r="I266">
        <f t="shared" si="13"/>
        <v>2014</v>
      </c>
      <c r="J266" s="7">
        <f t="shared" si="14"/>
        <v>622368.68779070617</v>
      </c>
      <c r="K266" s="7"/>
    </row>
    <row r="267" spans="1:11" x14ac:dyDescent="0.25">
      <c r="A267" s="1" t="s">
        <v>17</v>
      </c>
      <c r="B267" s="2">
        <v>201304</v>
      </c>
      <c r="C267" s="2">
        <v>201404</v>
      </c>
      <c r="D267" s="10">
        <v>53900.939533137098</v>
      </c>
      <c r="E267" s="10">
        <v>592804.76309287548</v>
      </c>
      <c r="F267" s="1">
        <v>144</v>
      </c>
      <c r="G267" s="1">
        <v>1746</v>
      </c>
      <c r="H267">
        <f t="shared" si="12"/>
        <v>2013</v>
      </c>
      <c r="I267">
        <f t="shared" si="13"/>
        <v>2014</v>
      </c>
      <c r="J267" s="7">
        <f t="shared" si="14"/>
        <v>646705.70262601261</v>
      </c>
      <c r="K267" s="7"/>
    </row>
    <row r="268" spans="1:11" x14ac:dyDescent="0.25">
      <c r="A268" s="1" t="s">
        <v>17</v>
      </c>
      <c r="B268" s="2">
        <v>201304</v>
      </c>
      <c r="C268" s="2">
        <v>201501</v>
      </c>
      <c r="D268" s="10">
        <v>39528.863567471562</v>
      </c>
      <c r="E268" s="10">
        <v>583991.14447117387</v>
      </c>
      <c r="F268" s="1">
        <v>99</v>
      </c>
      <c r="G268" s="1">
        <v>1526</v>
      </c>
      <c r="H268">
        <f t="shared" si="12"/>
        <v>2013</v>
      </c>
      <c r="I268">
        <f t="shared" si="13"/>
        <v>2015</v>
      </c>
      <c r="J268" s="7">
        <f t="shared" si="14"/>
        <v>623520.00803864538</v>
      </c>
      <c r="K268" s="7"/>
    </row>
    <row r="269" spans="1:11" x14ac:dyDescent="0.25">
      <c r="A269" s="1" t="s">
        <v>17</v>
      </c>
      <c r="B269" s="2">
        <v>201304</v>
      </c>
      <c r="C269" s="2">
        <v>201502</v>
      </c>
      <c r="D269" s="10">
        <v>46681.759918388714</v>
      </c>
      <c r="E269" s="10">
        <v>616618.94390000938</v>
      </c>
      <c r="F269" s="1">
        <v>86</v>
      </c>
      <c r="G269" s="1">
        <v>1388</v>
      </c>
      <c r="H269">
        <f t="shared" si="12"/>
        <v>2013</v>
      </c>
      <c r="I269">
        <f t="shared" si="13"/>
        <v>2015</v>
      </c>
      <c r="J269" s="7">
        <f t="shared" si="14"/>
        <v>663300.70381839806</v>
      </c>
      <c r="K269" s="7"/>
    </row>
    <row r="270" spans="1:11" x14ac:dyDescent="0.25">
      <c r="A270" s="1" t="s">
        <v>17</v>
      </c>
      <c r="B270" s="2">
        <v>201304</v>
      </c>
      <c r="C270" s="2">
        <v>201503</v>
      </c>
      <c r="D270" s="10">
        <v>46217.898568271514</v>
      </c>
      <c r="E270" s="10">
        <v>545137.42892861704</v>
      </c>
      <c r="F270" s="1">
        <v>53</v>
      </c>
      <c r="G270" s="1">
        <v>1267</v>
      </c>
      <c r="H270">
        <f t="shared" si="12"/>
        <v>2013</v>
      </c>
      <c r="I270">
        <f t="shared" si="13"/>
        <v>2015</v>
      </c>
      <c r="J270" s="7">
        <f t="shared" si="14"/>
        <v>591355.32749688858</v>
      </c>
      <c r="K270" s="7"/>
    </row>
    <row r="271" spans="1:11" x14ac:dyDescent="0.25">
      <c r="A271" s="1" t="s">
        <v>17</v>
      </c>
      <c r="B271" s="2">
        <v>201304</v>
      </c>
      <c r="C271" s="2">
        <v>201504</v>
      </c>
      <c r="D271" s="10">
        <v>52646.673493566122</v>
      </c>
      <c r="E271" s="10">
        <v>661472.22700938769</v>
      </c>
      <c r="F271" s="1">
        <v>36</v>
      </c>
      <c r="G271" s="1">
        <v>1162</v>
      </c>
      <c r="H271">
        <f t="shared" si="12"/>
        <v>2013</v>
      </c>
      <c r="I271">
        <f t="shared" si="13"/>
        <v>2015</v>
      </c>
      <c r="J271" s="7">
        <f t="shared" si="14"/>
        <v>714118.90050295379</v>
      </c>
      <c r="K271" s="7"/>
    </row>
    <row r="272" spans="1:11" x14ac:dyDescent="0.25">
      <c r="A272" s="1" t="s">
        <v>17</v>
      </c>
      <c r="B272" s="2">
        <v>201304</v>
      </c>
      <c r="C272" s="2">
        <v>201601</v>
      </c>
      <c r="D272" s="10">
        <v>24830.90775666256</v>
      </c>
      <c r="E272" s="10">
        <v>611084.00816470536</v>
      </c>
      <c r="F272" s="1">
        <v>25</v>
      </c>
      <c r="G272" s="1">
        <v>1073</v>
      </c>
      <c r="H272">
        <f t="shared" si="12"/>
        <v>2013</v>
      </c>
      <c r="I272">
        <f t="shared" si="13"/>
        <v>2016</v>
      </c>
      <c r="J272" s="7">
        <f t="shared" si="14"/>
        <v>635914.91592136794</v>
      </c>
      <c r="K272" s="7"/>
    </row>
    <row r="273" spans="1:11" x14ac:dyDescent="0.25">
      <c r="A273" s="1" t="s">
        <v>17</v>
      </c>
      <c r="B273" s="2">
        <v>201304</v>
      </c>
      <c r="C273" s="2">
        <v>201602</v>
      </c>
      <c r="D273" s="10">
        <v>17572.052886596626</v>
      </c>
      <c r="E273" s="10">
        <v>608144.30179499544</v>
      </c>
      <c r="F273" s="1">
        <v>24</v>
      </c>
      <c r="G273" s="1">
        <v>1035</v>
      </c>
      <c r="H273">
        <f t="shared" si="12"/>
        <v>2013</v>
      </c>
      <c r="I273">
        <f t="shared" si="13"/>
        <v>2016</v>
      </c>
      <c r="J273" s="7">
        <f t="shared" si="14"/>
        <v>625716.35468159209</v>
      </c>
      <c r="K273" s="7"/>
    </row>
    <row r="274" spans="1:11" x14ac:dyDescent="0.25">
      <c r="A274" s="1" t="s">
        <v>17</v>
      </c>
      <c r="B274" s="2">
        <v>201304</v>
      </c>
      <c r="C274" s="2">
        <v>201603</v>
      </c>
      <c r="D274" s="10">
        <v>19214.564955600974</v>
      </c>
      <c r="E274" s="10">
        <v>613021.65023049945</v>
      </c>
      <c r="F274" s="1">
        <v>13</v>
      </c>
      <c r="G274" s="1">
        <v>988</v>
      </c>
      <c r="H274">
        <f t="shared" si="12"/>
        <v>2013</v>
      </c>
      <c r="I274">
        <f t="shared" si="13"/>
        <v>2016</v>
      </c>
      <c r="J274" s="7">
        <f t="shared" si="14"/>
        <v>632236.21518610045</v>
      </c>
      <c r="K274" s="7"/>
    </row>
    <row r="275" spans="1:11" x14ac:dyDescent="0.25">
      <c r="A275" s="1" t="s">
        <v>17</v>
      </c>
      <c r="B275" s="2">
        <v>201304</v>
      </c>
      <c r="C275" s="2">
        <v>201604</v>
      </c>
      <c r="D275" s="10">
        <v>25667.065514569338</v>
      </c>
      <c r="E275" s="10">
        <v>556715.84388973913</v>
      </c>
      <c r="F275" s="1">
        <v>22</v>
      </c>
      <c r="G275" s="1">
        <v>732</v>
      </c>
      <c r="H275">
        <f t="shared" si="12"/>
        <v>2013</v>
      </c>
      <c r="I275">
        <f t="shared" si="13"/>
        <v>2016</v>
      </c>
      <c r="J275" s="7">
        <f t="shared" si="14"/>
        <v>582382.90940430842</v>
      </c>
      <c r="K275" s="7"/>
    </row>
    <row r="276" spans="1:11" x14ac:dyDescent="0.25">
      <c r="A276" s="1" t="s">
        <v>17</v>
      </c>
      <c r="B276" s="2">
        <v>201304</v>
      </c>
      <c r="C276" s="2">
        <v>201701</v>
      </c>
      <c r="D276" s="10">
        <v>20868.451397505363</v>
      </c>
      <c r="E276" s="10">
        <v>486331.47405222594</v>
      </c>
      <c r="F276" s="1">
        <v>17</v>
      </c>
      <c r="G276" s="1">
        <v>634</v>
      </c>
      <c r="H276">
        <f t="shared" si="12"/>
        <v>2013</v>
      </c>
      <c r="I276">
        <f t="shared" si="13"/>
        <v>2017</v>
      </c>
      <c r="J276" s="7">
        <f t="shared" si="14"/>
        <v>507199.92544973129</v>
      </c>
      <c r="K276" s="7"/>
    </row>
    <row r="277" spans="1:11" x14ac:dyDescent="0.25">
      <c r="A277" s="1" t="s">
        <v>17</v>
      </c>
      <c r="B277" s="2">
        <v>201304</v>
      </c>
      <c r="C277" s="2">
        <v>201702</v>
      </c>
      <c r="D277" s="10">
        <v>37557.877691293972</v>
      </c>
      <c r="E277" s="10">
        <v>480085.47222180269</v>
      </c>
      <c r="F277" s="1">
        <v>6</v>
      </c>
      <c r="G277" s="1">
        <v>596</v>
      </c>
      <c r="H277">
        <f t="shared" si="12"/>
        <v>2013</v>
      </c>
      <c r="I277">
        <f t="shared" si="13"/>
        <v>2017</v>
      </c>
      <c r="J277" s="7">
        <f t="shared" si="14"/>
        <v>517643.34991309664</v>
      </c>
      <c r="K277" s="7"/>
    </row>
    <row r="278" spans="1:11" x14ac:dyDescent="0.25">
      <c r="A278" s="1" t="s">
        <v>17</v>
      </c>
      <c r="B278" s="2">
        <v>201304</v>
      </c>
      <c r="C278" s="2">
        <v>201703</v>
      </c>
      <c r="D278" s="10">
        <v>18732.110798509657</v>
      </c>
      <c r="E278" s="10">
        <v>430598.00784564792</v>
      </c>
      <c r="F278" s="1">
        <v>3</v>
      </c>
      <c r="G278" s="1">
        <v>433</v>
      </c>
      <c r="H278">
        <f t="shared" si="12"/>
        <v>2013</v>
      </c>
      <c r="I278">
        <f t="shared" si="13"/>
        <v>2017</v>
      </c>
      <c r="J278" s="7">
        <f t="shared" si="14"/>
        <v>449330.1186441576</v>
      </c>
      <c r="K278" s="7"/>
    </row>
    <row r="279" spans="1:11" x14ac:dyDescent="0.25">
      <c r="A279" s="1" t="s">
        <v>17</v>
      </c>
      <c r="B279" s="2">
        <v>201304</v>
      </c>
      <c r="C279" s="2">
        <v>201704</v>
      </c>
      <c r="D279" s="10">
        <v>17513.165537743207</v>
      </c>
      <c r="E279" s="10">
        <v>408241.0560627958</v>
      </c>
      <c r="F279" s="1">
        <v>9</v>
      </c>
      <c r="G279" s="1">
        <v>301</v>
      </c>
      <c r="H279">
        <f t="shared" si="12"/>
        <v>2013</v>
      </c>
      <c r="I279">
        <f t="shared" si="13"/>
        <v>2017</v>
      </c>
      <c r="J279" s="7">
        <f t="shared" si="14"/>
        <v>425754.22160053899</v>
      </c>
      <c r="K279" s="7"/>
    </row>
    <row r="280" spans="1:11" x14ac:dyDescent="0.25">
      <c r="A280" s="1" t="s">
        <v>17</v>
      </c>
      <c r="B280" s="2">
        <v>201304</v>
      </c>
      <c r="C280" s="2">
        <v>201801</v>
      </c>
      <c r="D280" s="10">
        <v>21135.384584211162</v>
      </c>
      <c r="E280" s="10">
        <v>427745.30902650306</v>
      </c>
      <c r="F280" s="1">
        <v>8</v>
      </c>
      <c r="G280" s="1">
        <v>286</v>
      </c>
      <c r="H280">
        <f t="shared" si="12"/>
        <v>2013</v>
      </c>
      <c r="I280">
        <f t="shared" si="13"/>
        <v>2018</v>
      </c>
      <c r="J280" s="7">
        <f t="shared" si="14"/>
        <v>448880.69361071422</v>
      </c>
      <c r="K280" s="7"/>
    </row>
    <row r="281" spans="1:11" x14ac:dyDescent="0.25">
      <c r="A281" s="1" t="s">
        <v>17</v>
      </c>
      <c r="B281" s="2">
        <v>201304</v>
      </c>
      <c r="C281" s="2">
        <v>201802</v>
      </c>
      <c r="D281" s="10">
        <v>72116.471626097846</v>
      </c>
      <c r="E281" s="10">
        <v>332760.60234244354</v>
      </c>
      <c r="F281" s="1">
        <v>5</v>
      </c>
      <c r="G281" s="1">
        <v>279</v>
      </c>
      <c r="H281">
        <f t="shared" si="12"/>
        <v>2013</v>
      </c>
      <c r="I281">
        <f t="shared" si="13"/>
        <v>2018</v>
      </c>
      <c r="J281" s="7">
        <f t="shared" si="14"/>
        <v>404877.0739685414</v>
      </c>
      <c r="K281" s="7"/>
    </row>
    <row r="282" spans="1:11" x14ac:dyDescent="0.25">
      <c r="A282" s="1" t="s">
        <v>17</v>
      </c>
      <c r="B282" s="2">
        <v>201304</v>
      </c>
      <c r="C282" s="2">
        <v>201803</v>
      </c>
      <c r="D282" s="10">
        <v>10269.448767594969</v>
      </c>
      <c r="E282" s="10">
        <v>337222.89045101404</v>
      </c>
      <c r="F282" s="1">
        <v>5</v>
      </c>
      <c r="G282" s="1">
        <v>274</v>
      </c>
      <c r="H282">
        <f t="shared" si="12"/>
        <v>2013</v>
      </c>
      <c r="I282">
        <f t="shared" si="13"/>
        <v>2018</v>
      </c>
      <c r="J282" s="7">
        <f t="shared" si="14"/>
        <v>347492.33921860904</v>
      </c>
      <c r="K282" s="7"/>
    </row>
    <row r="283" spans="1:11" x14ac:dyDescent="0.25">
      <c r="A283" s="1" t="s">
        <v>17</v>
      </c>
      <c r="B283" s="2">
        <v>201304</v>
      </c>
      <c r="C283" s="2">
        <v>201804</v>
      </c>
      <c r="D283" s="10">
        <v>10048.036375298612</v>
      </c>
      <c r="E283" s="10">
        <v>313259.92434695963</v>
      </c>
      <c r="F283" s="1">
        <v>3</v>
      </c>
      <c r="G283" s="1">
        <v>203</v>
      </c>
      <c r="H283">
        <f t="shared" si="12"/>
        <v>2013</v>
      </c>
      <c r="I283">
        <f t="shared" si="13"/>
        <v>2018</v>
      </c>
      <c r="J283" s="7">
        <f t="shared" si="14"/>
        <v>323307.96072225826</v>
      </c>
      <c r="K283" s="7"/>
    </row>
    <row r="284" spans="1:11" x14ac:dyDescent="0.25">
      <c r="A284" s="1" t="s">
        <v>17</v>
      </c>
      <c r="B284" s="2">
        <v>201304</v>
      </c>
      <c r="C284" s="2">
        <v>201901</v>
      </c>
      <c r="D284" s="10">
        <v>14985.756778196877</v>
      </c>
      <c r="E284" s="10">
        <v>305099.04879143462</v>
      </c>
      <c r="F284" s="1">
        <v>5</v>
      </c>
      <c r="G284" s="1">
        <v>173</v>
      </c>
      <c r="H284">
        <f t="shared" si="12"/>
        <v>2013</v>
      </c>
      <c r="I284">
        <f t="shared" si="13"/>
        <v>2019</v>
      </c>
      <c r="J284" s="7">
        <f t="shared" si="14"/>
        <v>320084.80556963151</v>
      </c>
      <c r="K284" s="7"/>
    </row>
    <row r="285" spans="1:11" x14ac:dyDescent="0.25">
      <c r="A285" s="1" t="s">
        <v>17</v>
      </c>
      <c r="B285" s="2">
        <v>201304</v>
      </c>
      <c r="C285" s="2">
        <v>201902</v>
      </c>
      <c r="D285" s="10">
        <v>6152.6204634160067</v>
      </c>
      <c r="E285" s="10">
        <v>289209.90392280935</v>
      </c>
      <c r="F285" s="1">
        <v>3</v>
      </c>
      <c r="G285" s="1">
        <v>155</v>
      </c>
      <c r="H285">
        <f t="shared" si="12"/>
        <v>2013</v>
      </c>
      <c r="I285">
        <f t="shared" si="13"/>
        <v>2019</v>
      </c>
      <c r="J285" s="7">
        <f t="shared" si="14"/>
        <v>295362.52438622533</v>
      </c>
      <c r="K285" s="7"/>
    </row>
    <row r="286" spans="1:11" x14ac:dyDescent="0.25">
      <c r="A286" s="1" t="s">
        <v>17</v>
      </c>
      <c r="B286" s="2">
        <v>201304</v>
      </c>
      <c r="C286" s="2">
        <v>201903</v>
      </c>
      <c r="D286" s="10">
        <v>15741.149695181773</v>
      </c>
      <c r="E286" s="10">
        <v>312595.03965890093</v>
      </c>
      <c r="F286" s="1">
        <v>6</v>
      </c>
      <c r="G286" s="1">
        <v>143</v>
      </c>
      <c r="H286">
        <f t="shared" si="12"/>
        <v>2013</v>
      </c>
      <c r="I286">
        <f t="shared" si="13"/>
        <v>2019</v>
      </c>
      <c r="J286" s="7">
        <f t="shared" si="14"/>
        <v>328336.18935408269</v>
      </c>
      <c r="K286" s="7"/>
    </row>
    <row r="287" spans="1:11" x14ac:dyDescent="0.25">
      <c r="A287" s="1" t="s">
        <v>17</v>
      </c>
      <c r="B287" s="2">
        <v>201304</v>
      </c>
      <c r="C287" s="2">
        <v>201904</v>
      </c>
      <c r="D287" s="10">
        <v>4755.2439635026512</v>
      </c>
      <c r="E287" s="10">
        <v>353637.6248020379</v>
      </c>
      <c r="F287" s="1">
        <v>1</v>
      </c>
      <c r="G287" s="1">
        <v>139</v>
      </c>
      <c r="H287">
        <f t="shared" si="12"/>
        <v>2013</v>
      </c>
      <c r="I287">
        <f t="shared" si="13"/>
        <v>2019</v>
      </c>
      <c r="J287" s="7">
        <f t="shared" si="14"/>
        <v>358392.86876554054</v>
      </c>
      <c r="K287" s="7"/>
    </row>
    <row r="288" spans="1:11" x14ac:dyDescent="0.25">
      <c r="A288" s="1" t="s">
        <v>17</v>
      </c>
      <c r="B288" s="2">
        <v>201304</v>
      </c>
      <c r="C288" s="2">
        <v>202001</v>
      </c>
      <c r="D288" s="10">
        <v>32193.895641812127</v>
      </c>
      <c r="E288" s="10">
        <v>323870.71280983434</v>
      </c>
      <c r="F288" s="1">
        <v>1</v>
      </c>
      <c r="G288" s="1">
        <v>122</v>
      </c>
      <c r="H288">
        <f t="shared" si="12"/>
        <v>2013</v>
      </c>
      <c r="I288">
        <f t="shared" si="13"/>
        <v>2020</v>
      </c>
      <c r="J288" s="7">
        <f t="shared" si="14"/>
        <v>356064.60845164646</v>
      </c>
      <c r="K288" s="7"/>
    </row>
    <row r="289" spans="1:11" x14ac:dyDescent="0.25">
      <c r="A289" s="1" t="s">
        <v>17</v>
      </c>
      <c r="B289" s="2">
        <v>201304</v>
      </c>
      <c r="C289" s="2">
        <v>202002</v>
      </c>
      <c r="D289" s="10">
        <v>4936.4420180342122</v>
      </c>
      <c r="E289" s="10">
        <v>313561.17196727084</v>
      </c>
      <c r="F289" s="1">
        <v>1</v>
      </c>
      <c r="G289" s="1">
        <v>106</v>
      </c>
      <c r="H289">
        <f t="shared" si="12"/>
        <v>2013</v>
      </c>
      <c r="I289">
        <f t="shared" si="13"/>
        <v>2020</v>
      </c>
      <c r="J289" s="7">
        <f t="shared" si="14"/>
        <v>318497.61398530507</v>
      </c>
      <c r="K289" s="7"/>
    </row>
    <row r="290" spans="1:11" x14ac:dyDescent="0.25">
      <c r="A290" s="1" t="s">
        <v>17</v>
      </c>
      <c r="B290" s="2">
        <v>201304</v>
      </c>
      <c r="C290" s="2">
        <v>202003</v>
      </c>
      <c r="D290" s="10">
        <v>120585.58528304024</v>
      </c>
      <c r="E290" s="10">
        <v>244161.72120731632</v>
      </c>
      <c r="F290" s="1">
        <v>4</v>
      </c>
      <c r="G290" s="1">
        <v>99</v>
      </c>
      <c r="H290">
        <f t="shared" si="12"/>
        <v>2013</v>
      </c>
      <c r="I290">
        <f t="shared" si="13"/>
        <v>2020</v>
      </c>
      <c r="J290" s="7">
        <f t="shared" si="14"/>
        <v>364747.30649035657</v>
      </c>
      <c r="K290" s="7"/>
    </row>
    <row r="291" spans="1:11" x14ac:dyDescent="0.25">
      <c r="A291" s="1" t="s">
        <v>17</v>
      </c>
      <c r="B291" s="2">
        <v>201304</v>
      </c>
      <c r="C291" s="2">
        <v>202004</v>
      </c>
      <c r="D291" s="10">
        <v>7954.257913276595</v>
      </c>
      <c r="E291" s="10">
        <v>234950.15989645434</v>
      </c>
      <c r="F291" s="1">
        <v>3</v>
      </c>
      <c r="G291" s="1">
        <v>88</v>
      </c>
      <c r="H291">
        <f t="shared" si="12"/>
        <v>2013</v>
      </c>
      <c r="I291">
        <f t="shared" si="13"/>
        <v>2020</v>
      </c>
      <c r="J291" s="7">
        <f t="shared" si="14"/>
        <v>242904.41780973092</v>
      </c>
      <c r="K291" s="7"/>
    </row>
    <row r="292" spans="1:11" x14ac:dyDescent="0.25">
      <c r="A292" s="1" t="s">
        <v>17</v>
      </c>
      <c r="B292" s="2">
        <v>201304</v>
      </c>
      <c r="C292" s="2">
        <v>202101</v>
      </c>
      <c r="D292" s="10">
        <v>18324.412488692156</v>
      </c>
      <c r="E292" s="10">
        <v>236139.14510024927</v>
      </c>
      <c r="F292" s="1">
        <v>2</v>
      </c>
      <c r="G292" s="1">
        <v>81</v>
      </c>
      <c r="H292">
        <f t="shared" si="12"/>
        <v>2013</v>
      </c>
      <c r="I292">
        <f t="shared" si="13"/>
        <v>2021</v>
      </c>
      <c r="J292" s="7">
        <f t="shared" si="14"/>
        <v>254463.55758894142</v>
      </c>
      <c r="K292" s="7"/>
    </row>
    <row r="293" spans="1:11" x14ac:dyDescent="0.25">
      <c r="A293" s="1" t="s">
        <v>17</v>
      </c>
      <c r="B293" s="2">
        <v>201304</v>
      </c>
      <c r="C293" s="2">
        <v>202102</v>
      </c>
      <c r="D293" s="10">
        <v>18486.544599873869</v>
      </c>
      <c r="E293" s="10">
        <v>234199.94251015637</v>
      </c>
      <c r="F293" s="1">
        <v>1</v>
      </c>
      <c r="G293" s="1">
        <v>79</v>
      </c>
      <c r="H293">
        <f t="shared" si="12"/>
        <v>2013</v>
      </c>
      <c r="I293">
        <f t="shared" si="13"/>
        <v>2021</v>
      </c>
      <c r="J293" s="7">
        <f t="shared" si="14"/>
        <v>252686.48711003023</v>
      </c>
      <c r="K293" s="7"/>
    </row>
    <row r="294" spans="1:11" x14ac:dyDescent="0.25">
      <c r="A294" s="1" t="s">
        <v>17</v>
      </c>
      <c r="B294" s="2">
        <v>201304</v>
      </c>
      <c r="C294" s="2">
        <v>202103</v>
      </c>
      <c r="D294" s="10">
        <v>5695.8202953737155</v>
      </c>
      <c r="E294" s="10">
        <v>236502.63878551451</v>
      </c>
      <c r="F294" s="1">
        <v>5</v>
      </c>
      <c r="G294" s="1">
        <v>76</v>
      </c>
      <c r="H294">
        <f t="shared" si="12"/>
        <v>2013</v>
      </c>
      <c r="I294">
        <f t="shared" si="13"/>
        <v>2021</v>
      </c>
      <c r="J294" s="7">
        <f t="shared" si="14"/>
        <v>242198.45908088822</v>
      </c>
      <c r="K294" s="7"/>
    </row>
    <row r="295" spans="1:11" x14ac:dyDescent="0.25">
      <c r="A295" s="1" t="s">
        <v>17</v>
      </c>
      <c r="B295" s="2">
        <v>201304</v>
      </c>
      <c r="C295" s="2">
        <v>202104</v>
      </c>
      <c r="D295" s="10">
        <v>8981.2516178067399</v>
      </c>
      <c r="E295" s="10">
        <v>197398.30831929852</v>
      </c>
      <c r="F295" s="1">
        <v>3</v>
      </c>
      <c r="G295" s="1">
        <v>73</v>
      </c>
      <c r="H295">
        <f t="shared" si="12"/>
        <v>2013</v>
      </c>
      <c r="I295">
        <f t="shared" si="13"/>
        <v>2021</v>
      </c>
      <c r="J295" s="7">
        <f t="shared" si="14"/>
        <v>206379.55993710525</v>
      </c>
      <c r="K295" s="7"/>
    </row>
    <row r="296" spans="1:11" x14ac:dyDescent="0.25">
      <c r="A296" s="1" t="s">
        <v>17</v>
      </c>
      <c r="B296" s="2">
        <v>201401</v>
      </c>
      <c r="C296" s="2">
        <v>201401</v>
      </c>
      <c r="D296" s="10">
        <v>117897.25651561547</v>
      </c>
      <c r="E296" s="10">
        <v>598104.70223968173</v>
      </c>
      <c r="F296" s="1">
        <v>5241</v>
      </c>
      <c r="G296" s="1">
        <v>3273</v>
      </c>
      <c r="H296">
        <f t="shared" si="12"/>
        <v>2014</v>
      </c>
      <c r="I296">
        <f t="shared" si="13"/>
        <v>2014</v>
      </c>
      <c r="J296" s="7">
        <f t="shared" si="14"/>
        <v>716001.95875529724</v>
      </c>
      <c r="K296" s="7"/>
    </row>
    <row r="297" spans="1:11" x14ac:dyDescent="0.25">
      <c r="A297" s="1" t="s">
        <v>17</v>
      </c>
      <c r="B297" s="2">
        <v>201401</v>
      </c>
      <c r="C297" s="2">
        <v>201402</v>
      </c>
      <c r="D297" s="10">
        <v>186811.65756219655</v>
      </c>
      <c r="E297" s="10">
        <v>772911.90774306352</v>
      </c>
      <c r="F297" s="1">
        <v>2970</v>
      </c>
      <c r="G297" s="1">
        <v>3717</v>
      </c>
      <c r="H297">
        <f t="shared" si="12"/>
        <v>2014</v>
      </c>
      <c r="I297">
        <f t="shared" si="13"/>
        <v>2014</v>
      </c>
      <c r="J297" s="7">
        <f t="shared" si="14"/>
        <v>959723.56530526001</v>
      </c>
      <c r="K297" s="7"/>
    </row>
    <row r="298" spans="1:11" x14ac:dyDescent="0.25">
      <c r="A298" s="1" t="s">
        <v>17</v>
      </c>
      <c r="B298" s="2">
        <v>201401</v>
      </c>
      <c r="C298" s="2">
        <v>201403</v>
      </c>
      <c r="D298" s="10">
        <v>128889.4452475104</v>
      </c>
      <c r="E298" s="10">
        <v>883832.16182704305</v>
      </c>
      <c r="F298" s="1">
        <v>755</v>
      </c>
      <c r="G298" s="1">
        <v>3380</v>
      </c>
      <c r="H298">
        <f t="shared" si="12"/>
        <v>2014</v>
      </c>
      <c r="I298">
        <f t="shared" si="13"/>
        <v>2014</v>
      </c>
      <c r="J298" s="7">
        <f t="shared" si="14"/>
        <v>1012721.6070745535</v>
      </c>
      <c r="K298" s="7"/>
    </row>
    <row r="299" spans="1:11" x14ac:dyDescent="0.25">
      <c r="A299" s="1" t="s">
        <v>17</v>
      </c>
      <c r="B299" s="2">
        <v>201401</v>
      </c>
      <c r="C299" s="2">
        <v>201404</v>
      </c>
      <c r="D299" s="10">
        <v>122740.53315821479</v>
      </c>
      <c r="E299" s="10">
        <v>959777.76525767834</v>
      </c>
      <c r="F299" s="1">
        <v>454</v>
      </c>
      <c r="G299" s="1">
        <v>3022</v>
      </c>
      <c r="H299">
        <f t="shared" si="12"/>
        <v>2014</v>
      </c>
      <c r="I299">
        <f t="shared" si="13"/>
        <v>2014</v>
      </c>
      <c r="J299" s="7">
        <f t="shared" si="14"/>
        <v>1082518.2984158932</v>
      </c>
      <c r="K299" s="7"/>
    </row>
    <row r="300" spans="1:11" x14ac:dyDescent="0.25">
      <c r="A300" s="1" t="s">
        <v>17</v>
      </c>
      <c r="B300" s="2">
        <v>201401</v>
      </c>
      <c r="C300" s="2">
        <v>201501</v>
      </c>
      <c r="D300" s="10">
        <v>70170.830093560871</v>
      </c>
      <c r="E300" s="10">
        <v>931070.79118443863</v>
      </c>
      <c r="F300" s="1">
        <v>221</v>
      </c>
      <c r="G300" s="1">
        <v>2682</v>
      </c>
      <c r="H300">
        <f t="shared" si="12"/>
        <v>2014</v>
      </c>
      <c r="I300">
        <f t="shared" si="13"/>
        <v>2015</v>
      </c>
      <c r="J300" s="7">
        <f t="shared" si="14"/>
        <v>1001241.6212779995</v>
      </c>
      <c r="K300" s="7"/>
    </row>
    <row r="301" spans="1:11" x14ac:dyDescent="0.25">
      <c r="A301" s="1" t="s">
        <v>17</v>
      </c>
      <c r="B301" s="2">
        <v>201401</v>
      </c>
      <c r="C301" s="2">
        <v>201502</v>
      </c>
      <c r="D301" s="10">
        <v>73073.539726051764</v>
      </c>
      <c r="E301" s="10">
        <v>874768.06377232086</v>
      </c>
      <c r="F301" s="1">
        <v>122</v>
      </c>
      <c r="G301" s="1">
        <v>2376</v>
      </c>
      <c r="H301">
        <f t="shared" si="12"/>
        <v>2014</v>
      </c>
      <c r="I301">
        <f t="shared" si="13"/>
        <v>2015</v>
      </c>
      <c r="J301" s="7">
        <f t="shared" si="14"/>
        <v>947841.6034983726</v>
      </c>
      <c r="K301" s="7"/>
    </row>
    <row r="302" spans="1:11" x14ac:dyDescent="0.25">
      <c r="A302" s="1" t="s">
        <v>17</v>
      </c>
      <c r="B302" s="2">
        <v>201401</v>
      </c>
      <c r="C302" s="2">
        <v>201503</v>
      </c>
      <c r="D302" s="10">
        <v>47403.576968286419</v>
      </c>
      <c r="E302" s="10">
        <v>890948.4615905009</v>
      </c>
      <c r="F302" s="1">
        <v>92</v>
      </c>
      <c r="G302" s="1">
        <v>2295</v>
      </c>
      <c r="H302">
        <f t="shared" si="12"/>
        <v>2014</v>
      </c>
      <c r="I302">
        <f t="shared" si="13"/>
        <v>2015</v>
      </c>
      <c r="J302" s="7">
        <f t="shared" si="14"/>
        <v>938352.03855878732</v>
      </c>
      <c r="K302" s="7"/>
    </row>
    <row r="303" spans="1:11" x14ac:dyDescent="0.25">
      <c r="A303" s="1" t="s">
        <v>17</v>
      </c>
      <c r="B303" s="2">
        <v>201401</v>
      </c>
      <c r="C303" s="2">
        <v>201504</v>
      </c>
      <c r="D303" s="10">
        <v>47282.231808166027</v>
      </c>
      <c r="E303" s="10">
        <v>937367.74576376006</v>
      </c>
      <c r="F303" s="1">
        <v>64</v>
      </c>
      <c r="G303" s="1">
        <v>2065</v>
      </c>
      <c r="H303">
        <f t="shared" si="12"/>
        <v>2014</v>
      </c>
      <c r="I303">
        <f t="shared" si="13"/>
        <v>2015</v>
      </c>
      <c r="J303" s="7">
        <f t="shared" si="14"/>
        <v>984649.97757192608</v>
      </c>
      <c r="K303" s="7"/>
    </row>
    <row r="304" spans="1:11" x14ac:dyDescent="0.25">
      <c r="A304" s="1" t="s">
        <v>17</v>
      </c>
      <c r="B304" s="2">
        <v>201401</v>
      </c>
      <c r="C304" s="2">
        <v>201601</v>
      </c>
      <c r="D304" s="10">
        <v>57777.055591783806</v>
      </c>
      <c r="E304" s="10">
        <v>888006.56772971584</v>
      </c>
      <c r="F304" s="1">
        <v>55</v>
      </c>
      <c r="G304" s="1">
        <v>1820</v>
      </c>
      <c r="H304">
        <f t="shared" si="12"/>
        <v>2014</v>
      </c>
      <c r="I304">
        <f t="shared" si="13"/>
        <v>2016</v>
      </c>
      <c r="J304" s="7">
        <f t="shared" si="14"/>
        <v>945783.62332149968</v>
      </c>
      <c r="K304" s="7"/>
    </row>
    <row r="305" spans="1:11" x14ac:dyDescent="0.25">
      <c r="A305" s="1" t="s">
        <v>17</v>
      </c>
      <c r="B305" s="2">
        <v>201401</v>
      </c>
      <c r="C305" s="2">
        <v>201602</v>
      </c>
      <c r="D305" s="10">
        <v>36015.691568687616</v>
      </c>
      <c r="E305" s="10">
        <v>884107.64594222931</v>
      </c>
      <c r="F305" s="1">
        <v>47</v>
      </c>
      <c r="G305" s="1">
        <v>1732</v>
      </c>
      <c r="H305">
        <f t="shared" si="12"/>
        <v>2014</v>
      </c>
      <c r="I305">
        <f t="shared" si="13"/>
        <v>2016</v>
      </c>
      <c r="J305" s="7">
        <f t="shared" si="14"/>
        <v>920123.33751091687</v>
      </c>
      <c r="K305" s="7"/>
    </row>
    <row r="306" spans="1:11" x14ac:dyDescent="0.25">
      <c r="A306" s="1" t="s">
        <v>17</v>
      </c>
      <c r="B306" s="2">
        <v>201401</v>
      </c>
      <c r="C306" s="2">
        <v>201603</v>
      </c>
      <c r="D306" s="10">
        <v>29122.299127816663</v>
      </c>
      <c r="E306" s="10">
        <v>1072391.5567389491</v>
      </c>
      <c r="F306" s="1">
        <v>43</v>
      </c>
      <c r="G306" s="1">
        <v>1671</v>
      </c>
      <c r="H306">
        <f t="shared" si="12"/>
        <v>2014</v>
      </c>
      <c r="I306">
        <f t="shared" si="13"/>
        <v>2016</v>
      </c>
      <c r="J306" s="7">
        <f t="shared" si="14"/>
        <v>1101513.8558667658</v>
      </c>
      <c r="K306" s="7"/>
    </row>
    <row r="307" spans="1:11" x14ac:dyDescent="0.25">
      <c r="A307" s="1" t="s">
        <v>17</v>
      </c>
      <c r="B307" s="2">
        <v>201401</v>
      </c>
      <c r="C307" s="2">
        <v>201604</v>
      </c>
      <c r="D307" s="10">
        <v>55925.098974564455</v>
      </c>
      <c r="E307" s="10">
        <v>954101.19496124249</v>
      </c>
      <c r="F307" s="1">
        <v>42</v>
      </c>
      <c r="G307" s="1">
        <v>1451</v>
      </c>
      <c r="H307">
        <f t="shared" si="12"/>
        <v>2014</v>
      </c>
      <c r="I307">
        <f t="shared" si="13"/>
        <v>2016</v>
      </c>
      <c r="J307" s="7">
        <f t="shared" si="14"/>
        <v>1010026.293935807</v>
      </c>
      <c r="K307" s="7"/>
    </row>
    <row r="308" spans="1:11" x14ac:dyDescent="0.25">
      <c r="A308" s="1" t="s">
        <v>17</v>
      </c>
      <c r="B308" s="2">
        <v>201401</v>
      </c>
      <c r="C308" s="2">
        <v>201701</v>
      </c>
      <c r="D308" s="10">
        <v>37207.506004486742</v>
      </c>
      <c r="E308" s="10">
        <v>872297.65330895816</v>
      </c>
      <c r="F308" s="1">
        <v>45</v>
      </c>
      <c r="G308" s="1">
        <v>1195</v>
      </c>
      <c r="H308">
        <f t="shared" si="12"/>
        <v>2014</v>
      </c>
      <c r="I308">
        <f t="shared" si="13"/>
        <v>2017</v>
      </c>
      <c r="J308" s="7">
        <f t="shared" si="14"/>
        <v>909505.15931344486</v>
      </c>
      <c r="K308" s="7"/>
    </row>
    <row r="309" spans="1:11" x14ac:dyDescent="0.25">
      <c r="A309" s="1" t="s">
        <v>17</v>
      </c>
      <c r="B309" s="2">
        <v>201401</v>
      </c>
      <c r="C309" s="2">
        <v>201702</v>
      </c>
      <c r="D309" s="10">
        <v>47439.774082695549</v>
      </c>
      <c r="E309" s="10">
        <v>935216.74469160533</v>
      </c>
      <c r="F309" s="1">
        <v>25</v>
      </c>
      <c r="G309" s="1">
        <v>1112</v>
      </c>
      <c r="H309">
        <f t="shared" si="12"/>
        <v>2014</v>
      </c>
      <c r="I309">
        <f t="shared" si="13"/>
        <v>2017</v>
      </c>
      <c r="J309" s="7">
        <f t="shared" si="14"/>
        <v>982656.51877430093</v>
      </c>
      <c r="K309" s="7"/>
    </row>
    <row r="310" spans="1:11" x14ac:dyDescent="0.25">
      <c r="A310" s="1" t="s">
        <v>17</v>
      </c>
      <c r="B310" s="2">
        <v>201401</v>
      </c>
      <c r="C310" s="2">
        <v>201703</v>
      </c>
      <c r="D310" s="10">
        <v>40977.833091377579</v>
      </c>
      <c r="E310" s="10">
        <v>870481.22521173873</v>
      </c>
      <c r="F310" s="1">
        <v>14</v>
      </c>
      <c r="G310" s="1">
        <v>881</v>
      </c>
      <c r="H310">
        <f t="shared" si="12"/>
        <v>2014</v>
      </c>
      <c r="I310">
        <f t="shared" si="13"/>
        <v>2017</v>
      </c>
      <c r="J310" s="7">
        <f t="shared" si="14"/>
        <v>911459.05830311636</v>
      </c>
      <c r="K310" s="7"/>
    </row>
    <row r="311" spans="1:11" x14ac:dyDescent="0.25">
      <c r="A311" s="1" t="s">
        <v>17</v>
      </c>
      <c r="B311" s="2">
        <v>201401</v>
      </c>
      <c r="C311" s="2">
        <v>201704</v>
      </c>
      <c r="D311" s="10">
        <v>30665.136010753384</v>
      </c>
      <c r="E311" s="10">
        <v>706308.83342416666</v>
      </c>
      <c r="F311" s="1">
        <v>28</v>
      </c>
      <c r="G311" s="1">
        <v>678</v>
      </c>
      <c r="H311">
        <f t="shared" si="12"/>
        <v>2014</v>
      </c>
      <c r="I311">
        <f t="shared" si="13"/>
        <v>2017</v>
      </c>
      <c r="J311" s="7">
        <f t="shared" si="14"/>
        <v>736973.96943492</v>
      </c>
      <c r="K311" s="7"/>
    </row>
    <row r="312" spans="1:11" x14ac:dyDescent="0.25">
      <c r="A312" s="1" t="s">
        <v>17</v>
      </c>
      <c r="B312" s="2">
        <v>201401</v>
      </c>
      <c r="C312" s="2">
        <v>201801</v>
      </c>
      <c r="D312" s="10">
        <v>29321.176106107116</v>
      </c>
      <c r="E312" s="10">
        <v>691818.1130796941</v>
      </c>
      <c r="F312" s="1">
        <v>15</v>
      </c>
      <c r="G312" s="1">
        <v>646</v>
      </c>
      <c r="H312">
        <f t="shared" si="12"/>
        <v>2014</v>
      </c>
      <c r="I312">
        <f t="shared" si="13"/>
        <v>2018</v>
      </c>
      <c r="J312" s="7">
        <f t="shared" si="14"/>
        <v>721139.28918580117</v>
      </c>
      <c r="K312" s="7"/>
    </row>
    <row r="313" spans="1:11" x14ac:dyDescent="0.25">
      <c r="A313" s="1" t="s">
        <v>17</v>
      </c>
      <c r="B313" s="2">
        <v>201401</v>
      </c>
      <c r="C313" s="2">
        <v>201802</v>
      </c>
      <c r="D313" s="10">
        <v>46554.675038644848</v>
      </c>
      <c r="E313" s="10">
        <v>624446.66040450486</v>
      </c>
      <c r="F313" s="1">
        <v>14</v>
      </c>
      <c r="G313" s="1">
        <v>592</v>
      </c>
      <c r="H313">
        <f t="shared" si="12"/>
        <v>2014</v>
      </c>
      <c r="I313">
        <f t="shared" si="13"/>
        <v>2018</v>
      </c>
      <c r="J313" s="7">
        <f t="shared" si="14"/>
        <v>671001.33544314967</v>
      </c>
      <c r="K313" s="7"/>
    </row>
    <row r="314" spans="1:11" x14ac:dyDescent="0.25">
      <c r="A314" s="1" t="s">
        <v>17</v>
      </c>
      <c r="B314" s="2">
        <v>201401</v>
      </c>
      <c r="C314" s="2">
        <v>201803</v>
      </c>
      <c r="D314" s="10">
        <v>69079.830945422524</v>
      </c>
      <c r="E314" s="10">
        <v>588060.8647437332</v>
      </c>
      <c r="F314" s="1">
        <v>10</v>
      </c>
      <c r="G314" s="1">
        <v>563</v>
      </c>
      <c r="H314">
        <f t="shared" si="12"/>
        <v>2014</v>
      </c>
      <c r="I314">
        <f t="shared" si="13"/>
        <v>2018</v>
      </c>
      <c r="J314" s="7">
        <f t="shared" si="14"/>
        <v>657140.69568915572</v>
      </c>
      <c r="K314" s="7"/>
    </row>
    <row r="315" spans="1:11" x14ac:dyDescent="0.25">
      <c r="A315" s="1" t="s">
        <v>17</v>
      </c>
      <c r="B315" s="2">
        <v>201401</v>
      </c>
      <c r="C315" s="2">
        <v>201804</v>
      </c>
      <c r="D315" s="10">
        <v>14600.909921980996</v>
      </c>
      <c r="E315" s="10">
        <v>526286.17652535113</v>
      </c>
      <c r="F315" s="1">
        <v>15</v>
      </c>
      <c r="G315" s="1">
        <v>400</v>
      </c>
      <c r="H315">
        <f t="shared" si="12"/>
        <v>2014</v>
      </c>
      <c r="I315">
        <f t="shared" si="13"/>
        <v>2018</v>
      </c>
      <c r="J315" s="7">
        <f t="shared" si="14"/>
        <v>540887.08644733217</v>
      </c>
      <c r="K315" s="7"/>
    </row>
    <row r="316" spans="1:11" x14ac:dyDescent="0.25">
      <c r="A316" s="1" t="s">
        <v>17</v>
      </c>
      <c r="B316" s="2">
        <v>201401</v>
      </c>
      <c r="C316" s="2">
        <v>201901</v>
      </c>
      <c r="D316" s="10">
        <v>22825.082115201083</v>
      </c>
      <c r="E316" s="10">
        <v>499122.81549557595</v>
      </c>
      <c r="F316" s="1">
        <v>11</v>
      </c>
      <c r="G316" s="1">
        <v>342</v>
      </c>
      <c r="H316">
        <f t="shared" si="12"/>
        <v>2014</v>
      </c>
      <c r="I316">
        <f t="shared" si="13"/>
        <v>2019</v>
      </c>
      <c r="J316" s="7">
        <f t="shared" si="14"/>
        <v>521947.89761077706</v>
      </c>
      <c r="K316" s="7"/>
    </row>
    <row r="317" spans="1:11" x14ac:dyDescent="0.25">
      <c r="A317" s="1" t="s">
        <v>17</v>
      </c>
      <c r="B317" s="2">
        <v>201401</v>
      </c>
      <c r="C317" s="2">
        <v>201902</v>
      </c>
      <c r="D317" s="10">
        <v>45073.440965357353</v>
      </c>
      <c r="E317" s="10">
        <v>399127.6010149502</v>
      </c>
      <c r="F317" s="1">
        <v>5</v>
      </c>
      <c r="G317" s="1">
        <v>324</v>
      </c>
      <c r="H317">
        <f t="shared" si="12"/>
        <v>2014</v>
      </c>
      <c r="I317">
        <f t="shared" si="13"/>
        <v>2019</v>
      </c>
      <c r="J317" s="7">
        <f t="shared" si="14"/>
        <v>444201.04198030755</v>
      </c>
      <c r="K317" s="7"/>
    </row>
    <row r="318" spans="1:11" x14ac:dyDescent="0.25">
      <c r="A318" s="1" t="s">
        <v>17</v>
      </c>
      <c r="B318" s="2">
        <v>201401</v>
      </c>
      <c r="C318" s="2">
        <v>201903</v>
      </c>
      <c r="D318" s="10">
        <v>8217.0461314260028</v>
      </c>
      <c r="E318" s="10">
        <v>349802.58564810659</v>
      </c>
      <c r="F318" s="1">
        <v>5</v>
      </c>
      <c r="G318" s="1">
        <v>289</v>
      </c>
      <c r="H318">
        <f t="shared" si="12"/>
        <v>2014</v>
      </c>
      <c r="I318">
        <f t="shared" si="13"/>
        <v>2019</v>
      </c>
      <c r="J318" s="7">
        <f t="shared" si="14"/>
        <v>358019.63177953259</v>
      </c>
      <c r="K318" s="7"/>
    </row>
    <row r="319" spans="1:11" x14ac:dyDescent="0.25">
      <c r="A319" s="1" t="s">
        <v>17</v>
      </c>
      <c r="B319" s="2">
        <v>201401</v>
      </c>
      <c r="C319" s="2">
        <v>201904</v>
      </c>
      <c r="D319" s="10">
        <v>7205.9287761538681</v>
      </c>
      <c r="E319" s="10">
        <v>322447.92680289689</v>
      </c>
      <c r="F319" s="1">
        <v>7</v>
      </c>
      <c r="G319" s="1">
        <v>265</v>
      </c>
      <c r="H319">
        <f t="shared" si="12"/>
        <v>2014</v>
      </c>
      <c r="I319">
        <f t="shared" si="13"/>
        <v>2019</v>
      </c>
      <c r="J319" s="7">
        <f t="shared" si="14"/>
        <v>329653.85557905078</v>
      </c>
      <c r="K319" s="7"/>
    </row>
    <row r="320" spans="1:11" x14ac:dyDescent="0.25">
      <c r="A320" s="1" t="s">
        <v>17</v>
      </c>
      <c r="B320" s="2">
        <v>201401</v>
      </c>
      <c r="C320" s="2">
        <v>202001</v>
      </c>
      <c r="D320" s="10">
        <v>13626.894649356793</v>
      </c>
      <c r="E320" s="10">
        <v>338639.51770369126</v>
      </c>
      <c r="F320" s="1">
        <v>7</v>
      </c>
      <c r="G320" s="1">
        <v>245</v>
      </c>
      <c r="H320">
        <f t="shared" si="12"/>
        <v>2014</v>
      </c>
      <c r="I320">
        <f t="shared" si="13"/>
        <v>2020</v>
      </c>
      <c r="J320" s="7">
        <f t="shared" si="14"/>
        <v>352266.41235304804</v>
      </c>
      <c r="K320" s="7"/>
    </row>
    <row r="321" spans="1:11" x14ac:dyDescent="0.25">
      <c r="A321" s="1" t="s">
        <v>17</v>
      </c>
      <c r="B321" s="2">
        <v>201401</v>
      </c>
      <c r="C321" s="2">
        <v>202002</v>
      </c>
      <c r="D321" s="10">
        <v>4521.3763207576976</v>
      </c>
      <c r="E321" s="10">
        <v>394761.72684246994</v>
      </c>
      <c r="F321" s="1">
        <v>5</v>
      </c>
      <c r="G321" s="1">
        <v>228</v>
      </c>
      <c r="H321">
        <f t="shared" si="12"/>
        <v>2014</v>
      </c>
      <c r="I321">
        <f t="shared" si="13"/>
        <v>2020</v>
      </c>
      <c r="J321" s="7">
        <f t="shared" si="14"/>
        <v>399283.10316322761</v>
      </c>
      <c r="K321" s="7"/>
    </row>
    <row r="322" spans="1:11" x14ac:dyDescent="0.25">
      <c r="A322" s="1" t="s">
        <v>17</v>
      </c>
      <c r="B322" s="2">
        <v>201401</v>
      </c>
      <c r="C322" s="2">
        <v>202003</v>
      </c>
      <c r="D322" s="10">
        <v>5762.863261638392</v>
      </c>
      <c r="E322" s="10">
        <v>409552.4507890151</v>
      </c>
      <c r="F322" s="1">
        <v>6</v>
      </c>
      <c r="G322" s="1">
        <v>209</v>
      </c>
      <c r="H322">
        <f t="shared" si="12"/>
        <v>2014</v>
      </c>
      <c r="I322">
        <f t="shared" si="13"/>
        <v>2020</v>
      </c>
      <c r="J322" s="7">
        <f t="shared" si="14"/>
        <v>415315.31405065348</v>
      </c>
      <c r="K322" s="7"/>
    </row>
    <row r="323" spans="1:11" x14ac:dyDescent="0.25">
      <c r="A323" s="1" t="s">
        <v>17</v>
      </c>
      <c r="B323" s="2">
        <v>201401</v>
      </c>
      <c r="C323" s="2">
        <v>202004</v>
      </c>
      <c r="D323" s="10">
        <v>13431.083816152048</v>
      </c>
      <c r="E323" s="10">
        <v>409186.20637623931</v>
      </c>
      <c r="F323" s="1">
        <v>3</v>
      </c>
      <c r="G323" s="1">
        <v>206</v>
      </c>
      <c r="H323">
        <f t="shared" si="12"/>
        <v>2014</v>
      </c>
      <c r="I323">
        <f t="shared" si="13"/>
        <v>2020</v>
      </c>
      <c r="J323" s="7">
        <f t="shared" si="14"/>
        <v>422617.29019239137</v>
      </c>
      <c r="K323" s="7"/>
    </row>
    <row r="324" spans="1:11" x14ac:dyDescent="0.25">
      <c r="A324" s="1" t="s">
        <v>17</v>
      </c>
      <c r="B324" s="2">
        <v>201401</v>
      </c>
      <c r="C324" s="2">
        <v>202101</v>
      </c>
      <c r="D324" s="10">
        <v>21982.350562633383</v>
      </c>
      <c r="E324" s="10">
        <v>405281.37004717765</v>
      </c>
      <c r="F324" s="1">
        <v>3</v>
      </c>
      <c r="G324" s="1">
        <v>197</v>
      </c>
      <c r="H324">
        <f t="shared" ref="H324:H387" si="15">VALUE(LEFT(B324,4))</f>
        <v>2014</v>
      </c>
      <c r="I324">
        <f t="shared" ref="I324:I387" si="16">VALUE(LEFT(C324,4))</f>
        <v>2021</v>
      </c>
      <c r="J324" s="7">
        <f t="shared" si="14"/>
        <v>427263.72060981102</v>
      </c>
      <c r="K324" s="7"/>
    </row>
    <row r="325" spans="1:11" x14ac:dyDescent="0.25">
      <c r="A325" s="1" t="s">
        <v>17</v>
      </c>
      <c r="B325" s="2">
        <v>201401</v>
      </c>
      <c r="C325" s="2">
        <v>202102</v>
      </c>
      <c r="D325" s="10">
        <v>80483.725873506773</v>
      </c>
      <c r="E325" s="10">
        <v>412072.54085188365</v>
      </c>
      <c r="F325" s="1">
        <v>4</v>
      </c>
      <c r="G325" s="1">
        <v>184</v>
      </c>
      <c r="H325">
        <f t="shared" si="15"/>
        <v>2014</v>
      </c>
      <c r="I325">
        <f t="shared" si="16"/>
        <v>2021</v>
      </c>
      <c r="J325" s="7">
        <f t="shared" ref="J325:J388" si="17">D325+E325</f>
        <v>492556.26672539045</v>
      </c>
      <c r="K325" s="7"/>
    </row>
    <row r="326" spans="1:11" x14ac:dyDescent="0.25">
      <c r="A326" s="1" t="s">
        <v>17</v>
      </c>
      <c r="B326" s="2">
        <v>201401</v>
      </c>
      <c r="C326" s="2">
        <v>202103</v>
      </c>
      <c r="D326" s="10">
        <v>28762.175434942586</v>
      </c>
      <c r="E326" s="10">
        <v>405557.91108593158</v>
      </c>
      <c r="F326" s="1">
        <v>2</v>
      </c>
      <c r="G326" s="1">
        <v>176</v>
      </c>
      <c r="H326">
        <f t="shared" si="15"/>
        <v>2014</v>
      </c>
      <c r="I326">
        <f t="shared" si="16"/>
        <v>2021</v>
      </c>
      <c r="J326" s="7">
        <f t="shared" si="17"/>
        <v>434320.08652087417</v>
      </c>
      <c r="K326" s="7"/>
    </row>
    <row r="327" spans="1:11" x14ac:dyDescent="0.25">
      <c r="A327" s="1" t="s">
        <v>17</v>
      </c>
      <c r="B327" s="2">
        <v>201401</v>
      </c>
      <c r="C327" s="2">
        <v>202104</v>
      </c>
      <c r="D327" s="10">
        <v>5599.8117060938976</v>
      </c>
      <c r="E327" s="10">
        <v>378845.62003188743</v>
      </c>
      <c r="F327" s="1">
        <v>3</v>
      </c>
      <c r="G327" s="1">
        <v>163</v>
      </c>
      <c r="H327">
        <f t="shared" si="15"/>
        <v>2014</v>
      </c>
      <c r="I327">
        <f t="shared" si="16"/>
        <v>2021</v>
      </c>
      <c r="J327" s="7">
        <f t="shared" si="17"/>
        <v>384445.43173798133</v>
      </c>
      <c r="K327" s="7"/>
    </row>
    <row r="328" spans="1:11" x14ac:dyDescent="0.25">
      <c r="A328" s="1" t="s">
        <v>17</v>
      </c>
      <c r="B328" s="2">
        <v>201402</v>
      </c>
      <c r="C328" s="2">
        <v>201402</v>
      </c>
      <c r="D328" s="10">
        <v>80319.392916733617</v>
      </c>
      <c r="E328" s="10">
        <v>347316.0110202551</v>
      </c>
      <c r="F328" s="1">
        <v>4141</v>
      </c>
      <c r="G328" s="1">
        <v>2616</v>
      </c>
      <c r="H328">
        <f t="shared" si="15"/>
        <v>2014</v>
      </c>
      <c r="I328">
        <f t="shared" si="16"/>
        <v>2014</v>
      </c>
      <c r="J328" s="7">
        <f t="shared" si="17"/>
        <v>427635.40393698873</v>
      </c>
      <c r="K328" s="7"/>
    </row>
    <row r="329" spans="1:11" x14ac:dyDescent="0.25">
      <c r="A329" s="1" t="s">
        <v>17</v>
      </c>
      <c r="B329" s="2">
        <v>201402</v>
      </c>
      <c r="C329" s="2">
        <v>201403</v>
      </c>
      <c r="D329" s="10">
        <v>170800.09960073771</v>
      </c>
      <c r="E329" s="10">
        <v>541079.19198189105</v>
      </c>
      <c r="F329" s="1">
        <v>2585</v>
      </c>
      <c r="G329" s="1">
        <v>2841</v>
      </c>
      <c r="H329">
        <f t="shared" si="15"/>
        <v>2014</v>
      </c>
      <c r="I329">
        <f t="shared" si="16"/>
        <v>2014</v>
      </c>
      <c r="J329" s="7">
        <f t="shared" si="17"/>
        <v>711879.29158262874</v>
      </c>
      <c r="K329" s="7"/>
    </row>
    <row r="330" spans="1:11" x14ac:dyDescent="0.25">
      <c r="A330" s="1" t="s">
        <v>17</v>
      </c>
      <c r="B330" s="2">
        <v>201402</v>
      </c>
      <c r="C330" s="2">
        <v>201404</v>
      </c>
      <c r="D330" s="10">
        <v>113148.17281996689</v>
      </c>
      <c r="E330" s="10">
        <v>723643.02574030811</v>
      </c>
      <c r="F330" s="1">
        <v>709</v>
      </c>
      <c r="G330" s="1">
        <v>2523</v>
      </c>
      <c r="H330">
        <f t="shared" si="15"/>
        <v>2014</v>
      </c>
      <c r="I330">
        <f t="shared" si="16"/>
        <v>2014</v>
      </c>
      <c r="J330" s="7">
        <f t="shared" si="17"/>
        <v>836791.19856027502</v>
      </c>
      <c r="K330" s="7"/>
    </row>
    <row r="331" spans="1:11" x14ac:dyDescent="0.25">
      <c r="A331" s="1" t="s">
        <v>17</v>
      </c>
      <c r="B331" s="2">
        <v>201402</v>
      </c>
      <c r="C331" s="2">
        <v>201501</v>
      </c>
      <c r="D331" s="10">
        <v>94590.502755678113</v>
      </c>
      <c r="E331" s="10">
        <v>745124.41702634399</v>
      </c>
      <c r="F331" s="1">
        <v>286</v>
      </c>
      <c r="G331" s="1">
        <v>2303</v>
      </c>
      <c r="H331">
        <f t="shared" si="15"/>
        <v>2014</v>
      </c>
      <c r="I331">
        <f t="shared" si="16"/>
        <v>2015</v>
      </c>
      <c r="J331" s="7">
        <f t="shared" si="17"/>
        <v>839714.91978202213</v>
      </c>
      <c r="K331" s="7"/>
    </row>
    <row r="332" spans="1:11" x14ac:dyDescent="0.25">
      <c r="A332" s="1" t="s">
        <v>17</v>
      </c>
      <c r="B332" s="2">
        <v>201402</v>
      </c>
      <c r="C332" s="2">
        <v>201502</v>
      </c>
      <c r="D332" s="10">
        <v>65720.515406953637</v>
      </c>
      <c r="E332" s="10">
        <v>654290.06171431334</v>
      </c>
      <c r="F332" s="1">
        <v>155</v>
      </c>
      <c r="G332" s="1">
        <v>2033</v>
      </c>
      <c r="H332">
        <f t="shared" si="15"/>
        <v>2014</v>
      </c>
      <c r="I332">
        <f t="shared" si="16"/>
        <v>2015</v>
      </c>
      <c r="J332" s="7">
        <f t="shared" si="17"/>
        <v>720010.57712126698</v>
      </c>
      <c r="K332" s="7"/>
    </row>
    <row r="333" spans="1:11" x14ac:dyDescent="0.25">
      <c r="A333" s="1" t="s">
        <v>17</v>
      </c>
      <c r="B333" s="2">
        <v>201402</v>
      </c>
      <c r="C333" s="2">
        <v>201503</v>
      </c>
      <c r="D333" s="10">
        <v>37734.162475551857</v>
      </c>
      <c r="E333" s="10">
        <v>660261.56139542139</v>
      </c>
      <c r="F333" s="1">
        <v>78</v>
      </c>
      <c r="G333" s="1">
        <v>1835</v>
      </c>
      <c r="H333">
        <f t="shared" si="15"/>
        <v>2014</v>
      </c>
      <c r="I333">
        <f t="shared" si="16"/>
        <v>2015</v>
      </c>
      <c r="J333" s="7">
        <f t="shared" si="17"/>
        <v>697995.72387097322</v>
      </c>
      <c r="K333" s="7"/>
    </row>
    <row r="334" spans="1:11" x14ac:dyDescent="0.25">
      <c r="A334" s="1" t="s">
        <v>17</v>
      </c>
      <c r="B334" s="2">
        <v>201402</v>
      </c>
      <c r="C334" s="2">
        <v>201504</v>
      </c>
      <c r="D334" s="10">
        <v>65456.04435908443</v>
      </c>
      <c r="E334" s="10">
        <v>663522.32384469907</v>
      </c>
      <c r="F334" s="1">
        <v>81</v>
      </c>
      <c r="G334" s="1">
        <v>1634</v>
      </c>
      <c r="H334">
        <f t="shared" si="15"/>
        <v>2014</v>
      </c>
      <c r="I334">
        <f t="shared" si="16"/>
        <v>2015</v>
      </c>
      <c r="J334" s="7">
        <f t="shared" si="17"/>
        <v>728978.36820378352</v>
      </c>
      <c r="K334" s="7"/>
    </row>
    <row r="335" spans="1:11" x14ac:dyDescent="0.25">
      <c r="A335" s="1" t="s">
        <v>17</v>
      </c>
      <c r="B335" s="2">
        <v>201402</v>
      </c>
      <c r="C335" s="2">
        <v>201601</v>
      </c>
      <c r="D335" s="10">
        <v>31851.217082522373</v>
      </c>
      <c r="E335" s="10">
        <v>642254.82887447451</v>
      </c>
      <c r="F335" s="1">
        <v>39</v>
      </c>
      <c r="G335" s="1">
        <v>1522</v>
      </c>
      <c r="H335">
        <f t="shared" si="15"/>
        <v>2014</v>
      </c>
      <c r="I335">
        <f t="shared" si="16"/>
        <v>2016</v>
      </c>
      <c r="J335" s="7">
        <f t="shared" si="17"/>
        <v>674106.04595699685</v>
      </c>
      <c r="K335" s="7"/>
    </row>
    <row r="336" spans="1:11" x14ac:dyDescent="0.25">
      <c r="A336" s="1" t="s">
        <v>17</v>
      </c>
      <c r="B336" s="2">
        <v>201402</v>
      </c>
      <c r="C336" s="2">
        <v>201602</v>
      </c>
      <c r="D336" s="10">
        <v>30659.391921538161</v>
      </c>
      <c r="E336" s="10">
        <v>630571.61801698199</v>
      </c>
      <c r="F336" s="1">
        <v>36</v>
      </c>
      <c r="G336" s="1">
        <v>1451</v>
      </c>
      <c r="H336">
        <f t="shared" si="15"/>
        <v>2014</v>
      </c>
      <c r="I336">
        <f t="shared" si="16"/>
        <v>2016</v>
      </c>
      <c r="J336" s="7">
        <f t="shared" si="17"/>
        <v>661231.00993852015</v>
      </c>
      <c r="K336" s="7"/>
    </row>
    <row r="337" spans="1:11" x14ac:dyDescent="0.25">
      <c r="A337" s="1" t="s">
        <v>17</v>
      </c>
      <c r="B337" s="2">
        <v>201402</v>
      </c>
      <c r="C337" s="2">
        <v>201603</v>
      </c>
      <c r="D337" s="10">
        <v>11692.079635248258</v>
      </c>
      <c r="E337" s="10">
        <v>599305.28811773297</v>
      </c>
      <c r="F337" s="1">
        <v>20</v>
      </c>
      <c r="G337" s="1">
        <v>1359</v>
      </c>
      <c r="H337">
        <f t="shared" si="15"/>
        <v>2014</v>
      </c>
      <c r="I337">
        <f t="shared" si="16"/>
        <v>2016</v>
      </c>
      <c r="J337" s="7">
        <f t="shared" si="17"/>
        <v>610997.36775298126</v>
      </c>
      <c r="K337" s="7"/>
    </row>
    <row r="338" spans="1:11" x14ac:dyDescent="0.25">
      <c r="A338" s="1" t="s">
        <v>17</v>
      </c>
      <c r="B338" s="2">
        <v>201402</v>
      </c>
      <c r="C338" s="2">
        <v>201604</v>
      </c>
      <c r="D338" s="10">
        <v>25490.03872890081</v>
      </c>
      <c r="E338" s="10">
        <v>595147.11038676533</v>
      </c>
      <c r="F338" s="1">
        <v>23</v>
      </c>
      <c r="G338" s="1">
        <v>1176</v>
      </c>
      <c r="H338">
        <f t="shared" si="15"/>
        <v>2014</v>
      </c>
      <c r="I338">
        <f t="shared" si="16"/>
        <v>2016</v>
      </c>
      <c r="J338" s="7">
        <f t="shared" si="17"/>
        <v>620637.14911566617</v>
      </c>
      <c r="K338" s="7"/>
    </row>
    <row r="339" spans="1:11" x14ac:dyDescent="0.25">
      <c r="A339" s="1" t="s">
        <v>17</v>
      </c>
      <c r="B339" s="2">
        <v>201402</v>
      </c>
      <c r="C339" s="2">
        <v>201701</v>
      </c>
      <c r="D339" s="10">
        <v>38186.550952173078</v>
      </c>
      <c r="E339" s="10">
        <v>545480.14248850534</v>
      </c>
      <c r="F339" s="1">
        <v>41</v>
      </c>
      <c r="G339" s="1">
        <v>986</v>
      </c>
      <c r="H339">
        <f t="shared" si="15"/>
        <v>2014</v>
      </c>
      <c r="I339">
        <f t="shared" si="16"/>
        <v>2017</v>
      </c>
      <c r="J339" s="7">
        <f t="shared" si="17"/>
        <v>583666.69344067841</v>
      </c>
      <c r="K339" s="7"/>
    </row>
    <row r="340" spans="1:11" x14ac:dyDescent="0.25">
      <c r="A340" s="1" t="s">
        <v>17</v>
      </c>
      <c r="B340" s="2">
        <v>201402</v>
      </c>
      <c r="C340" s="2">
        <v>201702</v>
      </c>
      <c r="D340" s="10">
        <v>16507.187238369421</v>
      </c>
      <c r="E340" s="10">
        <v>550338.36535195785</v>
      </c>
      <c r="F340" s="1">
        <v>25</v>
      </c>
      <c r="G340" s="1">
        <v>934</v>
      </c>
      <c r="H340">
        <f t="shared" si="15"/>
        <v>2014</v>
      </c>
      <c r="I340">
        <f t="shared" si="16"/>
        <v>2017</v>
      </c>
      <c r="J340" s="7">
        <f t="shared" si="17"/>
        <v>566845.55259032722</v>
      </c>
      <c r="K340" s="7"/>
    </row>
    <row r="341" spans="1:11" x14ac:dyDescent="0.25">
      <c r="A341" s="1" t="s">
        <v>17</v>
      </c>
      <c r="B341" s="2">
        <v>201402</v>
      </c>
      <c r="C341" s="2">
        <v>201703</v>
      </c>
      <c r="D341" s="10">
        <v>16434.547729734393</v>
      </c>
      <c r="E341" s="10">
        <v>581731.9758854839</v>
      </c>
      <c r="F341" s="1">
        <v>9</v>
      </c>
      <c r="G341" s="1">
        <v>797</v>
      </c>
      <c r="H341">
        <f t="shared" si="15"/>
        <v>2014</v>
      </c>
      <c r="I341">
        <f t="shared" si="16"/>
        <v>2017</v>
      </c>
      <c r="J341" s="7">
        <f t="shared" si="17"/>
        <v>598166.52361521835</v>
      </c>
      <c r="K341" s="7"/>
    </row>
    <row r="342" spans="1:11" x14ac:dyDescent="0.25">
      <c r="A342" s="1" t="s">
        <v>17</v>
      </c>
      <c r="B342" s="2">
        <v>201402</v>
      </c>
      <c r="C342" s="2">
        <v>201704</v>
      </c>
      <c r="D342" s="10">
        <v>31689.069093558282</v>
      </c>
      <c r="E342" s="10">
        <v>555477.01874504634</v>
      </c>
      <c r="F342" s="1">
        <v>9</v>
      </c>
      <c r="G342" s="1">
        <v>594</v>
      </c>
      <c r="H342">
        <f t="shared" si="15"/>
        <v>2014</v>
      </c>
      <c r="I342">
        <f t="shared" si="16"/>
        <v>2017</v>
      </c>
      <c r="J342" s="7">
        <f t="shared" si="17"/>
        <v>587166.08783860458</v>
      </c>
      <c r="K342" s="7"/>
    </row>
    <row r="343" spans="1:11" x14ac:dyDescent="0.25">
      <c r="A343" s="1" t="s">
        <v>17</v>
      </c>
      <c r="B343" s="2">
        <v>201402</v>
      </c>
      <c r="C343" s="2">
        <v>201801</v>
      </c>
      <c r="D343" s="10">
        <v>33277.769793115513</v>
      </c>
      <c r="E343" s="10">
        <v>514918.89952722937</v>
      </c>
      <c r="F343" s="1">
        <v>3</v>
      </c>
      <c r="G343" s="1">
        <v>567</v>
      </c>
      <c r="H343">
        <f t="shared" si="15"/>
        <v>2014</v>
      </c>
      <c r="I343">
        <f t="shared" si="16"/>
        <v>2018</v>
      </c>
      <c r="J343" s="7">
        <f t="shared" si="17"/>
        <v>548196.66932034492</v>
      </c>
      <c r="K343" s="7"/>
    </row>
    <row r="344" spans="1:11" x14ac:dyDescent="0.25">
      <c r="A344" s="1" t="s">
        <v>17</v>
      </c>
      <c r="B344" s="2">
        <v>201402</v>
      </c>
      <c r="C344" s="2">
        <v>201802</v>
      </c>
      <c r="D344" s="10">
        <v>22316.568845839043</v>
      </c>
      <c r="E344" s="10">
        <v>509067.40120306151</v>
      </c>
      <c r="F344" s="1">
        <v>12</v>
      </c>
      <c r="G344" s="1">
        <v>539</v>
      </c>
      <c r="H344">
        <f t="shared" si="15"/>
        <v>2014</v>
      </c>
      <c r="I344">
        <f t="shared" si="16"/>
        <v>2018</v>
      </c>
      <c r="J344" s="7">
        <f t="shared" si="17"/>
        <v>531383.97004890058</v>
      </c>
      <c r="K344" s="7"/>
    </row>
    <row r="345" spans="1:11" x14ac:dyDescent="0.25">
      <c r="A345" s="1" t="s">
        <v>17</v>
      </c>
      <c r="B345" s="2">
        <v>201402</v>
      </c>
      <c r="C345" s="2">
        <v>201803</v>
      </c>
      <c r="D345" s="10">
        <v>18972.702959440441</v>
      </c>
      <c r="E345" s="10">
        <v>484950.71618359518</v>
      </c>
      <c r="F345" s="1">
        <v>5</v>
      </c>
      <c r="G345" s="1">
        <v>510</v>
      </c>
      <c r="H345">
        <f t="shared" si="15"/>
        <v>2014</v>
      </c>
      <c r="I345">
        <f t="shared" si="16"/>
        <v>2018</v>
      </c>
      <c r="J345" s="7">
        <f t="shared" si="17"/>
        <v>503923.4191430356</v>
      </c>
      <c r="K345" s="7"/>
    </row>
    <row r="346" spans="1:11" x14ac:dyDescent="0.25">
      <c r="A346" s="1" t="s">
        <v>17</v>
      </c>
      <c r="B346" s="2">
        <v>201402</v>
      </c>
      <c r="C346" s="2">
        <v>201804</v>
      </c>
      <c r="D346" s="10">
        <v>19913.10582174411</v>
      </c>
      <c r="E346" s="10">
        <v>348344.25690918922</v>
      </c>
      <c r="F346" s="1">
        <v>5</v>
      </c>
      <c r="G346" s="1">
        <v>312</v>
      </c>
      <c r="H346">
        <f t="shared" si="15"/>
        <v>2014</v>
      </c>
      <c r="I346">
        <f t="shared" si="16"/>
        <v>2018</v>
      </c>
      <c r="J346" s="7">
        <f t="shared" si="17"/>
        <v>368257.36273093335</v>
      </c>
      <c r="K346" s="7"/>
    </row>
    <row r="347" spans="1:11" x14ac:dyDescent="0.25">
      <c r="A347" s="1" t="s">
        <v>17</v>
      </c>
      <c r="B347" s="2">
        <v>201402</v>
      </c>
      <c r="C347" s="2">
        <v>201901</v>
      </c>
      <c r="D347" s="10">
        <v>19295.60900185478</v>
      </c>
      <c r="E347" s="10">
        <v>321261.86002997111</v>
      </c>
      <c r="F347" s="1">
        <v>6</v>
      </c>
      <c r="G347" s="1">
        <v>270</v>
      </c>
      <c r="H347">
        <f t="shared" si="15"/>
        <v>2014</v>
      </c>
      <c r="I347">
        <f t="shared" si="16"/>
        <v>2019</v>
      </c>
      <c r="J347" s="7">
        <f t="shared" si="17"/>
        <v>340557.46903182589</v>
      </c>
      <c r="K347" s="7"/>
    </row>
    <row r="348" spans="1:11" x14ac:dyDescent="0.25">
      <c r="A348" s="1" t="s">
        <v>17</v>
      </c>
      <c r="B348" s="2">
        <v>201402</v>
      </c>
      <c r="C348" s="2">
        <v>201902</v>
      </c>
      <c r="D348" s="10">
        <v>16691.956962368342</v>
      </c>
      <c r="E348" s="10">
        <v>296562.62318088231</v>
      </c>
      <c r="F348" s="1">
        <v>1</v>
      </c>
      <c r="G348" s="1">
        <v>249</v>
      </c>
      <c r="H348">
        <f t="shared" si="15"/>
        <v>2014</v>
      </c>
      <c r="I348">
        <f t="shared" si="16"/>
        <v>2019</v>
      </c>
      <c r="J348" s="7">
        <f t="shared" si="17"/>
        <v>313254.58014325064</v>
      </c>
      <c r="K348" s="7"/>
    </row>
    <row r="349" spans="1:11" x14ac:dyDescent="0.25">
      <c r="A349" s="1" t="s">
        <v>17</v>
      </c>
      <c r="B349" s="2">
        <v>201402</v>
      </c>
      <c r="C349" s="2">
        <v>201903</v>
      </c>
      <c r="D349" s="10">
        <v>9717.8595862513976</v>
      </c>
      <c r="E349" s="10">
        <v>292985.97606038972</v>
      </c>
      <c r="F349" s="1">
        <v>4</v>
      </c>
      <c r="G349" s="1">
        <v>227</v>
      </c>
      <c r="H349">
        <f t="shared" si="15"/>
        <v>2014</v>
      </c>
      <c r="I349">
        <f t="shared" si="16"/>
        <v>2019</v>
      </c>
      <c r="J349" s="7">
        <f t="shared" si="17"/>
        <v>302703.83564664109</v>
      </c>
      <c r="K349" s="7"/>
    </row>
    <row r="350" spans="1:11" x14ac:dyDescent="0.25">
      <c r="A350" s="1" t="s">
        <v>17</v>
      </c>
      <c r="B350" s="2">
        <v>201402</v>
      </c>
      <c r="C350" s="2">
        <v>201904</v>
      </c>
      <c r="D350" s="10">
        <v>-31518.950295197319</v>
      </c>
      <c r="E350" s="10">
        <v>273918.7466004942</v>
      </c>
      <c r="F350" s="1">
        <v>2</v>
      </c>
      <c r="G350" s="1">
        <v>215</v>
      </c>
      <c r="H350">
        <f t="shared" si="15"/>
        <v>2014</v>
      </c>
      <c r="I350">
        <f t="shared" si="16"/>
        <v>2019</v>
      </c>
      <c r="J350" s="7">
        <f t="shared" si="17"/>
        <v>242399.79630529688</v>
      </c>
      <c r="K350" s="7"/>
    </row>
    <row r="351" spans="1:11" x14ac:dyDescent="0.25">
      <c r="A351" s="1" t="s">
        <v>17</v>
      </c>
      <c r="B351" s="2">
        <v>201402</v>
      </c>
      <c r="C351" s="2">
        <v>202001</v>
      </c>
      <c r="D351" s="10">
        <v>15370.070306386833</v>
      </c>
      <c r="E351" s="10">
        <v>311125.35813277791</v>
      </c>
      <c r="F351" s="1">
        <v>2</v>
      </c>
      <c r="G351" s="1">
        <v>189</v>
      </c>
      <c r="H351">
        <f t="shared" si="15"/>
        <v>2014</v>
      </c>
      <c r="I351">
        <f t="shared" si="16"/>
        <v>2020</v>
      </c>
      <c r="J351" s="7">
        <f t="shared" si="17"/>
        <v>326495.42843916477</v>
      </c>
      <c r="K351" s="7"/>
    </row>
    <row r="352" spans="1:11" x14ac:dyDescent="0.25">
      <c r="A352" s="1" t="s">
        <v>17</v>
      </c>
      <c r="B352" s="2">
        <v>201402</v>
      </c>
      <c r="C352" s="2">
        <v>202002</v>
      </c>
      <c r="D352" s="10">
        <v>11314.428278545389</v>
      </c>
      <c r="E352" s="10">
        <v>343127.00682672858</v>
      </c>
      <c r="F352" s="1">
        <v>2</v>
      </c>
      <c r="G352" s="1">
        <v>170</v>
      </c>
      <c r="H352">
        <f t="shared" si="15"/>
        <v>2014</v>
      </c>
      <c r="I352">
        <f t="shared" si="16"/>
        <v>2020</v>
      </c>
      <c r="J352" s="7">
        <f t="shared" si="17"/>
        <v>354441.43510527397</v>
      </c>
      <c r="K352" s="7"/>
    </row>
    <row r="353" spans="1:11" x14ac:dyDescent="0.25">
      <c r="A353" s="1" t="s">
        <v>17</v>
      </c>
      <c r="B353" s="2">
        <v>201402</v>
      </c>
      <c r="C353" s="2">
        <v>202003</v>
      </c>
      <c r="D353" s="10">
        <v>7217.9341584969197</v>
      </c>
      <c r="E353" s="10">
        <v>316963.52546285407</v>
      </c>
      <c r="F353" s="1">
        <v>1</v>
      </c>
      <c r="G353" s="1">
        <v>148</v>
      </c>
      <c r="H353">
        <f t="shared" si="15"/>
        <v>2014</v>
      </c>
      <c r="I353">
        <f t="shared" si="16"/>
        <v>2020</v>
      </c>
      <c r="J353" s="7">
        <f t="shared" si="17"/>
        <v>324181.45962135098</v>
      </c>
      <c r="K353" s="7"/>
    </row>
    <row r="354" spans="1:11" x14ac:dyDescent="0.25">
      <c r="A354" s="1" t="s">
        <v>17</v>
      </c>
      <c r="B354" s="2">
        <v>201402</v>
      </c>
      <c r="C354" s="2">
        <v>202004</v>
      </c>
      <c r="D354" s="10">
        <v>1401.3809822849801</v>
      </c>
      <c r="E354" s="10">
        <v>316205.98046869365</v>
      </c>
      <c r="F354" s="1">
        <v>0</v>
      </c>
      <c r="G354" s="1">
        <v>143</v>
      </c>
      <c r="H354">
        <f t="shared" si="15"/>
        <v>2014</v>
      </c>
      <c r="I354">
        <f t="shared" si="16"/>
        <v>2020</v>
      </c>
      <c r="J354" s="7">
        <f t="shared" si="17"/>
        <v>317607.36145097861</v>
      </c>
      <c r="K354" s="7"/>
    </row>
    <row r="355" spans="1:11" x14ac:dyDescent="0.25">
      <c r="A355" s="1" t="s">
        <v>17</v>
      </c>
      <c r="B355" s="2">
        <v>201402</v>
      </c>
      <c r="C355" s="2">
        <v>202101</v>
      </c>
      <c r="D355" s="10">
        <v>6311.0728806470752</v>
      </c>
      <c r="E355" s="10">
        <v>316143.53656614805</v>
      </c>
      <c r="F355" s="1">
        <v>0</v>
      </c>
      <c r="G355" s="1">
        <v>131</v>
      </c>
      <c r="H355">
        <f t="shared" si="15"/>
        <v>2014</v>
      </c>
      <c r="I355">
        <f t="shared" si="16"/>
        <v>2021</v>
      </c>
      <c r="J355" s="7">
        <f t="shared" si="17"/>
        <v>322454.60944679513</v>
      </c>
      <c r="K355" s="7"/>
    </row>
    <row r="356" spans="1:11" x14ac:dyDescent="0.25">
      <c r="A356" s="1" t="s">
        <v>17</v>
      </c>
      <c r="B356" s="2">
        <v>201402</v>
      </c>
      <c r="C356" s="2">
        <v>202102</v>
      </c>
      <c r="D356" s="10">
        <v>5800.1128274556941</v>
      </c>
      <c r="E356" s="10">
        <v>313106.57777401718</v>
      </c>
      <c r="F356" s="1">
        <v>2</v>
      </c>
      <c r="G356" s="1">
        <v>124</v>
      </c>
      <c r="H356">
        <f t="shared" si="15"/>
        <v>2014</v>
      </c>
      <c r="I356">
        <f t="shared" si="16"/>
        <v>2021</v>
      </c>
      <c r="J356" s="7">
        <f t="shared" si="17"/>
        <v>318906.69060147286</v>
      </c>
      <c r="K356" s="7"/>
    </row>
    <row r="357" spans="1:11" x14ac:dyDescent="0.25">
      <c r="A357" s="1" t="s">
        <v>17</v>
      </c>
      <c r="B357" s="2">
        <v>201402</v>
      </c>
      <c r="C357" s="2">
        <v>202103</v>
      </c>
      <c r="D357" s="10">
        <v>-929.96773151107436</v>
      </c>
      <c r="E357" s="10">
        <v>316566.62611942913</v>
      </c>
      <c r="F357" s="1">
        <v>3</v>
      </c>
      <c r="G357" s="1">
        <v>119</v>
      </c>
      <c r="H357">
        <f t="shared" si="15"/>
        <v>2014</v>
      </c>
      <c r="I357">
        <f t="shared" si="16"/>
        <v>2021</v>
      </c>
      <c r="J357" s="7">
        <f t="shared" si="17"/>
        <v>315636.65838791808</v>
      </c>
      <c r="K357" s="7"/>
    </row>
    <row r="358" spans="1:11" x14ac:dyDescent="0.25">
      <c r="A358" s="1" t="s">
        <v>17</v>
      </c>
      <c r="B358" s="2">
        <v>201402</v>
      </c>
      <c r="C358" s="2">
        <v>202104</v>
      </c>
      <c r="D358" s="10">
        <v>2338.3918843006936</v>
      </c>
      <c r="E358" s="10">
        <v>329494.45494776795</v>
      </c>
      <c r="F358" s="1">
        <v>1</v>
      </c>
      <c r="G358" s="1">
        <v>109</v>
      </c>
      <c r="H358">
        <f t="shared" si="15"/>
        <v>2014</v>
      </c>
      <c r="I358">
        <f t="shared" si="16"/>
        <v>2021</v>
      </c>
      <c r="J358" s="7">
        <f t="shared" si="17"/>
        <v>331832.84683206864</v>
      </c>
      <c r="K358" s="7"/>
    </row>
    <row r="359" spans="1:11" x14ac:dyDescent="0.25">
      <c r="A359" s="1" t="s">
        <v>17</v>
      </c>
      <c r="B359" s="2">
        <v>201403</v>
      </c>
      <c r="C359" s="2">
        <v>201403</v>
      </c>
      <c r="D359" s="10">
        <v>74389.516311671905</v>
      </c>
      <c r="E359" s="10">
        <v>507072.29006909108</v>
      </c>
      <c r="F359" s="1">
        <v>4441</v>
      </c>
      <c r="G359" s="1">
        <v>2936</v>
      </c>
      <c r="H359">
        <f t="shared" si="15"/>
        <v>2014</v>
      </c>
      <c r="I359">
        <f t="shared" si="16"/>
        <v>2014</v>
      </c>
      <c r="J359" s="7">
        <f t="shared" si="17"/>
        <v>581461.80638076295</v>
      </c>
      <c r="K359" s="7"/>
    </row>
    <row r="360" spans="1:11" x14ac:dyDescent="0.25">
      <c r="A360" s="1" t="s">
        <v>17</v>
      </c>
      <c r="B360" s="2">
        <v>201403</v>
      </c>
      <c r="C360" s="2">
        <v>201404</v>
      </c>
      <c r="D360" s="10">
        <v>186626.75160387831</v>
      </c>
      <c r="E360" s="10">
        <v>696464.22870280419</v>
      </c>
      <c r="F360" s="1">
        <v>2630</v>
      </c>
      <c r="G360" s="1">
        <v>3112</v>
      </c>
      <c r="H360">
        <f t="shared" si="15"/>
        <v>2014</v>
      </c>
      <c r="I360">
        <f t="shared" si="16"/>
        <v>2014</v>
      </c>
      <c r="J360" s="7">
        <f t="shared" si="17"/>
        <v>883090.98030668253</v>
      </c>
      <c r="K360" s="7"/>
    </row>
    <row r="361" spans="1:11" x14ac:dyDescent="0.25">
      <c r="A361" s="1" t="s">
        <v>17</v>
      </c>
      <c r="B361" s="2">
        <v>201403</v>
      </c>
      <c r="C361" s="2">
        <v>201501</v>
      </c>
      <c r="D361" s="10">
        <v>147288.32342008338</v>
      </c>
      <c r="E361" s="10">
        <v>634980.71025181748</v>
      </c>
      <c r="F361" s="1">
        <v>591</v>
      </c>
      <c r="G361" s="1">
        <v>2723</v>
      </c>
      <c r="H361">
        <f t="shared" si="15"/>
        <v>2014</v>
      </c>
      <c r="I361">
        <f t="shared" si="16"/>
        <v>2015</v>
      </c>
      <c r="J361" s="7">
        <f t="shared" si="17"/>
        <v>782269.03367190086</v>
      </c>
      <c r="K361" s="7"/>
    </row>
    <row r="362" spans="1:11" x14ac:dyDescent="0.25">
      <c r="A362" s="1" t="s">
        <v>17</v>
      </c>
      <c r="B362" s="2">
        <v>201403</v>
      </c>
      <c r="C362" s="2">
        <v>201502</v>
      </c>
      <c r="D362" s="10">
        <v>81187.238160501001</v>
      </c>
      <c r="E362" s="10">
        <v>680130.90434997936</v>
      </c>
      <c r="F362" s="1">
        <v>294</v>
      </c>
      <c r="G362" s="1">
        <v>2486</v>
      </c>
      <c r="H362">
        <f t="shared" si="15"/>
        <v>2014</v>
      </c>
      <c r="I362">
        <f t="shared" si="16"/>
        <v>2015</v>
      </c>
      <c r="J362" s="7">
        <f t="shared" si="17"/>
        <v>761318.14251048036</v>
      </c>
      <c r="K362" s="7"/>
    </row>
    <row r="363" spans="1:11" x14ac:dyDescent="0.25">
      <c r="A363" s="1" t="s">
        <v>17</v>
      </c>
      <c r="B363" s="2">
        <v>201403</v>
      </c>
      <c r="C363" s="2">
        <v>201503</v>
      </c>
      <c r="D363" s="10">
        <v>82450.814673543078</v>
      </c>
      <c r="E363" s="10">
        <v>633189.65038322669</v>
      </c>
      <c r="F363" s="1">
        <v>149</v>
      </c>
      <c r="G363" s="1">
        <v>2208</v>
      </c>
      <c r="H363">
        <f t="shared" si="15"/>
        <v>2014</v>
      </c>
      <c r="I363">
        <f t="shared" si="16"/>
        <v>2015</v>
      </c>
      <c r="J363" s="7">
        <f t="shared" si="17"/>
        <v>715640.46505676978</v>
      </c>
      <c r="K363" s="7"/>
    </row>
    <row r="364" spans="1:11" x14ac:dyDescent="0.25">
      <c r="A364" s="1" t="s">
        <v>17</v>
      </c>
      <c r="B364" s="2">
        <v>201403</v>
      </c>
      <c r="C364" s="2">
        <v>201504</v>
      </c>
      <c r="D364" s="10">
        <v>55002.144760732132</v>
      </c>
      <c r="E364" s="10">
        <v>683422.72607641213</v>
      </c>
      <c r="F364" s="1">
        <v>111</v>
      </c>
      <c r="G364" s="1">
        <v>2005</v>
      </c>
      <c r="H364">
        <f t="shared" si="15"/>
        <v>2014</v>
      </c>
      <c r="I364">
        <f t="shared" si="16"/>
        <v>2015</v>
      </c>
      <c r="J364" s="7">
        <f t="shared" si="17"/>
        <v>738424.87083714432</v>
      </c>
      <c r="K364" s="7"/>
    </row>
    <row r="365" spans="1:11" x14ac:dyDescent="0.25">
      <c r="A365" s="1" t="s">
        <v>17</v>
      </c>
      <c r="B365" s="2">
        <v>201403</v>
      </c>
      <c r="C365" s="2">
        <v>201601</v>
      </c>
      <c r="D365" s="10">
        <v>65227.854700099204</v>
      </c>
      <c r="E365" s="10">
        <v>675996.30244781985</v>
      </c>
      <c r="F365" s="1">
        <v>57</v>
      </c>
      <c r="G365" s="1">
        <v>1789</v>
      </c>
      <c r="H365">
        <f t="shared" si="15"/>
        <v>2014</v>
      </c>
      <c r="I365">
        <f t="shared" si="16"/>
        <v>2016</v>
      </c>
      <c r="J365" s="7">
        <f t="shared" si="17"/>
        <v>741224.15714791906</v>
      </c>
      <c r="K365" s="7"/>
    </row>
    <row r="366" spans="1:11" x14ac:dyDescent="0.25">
      <c r="A366" s="1" t="s">
        <v>17</v>
      </c>
      <c r="B366" s="2">
        <v>201403</v>
      </c>
      <c r="C366" s="2">
        <v>201602</v>
      </c>
      <c r="D366" s="10">
        <v>34009.825444877271</v>
      </c>
      <c r="E366" s="10">
        <v>667196.2156421144</v>
      </c>
      <c r="F366" s="1">
        <v>38</v>
      </c>
      <c r="G366" s="1">
        <v>1668</v>
      </c>
      <c r="H366">
        <f t="shared" si="15"/>
        <v>2014</v>
      </c>
      <c r="I366">
        <f t="shared" si="16"/>
        <v>2016</v>
      </c>
      <c r="J366" s="7">
        <f t="shared" si="17"/>
        <v>701206.04108699167</v>
      </c>
      <c r="K366" s="7"/>
    </row>
    <row r="367" spans="1:11" x14ac:dyDescent="0.25">
      <c r="A367" s="1" t="s">
        <v>17</v>
      </c>
      <c r="B367" s="2">
        <v>201403</v>
      </c>
      <c r="C367" s="2">
        <v>201603</v>
      </c>
      <c r="D367" s="10">
        <v>36097.759964233206</v>
      </c>
      <c r="E367" s="10">
        <v>682033.91467261582</v>
      </c>
      <c r="F367" s="1">
        <v>41</v>
      </c>
      <c r="G367" s="1">
        <v>1567</v>
      </c>
      <c r="H367">
        <f t="shared" si="15"/>
        <v>2014</v>
      </c>
      <c r="I367">
        <f t="shared" si="16"/>
        <v>2016</v>
      </c>
      <c r="J367" s="7">
        <f t="shared" si="17"/>
        <v>718131.67463684897</v>
      </c>
      <c r="K367" s="7"/>
    </row>
    <row r="368" spans="1:11" x14ac:dyDescent="0.25">
      <c r="A368" s="1" t="s">
        <v>17</v>
      </c>
      <c r="B368" s="2">
        <v>201403</v>
      </c>
      <c r="C368" s="2">
        <v>201604</v>
      </c>
      <c r="D368" s="10">
        <v>27970.913447631629</v>
      </c>
      <c r="E368" s="10">
        <v>705427.41375614703</v>
      </c>
      <c r="F368" s="1">
        <v>20</v>
      </c>
      <c r="G368" s="1">
        <v>1320</v>
      </c>
      <c r="H368">
        <f t="shared" si="15"/>
        <v>2014</v>
      </c>
      <c r="I368">
        <f t="shared" si="16"/>
        <v>2016</v>
      </c>
      <c r="J368" s="7">
        <f t="shared" si="17"/>
        <v>733398.32720377867</v>
      </c>
      <c r="K368" s="7"/>
    </row>
    <row r="369" spans="1:11" x14ac:dyDescent="0.25">
      <c r="A369" s="1" t="s">
        <v>17</v>
      </c>
      <c r="B369" s="2">
        <v>201403</v>
      </c>
      <c r="C369" s="2">
        <v>201701</v>
      </c>
      <c r="D369" s="10">
        <v>16190.54779195936</v>
      </c>
      <c r="E369" s="10">
        <v>706284.05716310558</v>
      </c>
      <c r="F369" s="1">
        <v>31</v>
      </c>
      <c r="G369" s="1">
        <v>1106</v>
      </c>
      <c r="H369">
        <f t="shared" si="15"/>
        <v>2014</v>
      </c>
      <c r="I369">
        <f t="shared" si="16"/>
        <v>2017</v>
      </c>
      <c r="J369" s="7">
        <f t="shared" si="17"/>
        <v>722474.60495506495</v>
      </c>
      <c r="K369" s="7"/>
    </row>
    <row r="370" spans="1:11" x14ac:dyDescent="0.25">
      <c r="A370" s="1" t="s">
        <v>17</v>
      </c>
      <c r="B370" s="2">
        <v>201403</v>
      </c>
      <c r="C370" s="2">
        <v>201702</v>
      </c>
      <c r="D370" s="10">
        <v>146834.14314614571</v>
      </c>
      <c r="E370" s="10">
        <v>565320.71096264361</v>
      </c>
      <c r="F370" s="1">
        <v>15</v>
      </c>
      <c r="G370" s="1">
        <v>1007</v>
      </c>
      <c r="H370">
        <f t="shared" si="15"/>
        <v>2014</v>
      </c>
      <c r="I370">
        <f t="shared" si="16"/>
        <v>2017</v>
      </c>
      <c r="J370" s="7">
        <f t="shared" si="17"/>
        <v>712154.85410878935</v>
      </c>
      <c r="K370" s="7"/>
    </row>
    <row r="371" spans="1:11" x14ac:dyDescent="0.25">
      <c r="A371" s="1" t="s">
        <v>17</v>
      </c>
      <c r="B371" s="2">
        <v>201403</v>
      </c>
      <c r="C371" s="2">
        <v>201703</v>
      </c>
      <c r="D371" s="10">
        <v>46639.578476169823</v>
      </c>
      <c r="E371" s="10">
        <v>567631.56479345495</v>
      </c>
      <c r="F371" s="1">
        <v>21</v>
      </c>
      <c r="G371" s="1">
        <v>942</v>
      </c>
      <c r="H371">
        <f t="shared" si="15"/>
        <v>2014</v>
      </c>
      <c r="I371">
        <f t="shared" si="16"/>
        <v>2017</v>
      </c>
      <c r="J371" s="7">
        <f t="shared" si="17"/>
        <v>614271.14326962479</v>
      </c>
      <c r="K371" s="7"/>
    </row>
    <row r="372" spans="1:11" x14ac:dyDescent="0.25">
      <c r="A372" s="1" t="s">
        <v>17</v>
      </c>
      <c r="B372" s="2">
        <v>201403</v>
      </c>
      <c r="C372" s="2">
        <v>201704</v>
      </c>
      <c r="D372" s="10">
        <v>16801.863465383802</v>
      </c>
      <c r="E372" s="10">
        <v>574078.42128894851</v>
      </c>
      <c r="F372" s="1">
        <v>12</v>
      </c>
      <c r="G372" s="1">
        <v>827</v>
      </c>
      <c r="H372">
        <f t="shared" si="15"/>
        <v>2014</v>
      </c>
      <c r="I372">
        <f t="shared" si="16"/>
        <v>2017</v>
      </c>
      <c r="J372" s="7">
        <f t="shared" si="17"/>
        <v>590880.28475433227</v>
      </c>
      <c r="K372" s="7"/>
    </row>
    <row r="373" spans="1:11" x14ac:dyDescent="0.25">
      <c r="A373" s="1" t="s">
        <v>17</v>
      </c>
      <c r="B373" s="2">
        <v>201403</v>
      </c>
      <c r="C373" s="2">
        <v>201801</v>
      </c>
      <c r="D373" s="10">
        <v>13362.097001812057</v>
      </c>
      <c r="E373" s="10">
        <v>541439.29222064943</v>
      </c>
      <c r="F373" s="1">
        <v>10</v>
      </c>
      <c r="G373" s="1">
        <v>754</v>
      </c>
      <c r="H373">
        <f t="shared" si="15"/>
        <v>2014</v>
      </c>
      <c r="I373">
        <f t="shared" si="16"/>
        <v>2018</v>
      </c>
      <c r="J373" s="7">
        <f t="shared" si="17"/>
        <v>554801.3892224615</v>
      </c>
      <c r="K373" s="7"/>
    </row>
    <row r="374" spans="1:11" x14ac:dyDescent="0.25">
      <c r="A374" s="1" t="s">
        <v>17</v>
      </c>
      <c r="B374" s="2">
        <v>201403</v>
      </c>
      <c r="C374" s="2">
        <v>201802</v>
      </c>
      <c r="D374" s="10">
        <v>9140.9700279320168</v>
      </c>
      <c r="E374" s="10">
        <v>499632.89022961224</v>
      </c>
      <c r="F374" s="1">
        <v>12</v>
      </c>
      <c r="G374" s="1">
        <v>728</v>
      </c>
      <c r="H374">
        <f t="shared" si="15"/>
        <v>2014</v>
      </c>
      <c r="I374">
        <f t="shared" si="16"/>
        <v>2018</v>
      </c>
      <c r="J374" s="7">
        <f t="shared" si="17"/>
        <v>508773.86025754426</v>
      </c>
      <c r="K374" s="7"/>
    </row>
    <row r="375" spans="1:11" x14ac:dyDescent="0.25">
      <c r="A375" s="1" t="s">
        <v>17</v>
      </c>
      <c r="B375" s="2">
        <v>201403</v>
      </c>
      <c r="C375" s="2">
        <v>201803</v>
      </c>
      <c r="D375" s="10">
        <v>34507.814395560672</v>
      </c>
      <c r="E375" s="10">
        <v>486455.24947780836</v>
      </c>
      <c r="F375" s="1">
        <v>6</v>
      </c>
      <c r="G375" s="1">
        <v>689</v>
      </c>
      <c r="H375">
        <f t="shared" si="15"/>
        <v>2014</v>
      </c>
      <c r="I375">
        <f t="shared" si="16"/>
        <v>2018</v>
      </c>
      <c r="J375" s="7">
        <f t="shared" si="17"/>
        <v>520963.06387336901</v>
      </c>
      <c r="K375" s="7"/>
    </row>
    <row r="376" spans="1:11" x14ac:dyDescent="0.25">
      <c r="A376" s="1" t="s">
        <v>17</v>
      </c>
      <c r="B376" s="2">
        <v>201403</v>
      </c>
      <c r="C376" s="2">
        <v>201804</v>
      </c>
      <c r="D376" s="10">
        <v>38020.466943540254</v>
      </c>
      <c r="E376" s="10">
        <v>414042.87954024936</v>
      </c>
      <c r="F376" s="1">
        <v>7</v>
      </c>
      <c r="G376" s="1">
        <v>346</v>
      </c>
      <c r="H376">
        <f t="shared" si="15"/>
        <v>2014</v>
      </c>
      <c r="I376">
        <f t="shared" si="16"/>
        <v>2018</v>
      </c>
      <c r="J376" s="7">
        <f t="shared" si="17"/>
        <v>452063.34648378962</v>
      </c>
      <c r="K376" s="7"/>
    </row>
    <row r="377" spans="1:11" x14ac:dyDescent="0.25">
      <c r="A377" s="1" t="s">
        <v>17</v>
      </c>
      <c r="B377" s="2">
        <v>201403</v>
      </c>
      <c r="C377" s="2">
        <v>201901</v>
      </c>
      <c r="D377" s="10">
        <v>16386.657951685738</v>
      </c>
      <c r="E377" s="10">
        <v>436425.14110516175</v>
      </c>
      <c r="F377" s="1">
        <v>6</v>
      </c>
      <c r="G377" s="1">
        <v>284</v>
      </c>
      <c r="H377">
        <f t="shared" si="15"/>
        <v>2014</v>
      </c>
      <c r="I377">
        <f t="shared" si="16"/>
        <v>2019</v>
      </c>
      <c r="J377" s="7">
        <f t="shared" si="17"/>
        <v>452811.79905684746</v>
      </c>
      <c r="K377" s="7"/>
    </row>
    <row r="378" spans="1:11" x14ac:dyDescent="0.25">
      <c r="A378" s="1" t="s">
        <v>17</v>
      </c>
      <c r="B378" s="2">
        <v>201403</v>
      </c>
      <c r="C378" s="2">
        <v>201902</v>
      </c>
      <c r="D378" s="10">
        <v>4196.2689208214979</v>
      </c>
      <c r="E378" s="10">
        <v>412477.94069989509</v>
      </c>
      <c r="F378" s="1">
        <v>7</v>
      </c>
      <c r="G378" s="1">
        <v>266</v>
      </c>
      <c r="H378">
        <f t="shared" si="15"/>
        <v>2014</v>
      </c>
      <c r="I378">
        <f t="shared" si="16"/>
        <v>2019</v>
      </c>
      <c r="J378" s="7">
        <f t="shared" si="17"/>
        <v>416674.20962071657</v>
      </c>
      <c r="K378" s="7"/>
    </row>
    <row r="379" spans="1:11" x14ac:dyDescent="0.25">
      <c r="A379" s="1" t="s">
        <v>17</v>
      </c>
      <c r="B379" s="2">
        <v>201403</v>
      </c>
      <c r="C379" s="2">
        <v>201903</v>
      </c>
      <c r="D379" s="10">
        <v>22417.103001966407</v>
      </c>
      <c r="E379" s="10">
        <v>379019.25420408166</v>
      </c>
      <c r="F379" s="1">
        <v>3</v>
      </c>
      <c r="G379" s="1">
        <v>246</v>
      </c>
      <c r="H379">
        <f t="shared" si="15"/>
        <v>2014</v>
      </c>
      <c r="I379">
        <f t="shared" si="16"/>
        <v>2019</v>
      </c>
      <c r="J379" s="7">
        <f t="shared" si="17"/>
        <v>401436.35720604809</v>
      </c>
      <c r="K379" s="7"/>
    </row>
    <row r="380" spans="1:11" x14ac:dyDescent="0.25">
      <c r="A380" s="1" t="s">
        <v>17</v>
      </c>
      <c r="B380" s="2">
        <v>201403</v>
      </c>
      <c r="C380" s="2">
        <v>201904</v>
      </c>
      <c r="D380" s="10">
        <v>13801.467397009043</v>
      </c>
      <c r="E380" s="10">
        <v>348260.79709909233</v>
      </c>
      <c r="F380" s="1">
        <v>1</v>
      </c>
      <c r="G380" s="1">
        <v>224</v>
      </c>
      <c r="H380">
        <f t="shared" si="15"/>
        <v>2014</v>
      </c>
      <c r="I380">
        <f t="shared" si="16"/>
        <v>2019</v>
      </c>
      <c r="J380" s="7">
        <f t="shared" si="17"/>
        <v>362062.26449610136</v>
      </c>
      <c r="K380" s="7"/>
    </row>
    <row r="381" spans="1:11" x14ac:dyDescent="0.25">
      <c r="A381" s="1" t="s">
        <v>17</v>
      </c>
      <c r="B381" s="2">
        <v>201403</v>
      </c>
      <c r="C381" s="2">
        <v>202001</v>
      </c>
      <c r="D381" s="10">
        <v>6447.3529017737592</v>
      </c>
      <c r="E381" s="10">
        <v>344192.00927306595</v>
      </c>
      <c r="F381" s="1">
        <v>5</v>
      </c>
      <c r="G381" s="1">
        <v>202</v>
      </c>
      <c r="H381">
        <f t="shared" si="15"/>
        <v>2014</v>
      </c>
      <c r="I381">
        <f t="shared" si="16"/>
        <v>2020</v>
      </c>
      <c r="J381" s="7">
        <f t="shared" si="17"/>
        <v>350639.36217483971</v>
      </c>
      <c r="K381" s="7"/>
    </row>
    <row r="382" spans="1:11" x14ac:dyDescent="0.25">
      <c r="A382" s="1" t="s">
        <v>17</v>
      </c>
      <c r="B382" s="2">
        <v>201403</v>
      </c>
      <c r="C382" s="2">
        <v>202002</v>
      </c>
      <c r="D382" s="10">
        <v>23262.813015078693</v>
      </c>
      <c r="E382" s="10">
        <v>269809.67518611188</v>
      </c>
      <c r="F382" s="1">
        <v>3</v>
      </c>
      <c r="G382" s="1">
        <v>176</v>
      </c>
      <c r="H382">
        <f t="shared" si="15"/>
        <v>2014</v>
      </c>
      <c r="I382">
        <f t="shared" si="16"/>
        <v>2020</v>
      </c>
      <c r="J382" s="7">
        <f t="shared" si="17"/>
        <v>293072.4882011906</v>
      </c>
      <c r="K382" s="7"/>
    </row>
    <row r="383" spans="1:11" x14ac:dyDescent="0.25">
      <c r="A383" s="1" t="s">
        <v>17</v>
      </c>
      <c r="B383" s="2">
        <v>201403</v>
      </c>
      <c r="C383" s="2">
        <v>202003</v>
      </c>
      <c r="D383" s="10">
        <v>10972.364239428409</v>
      </c>
      <c r="E383" s="10">
        <v>213049.13205748604</v>
      </c>
      <c r="F383" s="1">
        <v>4</v>
      </c>
      <c r="G383" s="1">
        <v>150</v>
      </c>
      <c r="H383">
        <f t="shared" si="15"/>
        <v>2014</v>
      </c>
      <c r="I383">
        <f t="shared" si="16"/>
        <v>2020</v>
      </c>
      <c r="J383" s="7">
        <f t="shared" si="17"/>
        <v>224021.49629691444</v>
      </c>
      <c r="K383" s="7"/>
    </row>
    <row r="384" spans="1:11" x14ac:dyDescent="0.25">
      <c r="A384" s="1" t="s">
        <v>17</v>
      </c>
      <c r="B384" s="2">
        <v>201403</v>
      </c>
      <c r="C384" s="2">
        <v>202004</v>
      </c>
      <c r="D384" s="10">
        <v>2885.9588642704007</v>
      </c>
      <c r="E384" s="10">
        <v>309085.07179576135</v>
      </c>
      <c r="F384" s="1">
        <v>3</v>
      </c>
      <c r="G384" s="1">
        <v>143</v>
      </c>
      <c r="H384">
        <f t="shared" si="15"/>
        <v>2014</v>
      </c>
      <c r="I384">
        <f t="shared" si="16"/>
        <v>2020</v>
      </c>
      <c r="J384" s="7">
        <f t="shared" si="17"/>
        <v>311971.03066003177</v>
      </c>
      <c r="K384" s="7"/>
    </row>
    <row r="385" spans="1:11" x14ac:dyDescent="0.25">
      <c r="A385" s="1" t="s">
        <v>17</v>
      </c>
      <c r="B385" s="2">
        <v>201403</v>
      </c>
      <c r="C385" s="2">
        <v>202101</v>
      </c>
      <c r="D385" s="10">
        <v>19276.037722305944</v>
      </c>
      <c r="E385" s="10">
        <v>303034.36864797299</v>
      </c>
      <c r="F385" s="1">
        <v>2</v>
      </c>
      <c r="G385" s="1">
        <v>141</v>
      </c>
      <c r="H385">
        <f t="shared" si="15"/>
        <v>2014</v>
      </c>
      <c r="I385">
        <f t="shared" si="16"/>
        <v>2021</v>
      </c>
      <c r="J385" s="7">
        <f t="shared" si="17"/>
        <v>322310.40637027891</v>
      </c>
      <c r="K385" s="7"/>
    </row>
    <row r="386" spans="1:11" x14ac:dyDescent="0.25">
      <c r="A386" s="1" t="s">
        <v>17</v>
      </c>
      <c r="B386" s="2">
        <v>201403</v>
      </c>
      <c r="C386" s="2">
        <v>202102</v>
      </c>
      <c r="D386" s="10">
        <v>5661.9829410723378</v>
      </c>
      <c r="E386" s="10">
        <v>305031.03219045122</v>
      </c>
      <c r="F386" s="1">
        <v>2</v>
      </c>
      <c r="G386" s="1">
        <v>134</v>
      </c>
      <c r="H386">
        <f t="shared" si="15"/>
        <v>2014</v>
      </c>
      <c r="I386">
        <f t="shared" si="16"/>
        <v>2021</v>
      </c>
      <c r="J386" s="7">
        <f t="shared" si="17"/>
        <v>310693.01513152354</v>
      </c>
      <c r="K386" s="7"/>
    </row>
    <row r="387" spans="1:11" x14ac:dyDescent="0.25">
      <c r="A387" s="1" t="s">
        <v>17</v>
      </c>
      <c r="B387" s="2">
        <v>201403</v>
      </c>
      <c r="C387" s="2">
        <v>202103</v>
      </c>
      <c r="D387" s="10">
        <v>50840.05128681878</v>
      </c>
      <c r="E387" s="10">
        <v>307337.095433713</v>
      </c>
      <c r="F387" s="1">
        <v>2</v>
      </c>
      <c r="G387" s="1">
        <v>131</v>
      </c>
      <c r="H387">
        <f t="shared" si="15"/>
        <v>2014</v>
      </c>
      <c r="I387">
        <f t="shared" si="16"/>
        <v>2021</v>
      </c>
      <c r="J387" s="7">
        <f t="shared" si="17"/>
        <v>358177.14672053175</v>
      </c>
      <c r="K387" s="7"/>
    </row>
    <row r="388" spans="1:11" x14ac:dyDescent="0.25">
      <c r="A388" s="1" t="s">
        <v>17</v>
      </c>
      <c r="B388" s="2">
        <v>201403</v>
      </c>
      <c r="C388" s="2">
        <v>202104</v>
      </c>
      <c r="D388" s="10">
        <v>22348.285370586818</v>
      </c>
      <c r="E388" s="10">
        <v>283490.88951868273</v>
      </c>
      <c r="F388" s="1">
        <v>1</v>
      </c>
      <c r="G388" s="1">
        <v>120</v>
      </c>
      <c r="H388">
        <f t="shared" ref="H388:H451" si="18">VALUE(LEFT(B388,4))</f>
        <v>2014</v>
      </c>
      <c r="I388">
        <f t="shared" ref="I388:I451" si="19">VALUE(LEFT(C388,4))</f>
        <v>2021</v>
      </c>
      <c r="J388" s="7">
        <f t="shared" si="17"/>
        <v>305839.17488926952</v>
      </c>
      <c r="K388" s="7"/>
    </row>
    <row r="389" spans="1:11" x14ac:dyDescent="0.25">
      <c r="A389" s="1" t="s">
        <v>17</v>
      </c>
      <c r="B389" s="2">
        <v>201404</v>
      </c>
      <c r="C389" s="2">
        <v>201404</v>
      </c>
      <c r="D389" s="10">
        <v>68189.762306053744</v>
      </c>
      <c r="E389" s="10">
        <v>377913.7288084309</v>
      </c>
      <c r="F389" s="1">
        <v>3836</v>
      </c>
      <c r="G389" s="1">
        <v>2402</v>
      </c>
      <c r="H389">
        <f t="shared" si="18"/>
        <v>2014</v>
      </c>
      <c r="I389">
        <f t="shared" si="19"/>
        <v>2014</v>
      </c>
      <c r="J389" s="7">
        <f t="shared" ref="J389:J452" si="20">D389+E389</f>
        <v>446103.49111448461</v>
      </c>
      <c r="K389" s="7"/>
    </row>
    <row r="390" spans="1:11" x14ac:dyDescent="0.25">
      <c r="A390" s="1" t="s">
        <v>17</v>
      </c>
      <c r="B390" s="2">
        <v>201404</v>
      </c>
      <c r="C390" s="2">
        <v>201501</v>
      </c>
      <c r="D390" s="10">
        <v>157404.04745227264</v>
      </c>
      <c r="E390" s="10">
        <v>503865.44129294954</v>
      </c>
      <c r="F390" s="1">
        <v>2267</v>
      </c>
      <c r="G390" s="1">
        <v>2410</v>
      </c>
      <c r="H390">
        <f t="shared" si="18"/>
        <v>2014</v>
      </c>
      <c r="I390">
        <f t="shared" si="19"/>
        <v>2015</v>
      </c>
      <c r="J390" s="7">
        <f t="shared" si="20"/>
        <v>661269.48874522222</v>
      </c>
      <c r="K390" s="7"/>
    </row>
    <row r="391" spans="1:11" x14ac:dyDescent="0.25">
      <c r="A391" s="1" t="s">
        <v>17</v>
      </c>
      <c r="B391" s="2">
        <v>201404</v>
      </c>
      <c r="C391" s="2">
        <v>201502</v>
      </c>
      <c r="D391" s="10">
        <v>97574.063549088954</v>
      </c>
      <c r="E391" s="10">
        <v>550255.07258476934</v>
      </c>
      <c r="F391" s="1">
        <v>624</v>
      </c>
      <c r="G391" s="1">
        <v>2246</v>
      </c>
      <c r="H391">
        <f t="shared" si="18"/>
        <v>2014</v>
      </c>
      <c r="I391">
        <f t="shared" si="19"/>
        <v>2015</v>
      </c>
      <c r="J391" s="7">
        <f t="shared" si="20"/>
        <v>647829.13613385824</v>
      </c>
      <c r="K391" s="7"/>
    </row>
    <row r="392" spans="1:11" x14ac:dyDescent="0.25">
      <c r="A392" s="1" t="s">
        <v>17</v>
      </c>
      <c r="B392" s="2">
        <v>201404</v>
      </c>
      <c r="C392" s="2">
        <v>201503</v>
      </c>
      <c r="D392" s="10">
        <v>72931.676616299606</v>
      </c>
      <c r="E392" s="10">
        <v>548118.20417654747</v>
      </c>
      <c r="F392" s="1">
        <v>235</v>
      </c>
      <c r="G392" s="1">
        <v>2035</v>
      </c>
      <c r="H392">
        <f t="shared" si="18"/>
        <v>2014</v>
      </c>
      <c r="I392">
        <f t="shared" si="19"/>
        <v>2015</v>
      </c>
      <c r="J392" s="7">
        <f t="shared" si="20"/>
        <v>621049.88079284714</v>
      </c>
      <c r="K392" s="7"/>
    </row>
    <row r="393" spans="1:11" x14ac:dyDescent="0.25">
      <c r="A393" s="1" t="s">
        <v>17</v>
      </c>
      <c r="B393" s="2">
        <v>201404</v>
      </c>
      <c r="C393" s="2">
        <v>201504</v>
      </c>
      <c r="D393" s="10">
        <v>51305.190723800792</v>
      </c>
      <c r="E393" s="10">
        <v>677010.33332823426</v>
      </c>
      <c r="F393" s="1">
        <v>144</v>
      </c>
      <c r="G393" s="1">
        <v>1902</v>
      </c>
      <c r="H393">
        <f t="shared" si="18"/>
        <v>2014</v>
      </c>
      <c r="I393">
        <f t="shared" si="19"/>
        <v>2015</v>
      </c>
      <c r="J393" s="7">
        <f t="shared" si="20"/>
        <v>728315.52405203506</v>
      </c>
      <c r="K393" s="7"/>
    </row>
    <row r="394" spans="1:11" x14ac:dyDescent="0.25">
      <c r="A394" s="1" t="s">
        <v>17</v>
      </c>
      <c r="B394" s="2">
        <v>201404</v>
      </c>
      <c r="C394" s="2">
        <v>201601</v>
      </c>
      <c r="D394" s="10">
        <v>54759.292032836573</v>
      </c>
      <c r="E394" s="10">
        <v>606700.13052949053</v>
      </c>
      <c r="F394" s="1">
        <v>93</v>
      </c>
      <c r="G394" s="1">
        <v>1707</v>
      </c>
      <c r="H394">
        <f t="shared" si="18"/>
        <v>2014</v>
      </c>
      <c r="I394">
        <f t="shared" si="19"/>
        <v>2016</v>
      </c>
      <c r="J394" s="7">
        <f t="shared" si="20"/>
        <v>661459.42256232712</v>
      </c>
      <c r="K394" s="7"/>
    </row>
    <row r="395" spans="1:11" x14ac:dyDescent="0.25">
      <c r="A395" s="1" t="s">
        <v>17</v>
      </c>
      <c r="B395" s="2">
        <v>201404</v>
      </c>
      <c r="C395" s="2">
        <v>201602</v>
      </c>
      <c r="D395" s="10">
        <v>66514.388345015104</v>
      </c>
      <c r="E395" s="10">
        <v>554104.30440543033</v>
      </c>
      <c r="F395" s="1">
        <v>59</v>
      </c>
      <c r="G395" s="1">
        <v>1611</v>
      </c>
      <c r="H395">
        <f t="shared" si="18"/>
        <v>2014</v>
      </c>
      <c r="I395">
        <f t="shared" si="19"/>
        <v>2016</v>
      </c>
      <c r="J395" s="7">
        <f t="shared" si="20"/>
        <v>620618.69275044545</v>
      </c>
      <c r="K395" s="7"/>
    </row>
    <row r="396" spans="1:11" x14ac:dyDescent="0.25">
      <c r="A396" s="1" t="s">
        <v>17</v>
      </c>
      <c r="B396" s="2">
        <v>201404</v>
      </c>
      <c r="C396" s="2">
        <v>201603</v>
      </c>
      <c r="D396" s="10">
        <v>33495.09825791551</v>
      </c>
      <c r="E396" s="10">
        <v>544633.44066535926</v>
      </c>
      <c r="F396" s="1">
        <v>49</v>
      </c>
      <c r="G396" s="1">
        <v>1524</v>
      </c>
      <c r="H396">
        <f t="shared" si="18"/>
        <v>2014</v>
      </c>
      <c r="I396">
        <f t="shared" si="19"/>
        <v>2016</v>
      </c>
      <c r="J396" s="7">
        <f t="shared" si="20"/>
        <v>578128.53892327473</v>
      </c>
      <c r="K396" s="7"/>
    </row>
    <row r="397" spans="1:11" x14ac:dyDescent="0.25">
      <c r="A397" s="1" t="s">
        <v>17</v>
      </c>
      <c r="B397" s="2">
        <v>201404</v>
      </c>
      <c r="C397" s="2">
        <v>201604</v>
      </c>
      <c r="D397" s="10">
        <v>14179.959748380859</v>
      </c>
      <c r="E397" s="10">
        <v>587280.46526839142</v>
      </c>
      <c r="F397" s="1">
        <v>44</v>
      </c>
      <c r="G397" s="1">
        <v>1283</v>
      </c>
      <c r="H397">
        <f t="shared" si="18"/>
        <v>2014</v>
      </c>
      <c r="I397">
        <f t="shared" si="19"/>
        <v>2016</v>
      </c>
      <c r="J397" s="7">
        <f t="shared" si="20"/>
        <v>601460.42501677223</v>
      </c>
      <c r="K397" s="7"/>
    </row>
    <row r="398" spans="1:11" x14ac:dyDescent="0.25">
      <c r="A398" s="1" t="s">
        <v>17</v>
      </c>
      <c r="B398" s="2">
        <v>201404</v>
      </c>
      <c r="C398" s="2">
        <v>201701</v>
      </c>
      <c r="D398" s="10">
        <v>30540.182022588422</v>
      </c>
      <c r="E398" s="10">
        <v>476021.07098349859</v>
      </c>
      <c r="F398" s="1">
        <v>36</v>
      </c>
      <c r="G398" s="1">
        <v>1145</v>
      </c>
      <c r="H398">
        <f t="shared" si="18"/>
        <v>2014</v>
      </c>
      <c r="I398">
        <f t="shared" si="19"/>
        <v>2017</v>
      </c>
      <c r="J398" s="7">
        <f t="shared" si="20"/>
        <v>506561.25300608703</v>
      </c>
      <c r="K398" s="7"/>
    </row>
    <row r="399" spans="1:11" x14ac:dyDescent="0.25">
      <c r="A399" s="1" t="s">
        <v>17</v>
      </c>
      <c r="B399" s="2">
        <v>201404</v>
      </c>
      <c r="C399" s="2">
        <v>201702</v>
      </c>
      <c r="D399" s="10">
        <v>14445.308049914172</v>
      </c>
      <c r="E399" s="10">
        <v>454224.22115231358</v>
      </c>
      <c r="F399" s="1">
        <v>29</v>
      </c>
      <c r="G399" s="1">
        <v>1096</v>
      </c>
      <c r="H399">
        <f t="shared" si="18"/>
        <v>2014</v>
      </c>
      <c r="I399">
        <f t="shared" si="19"/>
        <v>2017</v>
      </c>
      <c r="J399" s="7">
        <f t="shared" si="20"/>
        <v>468669.52920222777</v>
      </c>
      <c r="K399" s="7"/>
    </row>
    <row r="400" spans="1:11" x14ac:dyDescent="0.25">
      <c r="A400" s="1" t="s">
        <v>17</v>
      </c>
      <c r="B400" s="2">
        <v>201404</v>
      </c>
      <c r="C400" s="2">
        <v>201703</v>
      </c>
      <c r="D400" s="10">
        <v>16469.723481267745</v>
      </c>
      <c r="E400" s="10">
        <v>458713.22010658373</v>
      </c>
      <c r="F400" s="1">
        <v>17</v>
      </c>
      <c r="G400" s="1">
        <v>1003</v>
      </c>
      <c r="H400">
        <f t="shared" si="18"/>
        <v>2014</v>
      </c>
      <c r="I400">
        <f t="shared" si="19"/>
        <v>2017</v>
      </c>
      <c r="J400" s="7">
        <f t="shared" si="20"/>
        <v>475182.94358785148</v>
      </c>
      <c r="K400" s="7"/>
    </row>
    <row r="401" spans="1:11" x14ac:dyDescent="0.25">
      <c r="A401" s="1" t="s">
        <v>17</v>
      </c>
      <c r="B401" s="2">
        <v>201404</v>
      </c>
      <c r="C401" s="2">
        <v>201704</v>
      </c>
      <c r="D401" s="10">
        <v>33097.221339593132</v>
      </c>
      <c r="E401" s="10">
        <v>580125.06769141217</v>
      </c>
      <c r="F401" s="1">
        <v>23</v>
      </c>
      <c r="G401" s="1">
        <v>896</v>
      </c>
      <c r="H401">
        <f t="shared" si="18"/>
        <v>2014</v>
      </c>
      <c r="I401">
        <f t="shared" si="19"/>
        <v>2017</v>
      </c>
      <c r="J401" s="7">
        <f t="shared" si="20"/>
        <v>613222.28903100535</v>
      </c>
      <c r="K401" s="7"/>
    </row>
    <row r="402" spans="1:11" x14ac:dyDescent="0.25">
      <c r="A402" s="1" t="s">
        <v>17</v>
      </c>
      <c r="B402" s="2">
        <v>201404</v>
      </c>
      <c r="C402" s="2">
        <v>201801</v>
      </c>
      <c r="D402" s="10">
        <v>28706.589246173025</v>
      </c>
      <c r="E402" s="10">
        <v>501016.01106537826</v>
      </c>
      <c r="F402" s="1">
        <v>15</v>
      </c>
      <c r="G402" s="1">
        <v>802</v>
      </c>
      <c r="H402">
        <f t="shared" si="18"/>
        <v>2014</v>
      </c>
      <c r="I402">
        <f t="shared" si="19"/>
        <v>2018</v>
      </c>
      <c r="J402" s="7">
        <f t="shared" si="20"/>
        <v>529722.60031155124</v>
      </c>
      <c r="K402" s="7"/>
    </row>
    <row r="403" spans="1:11" x14ac:dyDescent="0.25">
      <c r="A403" s="1" t="s">
        <v>17</v>
      </c>
      <c r="B403" s="2">
        <v>201404</v>
      </c>
      <c r="C403" s="2">
        <v>201802</v>
      </c>
      <c r="D403" s="10">
        <v>25450.701081222043</v>
      </c>
      <c r="E403" s="10">
        <v>543295.90980402578</v>
      </c>
      <c r="F403" s="1">
        <v>18</v>
      </c>
      <c r="G403" s="1">
        <v>762</v>
      </c>
      <c r="H403">
        <f t="shared" si="18"/>
        <v>2014</v>
      </c>
      <c r="I403">
        <f t="shared" si="19"/>
        <v>2018</v>
      </c>
      <c r="J403" s="7">
        <f t="shared" si="20"/>
        <v>568746.61088524782</v>
      </c>
      <c r="K403" s="7"/>
    </row>
    <row r="404" spans="1:11" x14ac:dyDescent="0.25">
      <c r="A404" s="1" t="s">
        <v>17</v>
      </c>
      <c r="B404" s="2">
        <v>201404</v>
      </c>
      <c r="C404" s="2">
        <v>201803</v>
      </c>
      <c r="D404" s="10">
        <v>30716.38527083294</v>
      </c>
      <c r="E404" s="10">
        <v>531814.81644070346</v>
      </c>
      <c r="F404" s="1">
        <v>7</v>
      </c>
      <c r="G404" s="1">
        <v>701</v>
      </c>
      <c r="H404">
        <f t="shared" si="18"/>
        <v>2014</v>
      </c>
      <c r="I404">
        <f t="shared" si="19"/>
        <v>2018</v>
      </c>
      <c r="J404" s="7">
        <f t="shared" si="20"/>
        <v>562531.20171153639</v>
      </c>
      <c r="K404" s="7"/>
    </row>
    <row r="405" spans="1:11" x14ac:dyDescent="0.25">
      <c r="A405" s="1" t="s">
        <v>17</v>
      </c>
      <c r="B405" s="2">
        <v>201404</v>
      </c>
      <c r="C405" s="2">
        <v>201804</v>
      </c>
      <c r="D405" s="10">
        <v>19600.777182034864</v>
      </c>
      <c r="E405" s="10">
        <v>439026.02155667357</v>
      </c>
      <c r="F405" s="1">
        <v>11</v>
      </c>
      <c r="G405" s="1">
        <v>366</v>
      </c>
      <c r="H405">
        <f t="shared" si="18"/>
        <v>2014</v>
      </c>
      <c r="I405">
        <f t="shared" si="19"/>
        <v>2018</v>
      </c>
      <c r="J405" s="7">
        <f t="shared" si="20"/>
        <v>458626.79873870843</v>
      </c>
      <c r="K405" s="7"/>
    </row>
    <row r="406" spans="1:11" x14ac:dyDescent="0.25">
      <c r="A406" s="1" t="s">
        <v>17</v>
      </c>
      <c r="B406" s="2">
        <v>201404</v>
      </c>
      <c r="C406" s="2">
        <v>201901</v>
      </c>
      <c r="D406" s="10">
        <v>14190.230353788744</v>
      </c>
      <c r="E406" s="10">
        <v>418296.44566865754</v>
      </c>
      <c r="F406" s="1">
        <v>7</v>
      </c>
      <c r="G406" s="1">
        <v>320</v>
      </c>
      <c r="H406">
        <f t="shared" si="18"/>
        <v>2014</v>
      </c>
      <c r="I406">
        <f t="shared" si="19"/>
        <v>2019</v>
      </c>
      <c r="J406" s="7">
        <f t="shared" si="20"/>
        <v>432486.67602244631</v>
      </c>
      <c r="K406" s="7"/>
    </row>
    <row r="407" spans="1:11" x14ac:dyDescent="0.25">
      <c r="A407" s="1" t="s">
        <v>17</v>
      </c>
      <c r="B407" s="2">
        <v>201404</v>
      </c>
      <c r="C407" s="2">
        <v>201902</v>
      </c>
      <c r="D407" s="10">
        <v>18533.0745328542</v>
      </c>
      <c r="E407" s="10">
        <v>393011.14736370032</v>
      </c>
      <c r="F407" s="1">
        <v>7</v>
      </c>
      <c r="G407" s="1">
        <v>298</v>
      </c>
      <c r="H407">
        <f t="shared" si="18"/>
        <v>2014</v>
      </c>
      <c r="I407">
        <f t="shared" si="19"/>
        <v>2019</v>
      </c>
      <c r="J407" s="7">
        <f t="shared" si="20"/>
        <v>411544.22189655452</v>
      </c>
      <c r="K407" s="7"/>
    </row>
    <row r="408" spans="1:11" x14ac:dyDescent="0.25">
      <c r="A408" s="1" t="s">
        <v>17</v>
      </c>
      <c r="B408" s="2">
        <v>201404</v>
      </c>
      <c r="C408" s="2">
        <v>201903</v>
      </c>
      <c r="D408" s="10">
        <v>11830.510111449305</v>
      </c>
      <c r="E408" s="10">
        <v>381570.15079388372</v>
      </c>
      <c r="F408" s="1">
        <v>1</v>
      </c>
      <c r="G408" s="1">
        <v>265</v>
      </c>
      <c r="H408">
        <f t="shared" si="18"/>
        <v>2014</v>
      </c>
      <c r="I408">
        <f t="shared" si="19"/>
        <v>2019</v>
      </c>
      <c r="J408" s="7">
        <f t="shared" si="20"/>
        <v>393400.660905333</v>
      </c>
      <c r="K408" s="7"/>
    </row>
    <row r="409" spans="1:11" x14ac:dyDescent="0.25">
      <c r="A409" s="1" t="s">
        <v>17</v>
      </c>
      <c r="B409" s="2">
        <v>201404</v>
      </c>
      <c r="C409" s="2">
        <v>201904</v>
      </c>
      <c r="D409" s="10">
        <v>21014.70402515434</v>
      </c>
      <c r="E409" s="10">
        <v>437323.51255390886</v>
      </c>
      <c r="F409" s="1">
        <v>7</v>
      </c>
      <c r="G409" s="1">
        <v>251</v>
      </c>
      <c r="H409">
        <f t="shared" si="18"/>
        <v>2014</v>
      </c>
      <c r="I409">
        <f t="shared" si="19"/>
        <v>2019</v>
      </c>
      <c r="J409" s="7">
        <f t="shared" si="20"/>
        <v>458338.21657906321</v>
      </c>
      <c r="K409" s="7"/>
    </row>
    <row r="410" spans="1:11" x14ac:dyDescent="0.25">
      <c r="A410" s="1" t="s">
        <v>17</v>
      </c>
      <c r="B410" s="2">
        <v>201404</v>
      </c>
      <c r="C410" s="2">
        <v>202001</v>
      </c>
      <c r="D410" s="10">
        <v>20951.953504301004</v>
      </c>
      <c r="E410" s="10">
        <v>379159.10688301723</v>
      </c>
      <c r="F410" s="1">
        <v>4</v>
      </c>
      <c r="G410" s="1">
        <v>232</v>
      </c>
      <c r="H410">
        <f t="shared" si="18"/>
        <v>2014</v>
      </c>
      <c r="I410">
        <f t="shared" si="19"/>
        <v>2020</v>
      </c>
      <c r="J410" s="7">
        <f t="shared" si="20"/>
        <v>400111.06038731826</v>
      </c>
      <c r="K410" s="7"/>
    </row>
    <row r="411" spans="1:11" x14ac:dyDescent="0.25">
      <c r="A411" s="1" t="s">
        <v>17</v>
      </c>
      <c r="B411" s="2">
        <v>201404</v>
      </c>
      <c r="C411" s="2">
        <v>202002</v>
      </c>
      <c r="D411" s="10">
        <v>14816.896025117665</v>
      </c>
      <c r="E411" s="10">
        <v>361161.0887179292</v>
      </c>
      <c r="F411" s="1">
        <v>5</v>
      </c>
      <c r="G411" s="1">
        <v>201</v>
      </c>
      <c r="H411">
        <f t="shared" si="18"/>
        <v>2014</v>
      </c>
      <c r="I411">
        <f t="shared" si="19"/>
        <v>2020</v>
      </c>
      <c r="J411" s="7">
        <f t="shared" si="20"/>
        <v>375977.98474304687</v>
      </c>
      <c r="K411" s="7"/>
    </row>
    <row r="412" spans="1:11" x14ac:dyDescent="0.25">
      <c r="A412" s="1" t="s">
        <v>17</v>
      </c>
      <c r="B412" s="2">
        <v>201404</v>
      </c>
      <c r="C412" s="2">
        <v>202003</v>
      </c>
      <c r="D412" s="10">
        <v>15375.536184846229</v>
      </c>
      <c r="E412" s="10">
        <v>345930.96999712399</v>
      </c>
      <c r="F412" s="1">
        <v>3</v>
      </c>
      <c r="G412" s="1">
        <v>173</v>
      </c>
      <c r="H412">
        <f t="shared" si="18"/>
        <v>2014</v>
      </c>
      <c r="I412">
        <f t="shared" si="19"/>
        <v>2020</v>
      </c>
      <c r="J412" s="7">
        <f t="shared" si="20"/>
        <v>361306.50618197024</v>
      </c>
      <c r="K412" s="7"/>
    </row>
    <row r="413" spans="1:11" x14ac:dyDescent="0.25">
      <c r="A413" s="1" t="s">
        <v>17</v>
      </c>
      <c r="B413" s="2">
        <v>201404</v>
      </c>
      <c r="C413" s="2">
        <v>202004</v>
      </c>
      <c r="D413" s="10">
        <v>5628.1461836552662</v>
      </c>
      <c r="E413" s="10">
        <v>340985.19591361989</v>
      </c>
      <c r="F413" s="1">
        <v>4</v>
      </c>
      <c r="G413" s="1">
        <v>165</v>
      </c>
      <c r="H413">
        <f t="shared" si="18"/>
        <v>2014</v>
      </c>
      <c r="I413">
        <f t="shared" si="19"/>
        <v>2020</v>
      </c>
      <c r="J413" s="7">
        <f t="shared" si="20"/>
        <v>346613.34209727513</v>
      </c>
      <c r="K413" s="7"/>
    </row>
    <row r="414" spans="1:11" x14ac:dyDescent="0.25">
      <c r="A414" s="1" t="s">
        <v>17</v>
      </c>
      <c r="B414" s="2">
        <v>201404</v>
      </c>
      <c r="C414" s="2">
        <v>202101</v>
      </c>
      <c r="D414" s="10">
        <v>6269.4393241747748</v>
      </c>
      <c r="E414" s="10">
        <v>331874.26303789049</v>
      </c>
      <c r="F414" s="1">
        <v>3</v>
      </c>
      <c r="G414" s="1">
        <v>155</v>
      </c>
      <c r="H414">
        <f t="shared" si="18"/>
        <v>2014</v>
      </c>
      <c r="I414">
        <f t="shared" si="19"/>
        <v>2021</v>
      </c>
      <c r="J414" s="7">
        <f t="shared" si="20"/>
        <v>338143.70236206526</v>
      </c>
      <c r="K414" s="7"/>
    </row>
    <row r="415" spans="1:11" x14ac:dyDescent="0.25">
      <c r="A415" s="1" t="s">
        <v>17</v>
      </c>
      <c r="B415" s="2">
        <v>201404</v>
      </c>
      <c r="C415" s="2">
        <v>202102</v>
      </c>
      <c r="D415" s="10">
        <v>5014.4607802658547</v>
      </c>
      <c r="E415" s="10">
        <v>337944.5810321084</v>
      </c>
      <c r="F415" s="1">
        <v>2</v>
      </c>
      <c r="G415" s="1">
        <v>142</v>
      </c>
      <c r="H415">
        <f t="shared" si="18"/>
        <v>2014</v>
      </c>
      <c r="I415">
        <f t="shared" si="19"/>
        <v>2021</v>
      </c>
      <c r="J415" s="7">
        <f t="shared" si="20"/>
        <v>342959.04181237426</v>
      </c>
      <c r="K415" s="7"/>
    </row>
    <row r="416" spans="1:11" x14ac:dyDescent="0.25">
      <c r="A416" s="1" t="s">
        <v>17</v>
      </c>
      <c r="B416" s="2">
        <v>201404</v>
      </c>
      <c r="C416" s="2">
        <v>202103</v>
      </c>
      <c r="D416" s="10">
        <v>1777.0983386445803</v>
      </c>
      <c r="E416" s="10">
        <v>333411.15550145425</v>
      </c>
      <c r="F416" s="1">
        <v>1</v>
      </c>
      <c r="G416" s="1">
        <v>134</v>
      </c>
      <c r="H416">
        <f t="shared" si="18"/>
        <v>2014</v>
      </c>
      <c r="I416">
        <f t="shared" si="19"/>
        <v>2021</v>
      </c>
      <c r="J416" s="7">
        <f t="shared" si="20"/>
        <v>335188.25384009886</v>
      </c>
      <c r="K416" s="7"/>
    </row>
    <row r="417" spans="1:11" x14ac:dyDescent="0.25">
      <c r="A417" s="1" t="s">
        <v>17</v>
      </c>
      <c r="B417" s="2">
        <v>201404</v>
      </c>
      <c r="C417" s="2">
        <v>202104</v>
      </c>
      <c r="D417" s="10">
        <v>12858.277789078375</v>
      </c>
      <c r="E417" s="10">
        <v>293766.0877934249</v>
      </c>
      <c r="F417" s="1">
        <v>1</v>
      </c>
      <c r="G417" s="1">
        <v>123</v>
      </c>
      <c r="H417">
        <f t="shared" si="18"/>
        <v>2014</v>
      </c>
      <c r="I417">
        <f t="shared" si="19"/>
        <v>2021</v>
      </c>
      <c r="J417" s="7">
        <f t="shared" si="20"/>
        <v>306624.36558250326</v>
      </c>
      <c r="K417" s="7"/>
    </row>
    <row r="418" spans="1:11" x14ac:dyDescent="0.25">
      <c r="A418" s="1" t="s">
        <v>17</v>
      </c>
      <c r="B418" s="2">
        <v>201501</v>
      </c>
      <c r="C418" s="2">
        <v>201501</v>
      </c>
      <c r="D418" s="10">
        <v>104929.17881322208</v>
      </c>
      <c r="E418" s="10">
        <v>638589.93396849942</v>
      </c>
      <c r="F418" s="1">
        <v>3916</v>
      </c>
      <c r="G418" s="1">
        <v>2232</v>
      </c>
      <c r="H418">
        <f t="shared" si="18"/>
        <v>2015</v>
      </c>
      <c r="I418">
        <f t="shared" si="19"/>
        <v>2015</v>
      </c>
      <c r="J418" s="7">
        <f t="shared" si="20"/>
        <v>743519.11278172152</v>
      </c>
      <c r="K418" s="7"/>
    </row>
    <row r="419" spans="1:11" x14ac:dyDescent="0.25">
      <c r="A419" s="1" t="s">
        <v>17</v>
      </c>
      <c r="B419" s="2">
        <v>201501</v>
      </c>
      <c r="C419" s="2">
        <v>201502</v>
      </c>
      <c r="D419" s="10">
        <v>136330.58033141537</v>
      </c>
      <c r="E419" s="10">
        <v>792305.61568174849</v>
      </c>
      <c r="F419" s="1">
        <v>2274</v>
      </c>
      <c r="G419" s="1">
        <v>2586</v>
      </c>
      <c r="H419">
        <f t="shared" si="18"/>
        <v>2015</v>
      </c>
      <c r="I419">
        <f t="shared" si="19"/>
        <v>2015</v>
      </c>
      <c r="J419" s="7">
        <f t="shared" si="20"/>
        <v>928636.19601316389</v>
      </c>
      <c r="K419" s="7"/>
    </row>
    <row r="420" spans="1:11" x14ac:dyDescent="0.25">
      <c r="A420" s="1" t="s">
        <v>17</v>
      </c>
      <c r="B420" s="2">
        <v>201501</v>
      </c>
      <c r="C420" s="2">
        <v>201503</v>
      </c>
      <c r="D420" s="10">
        <v>105183.02485385626</v>
      </c>
      <c r="E420" s="10">
        <v>831745.35027495504</v>
      </c>
      <c r="F420" s="1">
        <v>728</v>
      </c>
      <c r="G420" s="1">
        <v>2609</v>
      </c>
      <c r="H420">
        <f t="shared" si="18"/>
        <v>2015</v>
      </c>
      <c r="I420">
        <f t="shared" si="19"/>
        <v>2015</v>
      </c>
      <c r="J420" s="7">
        <f t="shared" si="20"/>
        <v>936928.37512881134</v>
      </c>
      <c r="K420" s="7"/>
    </row>
    <row r="421" spans="1:11" x14ac:dyDescent="0.25">
      <c r="A421" s="1" t="s">
        <v>17</v>
      </c>
      <c r="B421" s="2">
        <v>201501</v>
      </c>
      <c r="C421" s="2">
        <v>201504</v>
      </c>
      <c r="D421" s="10">
        <v>78267.296231503642</v>
      </c>
      <c r="E421" s="10">
        <v>965222.07265712251</v>
      </c>
      <c r="F421" s="1">
        <v>301</v>
      </c>
      <c r="G421" s="1">
        <v>2542</v>
      </c>
      <c r="H421">
        <f t="shared" si="18"/>
        <v>2015</v>
      </c>
      <c r="I421">
        <f t="shared" si="19"/>
        <v>2015</v>
      </c>
      <c r="J421" s="7">
        <f t="shared" si="20"/>
        <v>1043489.3688886261</v>
      </c>
      <c r="K421" s="7"/>
    </row>
    <row r="422" spans="1:11" x14ac:dyDescent="0.25">
      <c r="A422" s="1" t="s">
        <v>17</v>
      </c>
      <c r="B422" s="2">
        <v>201501</v>
      </c>
      <c r="C422" s="2">
        <v>201601</v>
      </c>
      <c r="D422" s="10">
        <v>59635.822050955823</v>
      </c>
      <c r="E422" s="10">
        <v>942959.14996701467</v>
      </c>
      <c r="F422" s="1">
        <v>208</v>
      </c>
      <c r="G422" s="1">
        <v>2232</v>
      </c>
      <c r="H422">
        <f t="shared" si="18"/>
        <v>2015</v>
      </c>
      <c r="I422">
        <f t="shared" si="19"/>
        <v>2016</v>
      </c>
      <c r="J422" s="7">
        <f t="shared" si="20"/>
        <v>1002594.9720179705</v>
      </c>
      <c r="K422" s="7"/>
    </row>
    <row r="423" spans="1:11" x14ac:dyDescent="0.25">
      <c r="A423" s="1" t="s">
        <v>17</v>
      </c>
      <c r="B423" s="2">
        <v>201501</v>
      </c>
      <c r="C423" s="2">
        <v>201602</v>
      </c>
      <c r="D423" s="10">
        <v>52887.737885056573</v>
      </c>
      <c r="E423" s="10">
        <v>960450.02579378127</v>
      </c>
      <c r="F423" s="1">
        <v>126</v>
      </c>
      <c r="G423" s="1">
        <v>2153</v>
      </c>
      <c r="H423">
        <f t="shared" si="18"/>
        <v>2015</v>
      </c>
      <c r="I423">
        <f t="shared" si="19"/>
        <v>2016</v>
      </c>
      <c r="J423" s="7">
        <f t="shared" si="20"/>
        <v>1013337.7636788378</v>
      </c>
      <c r="K423" s="7"/>
    </row>
    <row r="424" spans="1:11" x14ac:dyDescent="0.25">
      <c r="A424" s="1" t="s">
        <v>17</v>
      </c>
      <c r="B424" s="2">
        <v>201501</v>
      </c>
      <c r="C424" s="2">
        <v>201603</v>
      </c>
      <c r="D424" s="10">
        <v>35608.710995337075</v>
      </c>
      <c r="E424" s="10">
        <v>1164428.2574782302</v>
      </c>
      <c r="F424" s="1">
        <v>73</v>
      </c>
      <c r="G424" s="1">
        <v>1954</v>
      </c>
      <c r="H424">
        <f t="shared" si="18"/>
        <v>2015</v>
      </c>
      <c r="I424">
        <f t="shared" si="19"/>
        <v>2016</v>
      </c>
      <c r="J424" s="7">
        <f t="shared" si="20"/>
        <v>1200036.9684735672</v>
      </c>
      <c r="K424" s="7"/>
    </row>
    <row r="425" spans="1:11" x14ac:dyDescent="0.25">
      <c r="A425" s="1" t="s">
        <v>17</v>
      </c>
      <c r="B425" s="2">
        <v>201501</v>
      </c>
      <c r="C425" s="2">
        <v>201604</v>
      </c>
      <c r="D425" s="10">
        <v>101655.03926018406</v>
      </c>
      <c r="E425" s="10">
        <v>1269733.4144955294</v>
      </c>
      <c r="F425" s="1">
        <v>84</v>
      </c>
      <c r="G425" s="1">
        <v>1621</v>
      </c>
      <c r="H425">
        <f t="shared" si="18"/>
        <v>2015</v>
      </c>
      <c r="I425">
        <f t="shared" si="19"/>
        <v>2016</v>
      </c>
      <c r="J425" s="7">
        <f t="shared" si="20"/>
        <v>1371388.4537557135</v>
      </c>
      <c r="K425" s="7"/>
    </row>
    <row r="426" spans="1:11" x14ac:dyDescent="0.25">
      <c r="A426" s="1" t="s">
        <v>17</v>
      </c>
      <c r="B426" s="2">
        <v>201501</v>
      </c>
      <c r="C426" s="2">
        <v>201701</v>
      </c>
      <c r="D426" s="10">
        <v>41286.225702864169</v>
      </c>
      <c r="E426" s="10">
        <v>1177789.7963105694</v>
      </c>
      <c r="F426" s="1">
        <v>58</v>
      </c>
      <c r="G426" s="1">
        <v>1548</v>
      </c>
      <c r="H426">
        <f t="shared" si="18"/>
        <v>2015</v>
      </c>
      <c r="I426">
        <f t="shared" si="19"/>
        <v>2017</v>
      </c>
      <c r="J426" s="7">
        <f t="shared" si="20"/>
        <v>1219076.0220134335</v>
      </c>
      <c r="K426" s="7"/>
    </row>
    <row r="427" spans="1:11" x14ac:dyDescent="0.25">
      <c r="A427" s="1" t="s">
        <v>17</v>
      </c>
      <c r="B427" s="2">
        <v>201501</v>
      </c>
      <c r="C427" s="2">
        <v>201702</v>
      </c>
      <c r="D427" s="10">
        <v>52616.337692188274</v>
      </c>
      <c r="E427" s="10">
        <v>1171575.3082926583</v>
      </c>
      <c r="F427" s="1">
        <v>44</v>
      </c>
      <c r="G427" s="1">
        <v>1511</v>
      </c>
      <c r="H427">
        <f t="shared" si="18"/>
        <v>2015</v>
      </c>
      <c r="I427">
        <f t="shared" si="19"/>
        <v>2017</v>
      </c>
      <c r="J427" s="7">
        <f t="shared" si="20"/>
        <v>1224191.6459848466</v>
      </c>
      <c r="K427" s="7"/>
    </row>
    <row r="428" spans="1:11" x14ac:dyDescent="0.25">
      <c r="A428" s="1" t="s">
        <v>17</v>
      </c>
      <c r="B428" s="2">
        <v>201501</v>
      </c>
      <c r="C428" s="2">
        <v>201703</v>
      </c>
      <c r="D428" s="10">
        <v>31995.977430496045</v>
      </c>
      <c r="E428" s="10">
        <v>1180796.2927083629</v>
      </c>
      <c r="F428" s="1">
        <v>42</v>
      </c>
      <c r="G428" s="1">
        <v>1388</v>
      </c>
      <c r="H428">
        <f t="shared" si="18"/>
        <v>2015</v>
      </c>
      <c r="I428">
        <f t="shared" si="19"/>
        <v>2017</v>
      </c>
      <c r="J428" s="7">
        <f t="shared" si="20"/>
        <v>1212792.2701388591</v>
      </c>
      <c r="K428" s="7"/>
    </row>
    <row r="429" spans="1:11" x14ac:dyDescent="0.25">
      <c r="A429" s="1" t="s">
        <v>17</v>
      </c>
      <c r="B429" s="2">
        <v>201501</v>
      </c>
      <c r="C429" s="2">
        <v>201704</v>
      </c>
      <c r="D429" s="10">
        <v>27701.795230341559</v>
      </c>
      <c r="E429" s="10">
        <v>1206020.3831689488</v>
      </c>
      <c r="F429" s="1">
        <v>49</v>
      </c>
      <c r="G429" s="1">
        <v>1204</v>
      </c>
      <c r="H429">
        <f t="shared" si="18"/>
        <v>2015</v>
      </c>
      <c r="I429">
        <f t="shared" si="19"/>
        <v>2017</v>
      </c>
      <c r="J429" s="7">
        <f t="shared" si="20"/>
        <v>1233722.1783992904</v>
      </c>
      <c r="K429" s="7"/>
    </row>
    <row r="430" spans="1:11" x14ac:dyDescent="0.25">
      <c r="A430" s="1" t="s">
        <v>17</v>
      </c>
      <c r="B430" s="2">
        <v>201501</v>
      </c>
      <c r="C430" s="2">
        <v>201801</v>
      </c>
      <c r="D430" s="10">
        <v>38571.377286819254</v>
      </c>
      <c r="E430" s="10">
        <v>1147783.7821112284</v>
      </c>
      <c r="F430" s="1">
        <v>39</v>
      </c>
      <c r="G430" s="1">
        <v>1060</v>
      </c>
      <c r="H430">
        <f t="shared" si="18"/>
        <v>2015</v>
      </c>
      <c r="I430">
        <f t="shared" si="19"/>
        <v>2018</v>
      </c>
      <c r="J430" s="7">
        <f t="shared" si="20"/>
        <v>1186355.1593980477</v>
      </c>
      <c r="K430" s="7"/>
    </row>
    <row r="431" spans="1:11" x14ac:dyDescent="0.25">
      <c r="A431" s="1" t="s">
        <v>17</v>
      </c>
      <c r="B431" s="2">
        <v>201501</v>
      </c>
      <c r="C431" s="2">
        <v>201802</v>
      </c>
      <c r="D431" s="10">
        <v>23491.545120838462</v>
      </c>
      <c r="E431" s="10">
        <v>1119683.9541668759</v>
      </c>
      <c r="F431" s="1">
        <v>39</v>
      </c>
      <c r="G431" s="1">
        <v>976</v>
      </c>
      <c r="H431">
        <f t="shared" si="18"/>
        <v>2015</v>
      </c>
      <c r="I431">
        <f t="shared" si="19"/>
        <v>2018</v>
      </c>
      <c r="J431" s="7">
        <f t="shared" si="20"/>
        <v>1143175.4992877145</v>
      </c>
      <c r="K431" s="7"/>
    </row>
    <row r="432" spans="1:11" x14ac:dyDescent="0.25">
      <c r="A432" s="1" t="s">
        <v>17</v>
      </c>
      <c r="B432" s="2">
        <v>201501</v>
      </c>
      <c r="C432" s="2">
        <v>201803</v>
      </c>
      <c r="D432" s="10">
        <v>280054.84655328718</v>
      </c>
      <c r="E432" s="10">
        <v>926245.75207927986</v>
      </c>
      <c r="F432" s="1">
        <v>17</v>
      </c>
      <c r="G432" s="1">
        <v>932</v>
      </c>
      <c r="H432">
        <f t="shared" si="18"/>
        <v>2015</v>
      </c>
      <c r="I432">
        <f t="shared" si="19"/>
        <v>2018</v>
      </c>
      <c r="J432" s="7">
        <f t="shared" si="20"/>
        <v>1206300.5986325671</v>
      </c>
      <c r="K432" s="7"/>
    </row>
    <row r="433" spans="1:11" x14ac:dyDescent="0.25">
      <c r="A433" s="1" t="s">
        <v>17</v>
      </c>
      <c r="B433" s="2">
        <v>201501</v>
      </c>
      <c r="C433" s="2">
        <v>201804</v>
      </c>
      <c r="D433" s="10">
        <v>54185.184979284088</v>
      </c>
      <c r="E433" s="10">
        <v>882200.09203549998</v>
      </c>
      <c r="F433" s="1">
        <v>11</v>
      </c>
      <c r="G433" s="1">
        <v>512</v>
      </c>
      <c r="H433">
        <f t="shared" si="18"/>
        <v>2015</v>
      </c>
      <c r="I433">
        <f t="shared" si="19"/>
        <v>2018</v>
      </c>
      <c r="J433" s="7">
        <f t="shared" si="20"/>
        <v>936385.27701478405</v>
      </c>
      <c r="K433" s="7"/>
    </row>
    <row r="434" spans="1:11" x14ac:dyDescent="0.25">
      <c r="A434" s="1" t="s">
        <v>17</v>
      </c>
      <c r="B434" s="2">
        <v>201501</v>
      </c>
      <c r="C434" s="2">
        <v>201901</v>
      </c>
      <c r="D434" s="10">
        <v>50442.617506009636</v>
      </c>
      <c r="E434" s="10">
        <v>826755.27149578335</v>
      </c>
      <c r="F434" s="1">
        <v>22</v>
      </c>
      <c r="G434" s="1">
        <v>451</v>
      </c>
      <c r="H434">
        <f t="shared" si="18"/>
        <v>2015</v>
      </c>
      <c r="I434">
        <f t="shared" si="19"/>
        <v>2019</v>
      </c>
      <c r="J434" s="7">
        <f t="shared" si="20"/>
        <v>877197.889001793</v>
      </c>
      <c r="K434" s="7"/>
    </row>
    <row r="435" spans="1:11" x14ac:dyDescent="0.25">
      <c r="A435" s="1" t="s">
        <v>17</v>
      </c>
      <c r="B435" s="2">
        <v>201501</v>
      </c>
      <c r="C435" s="2">
        <v>201902</v>
      </c>
      <c r="D435" s="10">
        <v>435226.19514876598</v>
      </c>
      <c r="E435" s="10">
        <v>533651.64549641928</v>
      </c>
      <c r="F435" s="1">
        <v>8</v>
      </c>
      <c r="G435" s="1">
        <v>423</v>
      </c>
      <c r="H435">
        <f t="shared" si="18"/>
        <v>2015</v>
      </c>
      <c r="I435">
        <f t="shared" si="19"/>
        <v>2019</v>
      </c>
      <c r="J435" s="7">
        <f t="shared" si="20"/>
        <v>968877.84064518521</v>
      </c>
      <c r="K435" s="7"/>
    </row>
    <row r="436" spans="1:11" x14ac:dyDescent="0.25">
      <c r="A436" s="1" t="s">
        <v>17</v>
      </c>
      <c r="B436" s="2">
        <v>201501</v>
      </c>
      <c r="C436" s="2">
        <v>201903</v>
      </c>
      <c r="D436" s="10">
        <v>12900.711474325475</v>
      </c>
      <c r="E436" s="10">
        <v>521033.16467686789</v>
      </c>
      <c r="F436" s="1">
        <v>12</v>
      </c>
      <c r="G436" s="1">
        <v>408</v>
      </c>
      <c r="H436">
        <f t="shared" si="18"/>
        <v>2015</v>
      </c>
      <c r="I436">
        <f t="shared" si="19"/>
        <v>2019</v>
      </c>
      <c r="J436" s="7">
        <f t="shared" si="20"/>
        <v>533933.8761511934</v>
      </c>
      <c r="K436" s="7"/>
    </row>
    <row r="437" spans="1:11" x14ac:dyDescent="0.25">
      <c r="A437" s="1" t="s">
        <v>17</v>
      </c>
      <c r="B437" s="2">
        <v>201501</v>
      </c>
      <c r="C437" s="2">
        <v>201904</v>
      </c>
      <c r="D437" s="10">
        <v>29046.251223470979</v>
      </c>
      <c r="E437" s="10">
        <v>502743.48068780039</v>
      </c>
      <c r="F437" s="1">
        <v>13</v>
      </c>
      <c r="G437" s="1">
        <v>371</v>
      </c>
      <c r="H437">
        <f t="shared" si="18"/>
        <v>2015</v>
      </c>
      <c r="I437">
        <f t="shared" si="19"/>
        <v>2019</v>
      </c>
      <c r="J437" s="7">
        <f t="shared" si="20"/>
        <v>531789.73191127134</v>
      </c>
      <c r="K437" s="7"/>
    </row>
    <row r="438" spans="1:11" x14ac:dyDescent="0.25">
      <c r="A438" s="1" t="s">
        <v>17</v>
      </c>
      <c r="B438" s="2">
        <v>201501</v>
      </c>
      <c r="C438" s="2">
        <v>202001</v>
      </c>
      <c r="D438" s="10">
        <v>56360.286444692414</v>
      </c>
      <c r="E438" s="10">
        <v>476609.85592165304</v>
      </c>
      <c r="F438" s="1">
        <v>4</v>
      </c>
      <c r="G438" s="1">
        <v>334</v>
      </c>
      <c r="H438">
        <f t="shared" si="18"/>
        <v>2015</v>
      </c>
      <c r="I438">
        <f t="shared" si="19"/>
        <v>2020</v>
      </c>
      <c r="J438" s="7">
        <f t="shared" si="20"/>
        <v>532970.14236634551</v>
      </c>
      <c r="K438" s="7"/>
    </row>
    <row r="439" spans="1:11" x14ac:dyDescent="0.25">
      <c r="A439" s="1" t="s">
        <v>17</v>
      </c>
      <c r="B439" s="2">
        <v>201501</v>
      </c>
      <c r="C439" s="2">
        <v>202002</v>
      </c>
      <c r="D439" s="10">
        <v>43763.269108110311</v>
      </c>
      <c r="E439" s="10">
        <v>422005.41279644438</v>
      </c>
      <c r="F439" s="1">
        <v>5</v>
      </c>
      <c r="G439" s="1">
        <v>288</v>
      </c>
      <c r="H439">
        <f t="shared" si="18"/>
        <v>2015</v>
      </c>
      <c r="I439">
        <f t="shared" si="19"/>
        <v>2020</v>
      </c>
      <c r="J439" s="7">
        <f t="shared" si="20"/>
        <v>465768.68190455472</v>
      </c>
      <c r="K439" s="7"/>
    </row>
    <row r="440" spans="1:11" x14ac:dyDescent="0.25">
      <c r="A440" s="1" t="s">
        <v>17</v>
      </c>
      <c r="B440" s="2">
        <v>201501</v>
      </c>
      <c r="C440" s="2">
        <v>202003</v>
      </c>
      <c r="D440" s="10">
        <v>47311.069828485677</v>
      </c>
      <c r="E440" s="10">
        <v>400027.21723609348</v>
      </c>
      <c r="F440" s="1">
        <v>1</v>
      </c>
      <c r="G440" s="1">
        <v>247</v>
      </c>
      <c r="H440">
        <f t="shared" si="18"/>
        <v>2015</v>
      </c>
      <c r="I440">
        <f t="shared" si="19"/>
        <v>2020</v>
      </c>
      <c r="J440" s="7">
        <f t="shared" si="20"/>
        <v>447338.28706457914</v>
      </c>
      <c r="K440" s="7"/>
    </row>
    <row r="441" spans="1:11" x14ac:dyDescent="0.25">
      <c r="A441" s="1" t="s">
        <v>17</v>
      </c>
      <c r="B441" s="2">
        <v>201501</v>
      </c>
      <c r="C441" s="2">
        <v>202004</v>
      </c>
      <c r="D441" s="10">
        <v>34644.235289366028</v>
      </c>
      <c r="E441" s="10">
        <v>362988.64194055018</v>
      </c>
      <c r="F441" s="1">
        <v>9</v>
      </c>
      <c r="G441" s="1">
        <v>227</v>
      </c>
      <c r="H441">
        <f t="shared" si="18"/>
        <v>2015</v>
      </c>
      <c r="I441">
        <f t="shared" si="19"/>
        <v>2020</v>
      </c>
      <c r="J441" s="7">
        <f t="shared" si="20"/>
        <v>397632.87722991622</v>
      </c>
      <c r="K441" s="7"/>
    </row>
    <row r="442" spans="1:11" x14ac:dyDescent="0.25">
      <c r="A442" s="1" t="s">
        <v>17</v>
      </c>
      <c r="B442" s="2">
        <v>201501</v>
      </c>
      <c r="C442" s="2">
        <v>202101</v>
      </c>
      <c r="D442" s="10">
        <v>19155.217795539742</v>
      </c>
      <c r="E442" s="10">
        <v>363492.31525257195</v>
      </c>
      <c r="F442" s="1">
        <v>5</v>
      </c>
      <c r="G442" s="1">
        <v>203</v>
      </c>
      <c r="H442">
        <f t="shared" si="18"/>
        <v>2015</v>
      </c>
      <c r="I442">
        <f t="shared" si="19"/>
        <v>2021</v>
      </c>
      <c r="J442" s="7">
        <f t="shared" si="20"/>
        <v>382647.53304811171</v>
      </c>
      <c r="K442" s="7"/>
    </row>
    <row r="443" spans="1:11" x14ac:dyDescent="0.25">
      <c r="A443" s="1" t="s">
        <v>17</v>
      </c>
      <c r="B443" s="2">
        <v>201501</v>
      </c>
      <c r="C443" s="2">
        <v>202102</v>
      </c>
      <c r="D443" s="10">
        <v>25341.484110775888</v>
      </c>
      <c r="E443" s="10">
        <v>360781.00580043648</v>
      </c>
      <c r="F443" s="1">
        <v>5</v>
      </c>
      <c r="G443" s="1">
        <v>192</v>
      </c>
      <c r="H443">
        <f t="shared" si="18"/>
        <v>2015</v>
      </c>
      <c r="I443">
        <f t="shared" si="19"/>
        <v>2021</v>
      </c>
      <c r="J443" s="7">
        <f t="shared" si="20"/>
        <v>386122.48991121235</v>
      </c>
      <c r="K443" s="7"/>
    </row>
    <row r="444" spans="1:11" x14ac:dyDescent="0.25">
      <c r="A444" s="1" t="s">
        <v>17</v>
      </c>
      <c r="B444" s="2">
        <v>201501</v>
      </c>
      <c r="C444" s="2">
        <v>202103</v>
      </c>
      <c r="D444" s="10">
        <v>20145.612104523167</v>
      </c>
      <c r="E444" s="10">
        <v>365861.17042785429</v>
      </c>
      <c r="F444" s="1">
        <v>6</v>
      </c>
      <c r="G444" s="1">
        <v>183</v>
      </c>
      <c r="H444">
        <f t="shared" si="18"/>
        <v>2015</v>
      </c>
      <c r="I444">
        <f t="shared" si="19"/>
        <v>2021</v>
      </c>
      <c r="J444" s="7">
        <f t="shared" si="20"/>
        <v>386006.78253237746</v>
      </c>
      <c r="K444" s="7"/>
    </row>
    <row r="445" spans="1:11" x14ac:dyDescent="0.25">
      <c r="A445" s="1" t="s">
        <v>17</v>
      </c>
      <c r="B445" s="2">
        <v>201501</v>
      </c>
      <c r="C445" s="2">
        <v>202104</v>
      </c>
      <c r="D445" s="10">
        <v>13591.295887030672</v>
      </c>
      <c r="E445" s="10">
        <v>292197.0664829631</v>
      </c>
      <c r="F445" s="1">
        <v>6</v>
      </c>
      <c r="G445" s="1">
        <v>157</v>
      </c>
      <c r="H445">
        <f t="shared" si="18"/>
        <v>2015</v>
      </c>
      <c r="I445">
        <f t="shared" si="19"/>
        <v>2021</v>
      </c>
      <c r="J445" s="7">
        <f t="shared" si="20"/>
        <v>305788.36236999376</v>
      </c>
      <c r="K445" s="7"/>
    </row>
    <row r="446" spans="1:11" x14ac:dyDescent="0.25">
      <c r="A446" s="1" t="s">
        <v>17</v>
      </c>
      <c r="B446" s="2">
        <v>201502</v>
      </c>
      <c r="C446" s="2">
        <v>201502</v>
      </c>
      <c r="D446" s="10">
        <v>72801.867106190999</v>
      </c>
      <c r="E446" s="10">
        <v>395123.13038506464</v>
      </c>
      <c r="F446" s="1">
        <v>4046</v>
      </c>
      <c r="G446" s="1">
        <v>2547</v>
      </c>
      <c r="H446">
        <f t="shared" si="18"/>
        <v>2015</v>
      </c>
      <c r="I446">
        <f t="shared" si="19"/>
        <v>2015</v>
      </c>
      <c r="J446" s="7">
        <f t="shared" si="20"/>
        <v>467924.99749125564</v>
      </c>
      <c r="K446" s="7"/>
    </row>
    <row r="447" spans="1:11" x14ac:dyDescent="0.25">
      <c r="A447" s="1" t="s">
        <v>17</v>
      </c>
      <c r="B447" s="2">
        <v>201502</v>
      </c>
      <c r="C447" s="2">
        <v>201503</v>
      </c>
      <c r="D447" s="10">
        <v>192505.68299812882</v>
      </c>
      <c r="E447" s="10">
        <v>554146.16888977343</v>
      </c>
      <c r="F447" s="1">
        <v>2667</v>
      </c>
      <c r="G447" s="1">
        <v>2979</v>
      </c>
      <c r="H447">
        <f t="shared" si="18"/>
        <v>2015</v>
      </c>
      <c r="I447">
        <f t="shared" si="19"/>
        <v>2015</v>
      </c>
      <c r="J447" s="7">
        <f t="shared" si="20"/>
        <v>746651.85188790224</v>
      </c>
      <c r="K447" s="7"/>
    </row>
    <row r="448" spans="1:11" x14ac:dyDescent="0.25">
      <c r="A448" s="1" t="s">
        <v>17</v>
      </c>
      <c r="B448" s="2">
        <v>201502</v>
      </c>
      <c r="C448" s="2">
        <v>201504</v>
      </c>
      <c r="D448" s="10">
        <v>121491.67866511551</v>
      </c>
      <c r="E448" s="10">
        <v>654796.38108367415</v>
      </c>
      <c r="F448" s="1">
        <v>635</v>
      </c>
      <c r="G448" s="1">
        <v>2724</v>
      </c>
      <c r="H448">
        <f t="shared" si="18"/>
        <v>2015</v>
      </c>
      <c r="I448">
        <f t="shared" si="19"/>
        <v>2015</v>
      </c>
      <c r="J448" s="7">
        <f t="shared" si="20"/>
        <v>776288.05974878964</v>
      </c>
      <c r="K448" s="7"/>
    </row>
    <row r="449" spans="1:11" x14ac:dyDescent="0.25">
      <c r="A449" s="1" t="s">
        <v>17</v>
      </c>
      <c r="B449" s="2">
        <v>201502</v>
      </c>
      <c r="C449" s="2">
        <v>201601</v>
      </c>
      <c r="D449" s="10">
        <v>80762.284372477719</v>
      </c>
      <c r="E449" s="10">
        <v>622507.62051683269</v>
      </c>
      <c r="F449" s="1">
        <v>238</v>
      </c>
      <c r="G449" s="1">
        <v>2455</v>
      </c>
      <c r="H449">
        <f t="shared" si="18"/>
        <v>2015</v>
      </c>
      <c r="I449">
        <f t="shared" si="19"/>
        <v>2016</v>
      </c>
      <c r="J449" s="7">
        <f t="shared" si="20"/>
        <v>703269.90488931036</v>
      </c>
      <c r="K449" s="7"/>
    </row>
    <row r="450" spans="1:11" x14ac:dyDescent="0.25">
      <c r="A450" s="1" t="s">
        <v>17</v>
      </c>
      <c r="B450" s="2">
        <v>201502</v>
      </c>
      <c r="C450" s="2">
        <v>201602</v>
      </c>
      <c r="D450" s="10">
        <v>53833.809585926218</v>
      </c>
      <c r="E450" s="10">
        <v>627474.93034648418</v>
      </c>
      <c r="F450" s="1">
        <v>145</v>
      </c>
      <c r="G450" s="1">
        <v>2324</v>
      </c>
      <c r="H450">
        <f t="shared" si="18"/>
        <v>2015</v>
      </c>
      <c r="I450">
        <f t="shared" si="19"/>
        <v>2016</v>
      </c>
      <c r="J450" s="7">
        <f t="shared" si="20"/>
        <v>681308.73993241042</v>
      </c>
      <c r="K450" s="7"/>
    </row>
    <row r="451" spans="1:11" x14ac:dyDescent="0.25">
      <c r="A451" s="1" t="s">
        <v>17</v>
      </c>
      <c r="B451" s="2">
        <v>201502</v>
      </c>
      <c r="C451" s="2">
        <v>201603</v>
      </c>
      <c r="D451" s="10">
        <v>56230.084938829539</v>
      </c>
      <c r="E451" s="10">
        <v>591295.70489585015</v>
      </c>
      <c r="F451" s="1">
        <v>90</v>
      </c>
      <c r="G451" s="1">
        <v>2149</v>
      </c>
      <c r="H451">
        <f t="shared" si="18"/>
        <v>2015</v>
      </c>
      <c r="I451">
        <f t="shared" si="19"/>
        <v>2016</v>
      </c>
      <c r="J451" s="7">
        <f t="shared" si="20"/>
        <v>647525.78983467969</v>
      </c>
      <c r="K451" s="7"/>
    </row>
    <row r="452" spans="1:11" x14ac:dyDescent="0.25">
      <c r="A452" s="1" t="s">
        <v>17</v>
      </c>
      <c r="B452" s="2">
        <v>201502</v>
      </c>
      <c r="C452" s="2">
        <v>201604</v>
      </c>
      <c r="D452" s="10">
        <v>30566.919660741201</v>
      </c>
      <c r="E452" s="10">
        <v>639146.88359538733</v>
      </c>
      <c r="F452" s="1">
        <v>55</v>
      </c>
      <c r="G452" s="1">
        <v>1784</v>
      </c>
      <c r="H452">
        <f t="shared" ref="H452:H515" si="21">VALUE(LEFT(B452,4))</f>
        <v>2015</v>
      </c>
      <c r="I452">
        <f t="shared" ref="I452:I515" si="22">VALUE(LEFT(C452,4))</f>
        <v>2016</v>
      </c>
      <c r="J452" s="7">
        <f t="shared" si="20"/>
        <v>669713.80325612857</v>
      </c>
      <c r="K452" s="7"/>
    </row>
    <row r="453" spans="1:11" x14ac:dyDescent="0.25">
      <c r="A453" s="1" t="s">
        <v>17</v>
      </c>
      <c r="B453" s="2">
        <v>201502</v>
      </c>
      <c r="C453" s="2">
        <v>201701</v>
      </c>
      <c r="D453" s="10">
        <v>48443.628525565829</v>
      </c>
      <c r="E453" s="10">
        <v>576068.13095202448</v>
      </c>
      <c r="F453" s="1">
        <v>43</v>
      </c>
      <c r="G453" s="1">
        <v>1618</v>
      </c>
      <c r="H453">
        <f t="shared" si="21"/>
        <v>2015</v>
      </c>
      <c r="I453">
        <f t="shared" si="22"/>
        <v>2017</v>
      </c>
      <c r="J453" s="7">
        <f t="shared" ref="J453:J516" si="23">D453+E453</f>
        <v>624511.75947759033</v>
      </c>
      <c r="K453" s="7"/>
    </row>
    <row r="454" spans="1:11" x14ac:dyDescent="0.25">
      <c r="A454" s="1" t="s">
        <v>17</v>
      </c>
      <c r="B454" s="2">
        <v>201502</v>
      </c>
      <c r="C454" s="2">
        <v>201702</v>
      </c>
      <c r="D454" s="10">
        <v>24080.053223811119</v>
      </c>
      <c r="E454" s="10">
        <v>550317.91581950441</v>
      </c>
      <c r="F454" s="1">
        <v>44</v>
      </c>
      <c r="G454" s="1">
        <v>1542</v>
      </c>
      <c r="H454">
        <f t="shared" si="21"/>
        <v>2015</v>
      </c>
      <c r="I454">
        <f t="shared" si="22"/>
        <v>2017</v>
      </c>
      <c r="J454" s="7">
        <f t="shared" si="23"/>
        <v>574397.9690433155</v>
      </c>
      <c r="K454" s="7"/>
    </row>
    <row r="455" spans="1:11" x14ac:dyDescent="0.25">
      <c r="A455" s="1" t="s">
        <v>17</v>
      </c>
      <c r="B455" s="2">
        <v>201502</v>
      </c>
      <c r="C455" s="2">
        <v>201703</v>
      </c>
      <c r="D455" s="10">
        <v>23505.951412912473</v>
      </c>
      <c r="E455" s="10">
        <v>560606.5293316379</v>
      </c>
      <c r="F455" s="1">
        <v>29</v>
      </c>
      <c r="G455" s="1">
        <v>1445</v>
      </c>
      <c r="H455">
        <f t="shared" si="21"/>
        <v>2015</v>
      </c>
      <c r="I455">
        <f t="shared" si="22"/>
        <v>2017</v>
      </c>
      <c r="J455" s="7">
        <f t="shared" si="23"/>
        <v>584112.48074455035</v>
      </c>
      <c r="K455" s="7"/>
    </row>
    <row r="456" spans="1:11" x14ac:dyDescent="0.25">
      <c r="A456" s="1" t="s">
        <v>17</v>
      </c>
      <c r="B456" s="2">
        <v>201502</v>
      </c>
      <c r="C456" s="2">
        <v>201704</v>
      </c>
      <c r="D456" s="10">
        <v>27898.429334649059</v>
      </c>
      <c r="E456" s="10">
        <v>540872.60368615354</v>
      </c>
      <c r="F456" s="1">
        <v>30</v>
      </c>
      <c r="G456" s="1">
        <v>1278</v>
      </c>
      <c r="H456">
        <f t="shared" si="21"/>
        <v>2015</v>
      </c>
      <c r="I456">
        <f t="shared" si="22"/>
        <v>2017</v>
      </c>
      <c r="J456" s="7">
        <f t="shared" si="23"/>
        <v>568771.03302080254</v>
      </c>
      <c r="K456" s="7"/>
    </row>
    <row r="457" spans="1:11" x14ac:dyDescent="0.25">
      <c r="A457" s="1" t="s">
        <v>17</v>
      </c>
      <c r="B457" s="2">
        <v>201502</v>
      </c>
      <c r="C457" s="2">
        <v>201801</v>
      </c>
      <c r="D457" s="10">
        <v>25894.718141563175</v>
      </c>
      <c r="E457" s="10">
        <v>496629.35272735904</v>
      </c>
      <c r="F457" s="1">
        <v>22</v>
      </c>
      <c r="G457" s="1">
        <v>1143</v>
      </c>
      <c r="H457">
        <f t="shared" si="21"/>
        <v>2015</v>
      </c>
      <c r="I457">
        <f t="shared" si="22"/>
        <v>2018</v>
      </c>
      <c r="J457" s="7">
        <f t="shared" si="23"/>
        <v>522524.07086892222</v>
      </c>
      <c r="K457" s="7"/>
    </row>
    <row r="458" spans="1:11" x14ac:dyDescent="0.25">
      <c r="A458" s="1" t="s">
        <v>17</v>
      </c>
      <c r="B458" s="2">
        <v>201502</v>
      </c>
      <c r="C458" s="2">
        <v>201802</v>
      </c>
      <c r="D458" s="10">
        <v>24861.64075030532</v>
      </c>
      <c r="E458" s="10">
        <v>694802.00096293946</v>
      </c>
      <c r="F458" s="1">
        <v>26</v>
      </c>
      <c r="G458" s="1">
        <v>1019</v>
      </c>
      <c r="H458">
        <f t="shared" si="21"/>
        <v>2015</v>
      </c>
      <c r="I458">
        <f t="shared" si="22"/>
        <v>2018</v>
      </c>
      <c r="J458" s="7">
        <f t="shared" si="23"/>
        <v>719663.64171324484</v>
      </c>
      <c r="K458" s="7"/>
    </row>
    <row r="459" spans="1:11" x14ac:dyDescent="0.25">
      <c r="A459" s="1" t="s">
        <v>17</v>
      </c>
      <c r="B459" s="2">
        <v>201502</v>
      </c>
      <c r="C459" s="2">
        <v>201803</v>
      </c>
      <c r="D459" s="10">
        <v>18943.133379983632</v>
      </c>
      <c r="E459" s="10">
        <v>685025.73019357445</v>
      </c>
      <c r="F459" s="1">
        <v>13</v>
      </c>
      <c r="G459" s="1">
        <v>977</v>
      </c>
      <c r="H459">
        <f t="shared" si="21"/>
        <v>2015</v>
      </c>
      <c r="I459">
        <f t="shared" si="22"/>
        <v>2018</v>
      </c>
      <c r="J459" s="7">
        <f t="shared" si="23"/>
        <v>703968.86357355805</v>
      </c>
      <c r="K459" s="7"/>
    </row>
    <row r="460" spans="1:11" x14ac:dyDescent="0.25">
      <c r="A460" s="1" t="s">
        <v>17</v>
      </c>
      <c r="B460" s="2">
        <v>201502</v>
      </c>
      <c r="C460" s="2">
        <v>201804</v>
      </c>
      <c r="D460" s="10">
        <v>19300.079773764879</v>
      </c>
      <c r="E460" s="10">
        <v>743403.78120799188</v>
      </c>
      <c r="F460" s="1">
        <v>13</v>
      </c>
      <c r="G460" s="1">
        <v>612</v>
      </c>
      <c r="H460">
        <f t="shared" si="21"/>
        <v>2015</v>
      </c>
      <c r="I460">
        <f t="shared" si="22"/>
        <v>2018</v>
      </c>
      <c r="J460" s="7">
        <f t="shared" si="23"/>
        <v>762703.8609817567</v>
      </c>
      <c r="K460" s="7"/>
    </row>
    <row r="461" spans="1:11" x14ac:dyDescent="0.25">
      <c r="A461" s="1" t="s">
        <v>17</v>
      </c>
      <c r="B461" s="2">
        <v>201502</v>
      </c>
      <c r="C461" s="2">
        <v>201901</v>
      </c>
      <c r="D461" s="10">
        <v>22583.262144228862</v>
      </c>
      <c r="E461" s="10">
        <v>712828.85988606</v>
      </c>
      <c r="F461" s="1">
        <v>12</v>
      </c>
      <c r="G461" s="1">
        <v>539</v>
      </c>
      <c r="H461">
        <f t="shared" si="21"/>
        <v>2015</v>
      </c>
      <c r="I461">
        <f t="shared" si="22"/>
        <v>2019</v>
      </c>
      <c r="J461" s="7">
        <f t="shared" si="23"/>
        <v>735412.12203028891</v>
      </c>
      <c r="K461" s="7"/>
    </row>
    <row r="462" spans="1:11" x14ac:dyDescent="0.25">
      <c r="A462" s="1" t="s">
        <v>17</v>
      </c>
      <c r="B462" s="2">
        <v>201502</v>
      </c>
      <c r="C462" s="2">
        <v>201902</v>
      </c>
      <c r="D462" s="10">
        <v>17378.557620162748</v>
      </c>
      <c r="E462" s="10">
        <v>669531.02741242398</v>
      </c>
      <c r="F462" s="1">
        <v>4</v>
      </c>
      <c r="G462" s="1">
        <v>494</v>
      </c>
      <c r="H462">
        <f t="shared" si="21"/>
        <v>2015</v>
      </c>
      <c r="I462">
        <f t="shared" si="22"/>
        <v>2019</v>
      </c>
      <c r="J462" s="7">
        <f t="shared" si="23"/>
        <v>686909.58503258671</v>
      </c>
      <c r="K462" s="7"/>
    </row>
    <row r="463" spans="1:11" x14ac:dyDescent="0.25">
      <c r="A463" s="1" t="s">
        <v>17</v>
      </c>
      <c r="B463" s="2">
        <v>201502</v>
      </c>
      <c r="C463" s="2">
        <v>201903</v>
      </c>
      <c r="D463" s="10">
        <v>29615.474945985457</v>
      </c>
      <c r="E463" s="10">
        <v>634097.72403085534</v>
      </c>
      <c r="F463" s="1">
        <v>9</v>
      </c>
      <c r="G463" s="1">
        <v>463</v>
      </c>
      <c r="H463">
        <f t="shared" si="21"/>
        <v>2015</v>
      </c>
      <c r="I463">
        <f t="shared" si="22"/>
        <v>2019</v>
      </c>
      <c r="J463" s="7">
        <f t="shared" si="23"/>
        <v>663713.19897684082</v>
      </c>
      <c r="K463" s="7"/>
    </row>
    <row r="464" spans="1:11" x14ac:dyDescent="0.25">
      <c r="A464" s="1" t="s">
        <v>17</v>
      </c>
      <c r="B464" s="2">
        <v>201502</v>
      </c>
      <c r="C464" s="2">
        <v>201904</v>
      </c>
      <c r="D464" s="10">
        <v>14739.710570102892</v>
      </c>
      <c r="E464" s="10">
        <v>639416.99424207979</v>
      </c>
      <c r="F464" s="1">
        <v>5</v>
      </c>
      <c r="G464" s="1">
        <v>430</v>
      </c>
      <c r="H464">
        <f t="shared" si="21"/>
        <v>2015</v>
      </c>
      <c r="I464">
        <f t="shared" si="22"/>
        <v>2019</v>
      </c>
      <c r="J464" s="7">
        <f t="shared" si="23"/>
        <v>654156.7048121827</v>
      </c>
      <c r="K464" s="7"/>
    </row>
    <row r="465" spans="1:11" x14ac:dyDescent="0.25">
      <c r="A465" s="1" t="s">
        <v>17</v>
      </c>
      <c r="B465" s="2">
        <v>201502</v>
      </c>
      <c r="C465" s="2">
        <v>202001</v>
      </c>
      <c r="D465" s="10">
        <v>12894.750808495493</v>
      </c>
      <c r="E465" s="10">
        <v>606160.45623617328</v>
      </c>
      <c r="F465" s="1">
        <v>6</v>
      </c>
      <c r="G465" s="1">
        <v>378</v>
      </c>
      <c r="H465">
        <f t="shared" si="21"/>
        <v>2015</v>
      </c>
      <c r="I465">
        <f t="shared" si="22"/>
        <v>2020</v>
      </c>
      <c r="J465" s="7">
        <f t="shared" si="23"/>
        <v>619055.20704466873</v>
      </c>
      <c r="K465" s="7"/>
    </row>
    <row r="466" spans="1:11" x14ac:dyDescent="0.25">
      <c r="A466" s="1" t="s">
        <v>17</v>
      </c>
      <c r="B466" s="2">
        <v>201502</v>
      </c>
      <c r="C466" s="2">
        <v>202002</v>
      </c>
      <c r="D466" s="10">
        <v>17514.109484482295</v>
      </c>
      <c r="E466" s="10">
        <v>587507.44963505934</v>
      </c>
      <c r="F466" s="1">
        <v>5</v>
      </c>
      <c r="G466" s="1">
        <v>341</v>
      </c>
      <c r="H466">
        <f t="shared" si="21"/>
        <v>2015</v>
      </c>
      <c r="I466">
        <f t="shared" si="22"/>
        <v>2020</v>
      </c>
      <c r="J466" s="7">
        <f t="shared" si="23"/>
        <v>605021.55911954166</v>
      </c>
      <c r="K466" s="7"/>
    </row>
    <row r="467" spans="1:11" x14ac:dyDescent="0.25">
      <c r="A467" s="1" t="s">
        <v>17</v>
      </c>
      <c r="B467" s="2">
        <v>201502</v>
      </c>
      <c r="C467" s="2">
        <v>202003</v>
      </c>
      <c r="D467" s="10">
        <v>16993.00738382171</v>
      </c>
      <c r="E467" s="10">
        <v>583280.8252160463</v>
      </c>
      <c r="F467" s="1">
        <v>4</v>
      </c>
      <c r="G467" s="1">
        <v>275</v>
      </c>
      <c r="H467">
        <f t="shared" si="21"/>
        <v>2015</v>
      </c>
      <c r="I467">
        <f t="shared" si="22"/>
        <v>2020</v>
      </c>
      <c r="J467" s="7">
        <f t="shared" si="23"/>
        <v>600273.83259986807</v>
      </c>
      <c r="K467" s="7"/>
    </row>
    <row r="468" spans="1:11" x14ac:dyDescent="0.25">
      <c r="A468" s="1" t="s">
        <v>17</v>
      </c>
      <c r="B468" s="2">
        <v>201502</v>
      </c>
      <c r="C468" s="2">
        <v>202004</v>
      </c>
      <c r="D468" s="10">
        <v>10917.030346501237</v>
      </c>
      <c r="E468" s="10">
        <v>548796.59291292448</v>
      </c>
      <c r="F468" s="1">
        <v>2</v>
      </c>
      <c r="G468" s="1">
        <v>250</v>
      </c>
      <c r="H468">
        <f t="shared" si="21"/>
        <v>2015</v>
      </c>
      <c r="I468">
        <f t="shared" si="22"/>
        <v>2020</v>
      </c>
      <c r="J468" s="7">
        <f t="shared" si="23"/>
        <v>559713.62325942575</v>
      </c>
      <c r="K468" s="7"/>
    </row>
    <row r="469" spans="1:11" x14ac:dyDescent="0.25">
      <c r="A469" s="1" t="s">
        <v>17</v>
      </c>
      <c r="B469" s="2">
        <v>201502</v>
      </c>
      <c r="C469" s="2">
        <v>202101</v>
      </c>
      <c r="D469" s="10">
        <v>11999.764928237406</v>
      </c>
      <c r="E469" s="10">
        <v>561071.317646796</v>
      </c>
      <c r="F469" s="1">
        <v>5</v>
      </c>
      <c r="G469" s="1">
        <v>235</v>
      </c>
      <c r="H469">
        <f t="shared" si="21"/>
        <v>2015</v>
      </c>
      <c r="I469">
        <f t="shared" si="22"/>
        <v>2021</v>
      </c>
      <c r="J469" s="7">
        <f t="shared" si="23"/>
        <v>573071.08257503342</v>
      </c>
      <c r="K469" s="7"/>
    </row>
    <row r="470" spans="1:11" x14ac:dyDescent="0.25">
      <c r="A470" s="1" t="s">
        <v>17</v>
      </c>
      <c r="B470" s="2">
        <v>201502</v>
      </c>
      <c r="C470" s="2">
        <v>202102</v>
      </c>
      <c r="D470" s="10">
        <v>7877.8926208736411</v>
      </c>
      <c r="E470" s="10">
        <v>569535.43834767945</v>
      </c>
      <c r="F470" s="1">
        <v>0</v>
      </c>
      <c r="G470" s="1">
        <v>226</v>
      </c>
      <c r="H470">
        <f t="shared" si="21"/>
        <v>2015</v>
      </c>
      <c r="I470">
        <f t="shared" si="22"/>
        <v>2021</v>
      </c>
      <c r="J470" s="7">
        <f t="shared" si="23"/>
        <v>577413.33096855308</v>
      </c>
      <c r="K470" s="7"/>
    </row>
    <row r="471" spans="1:11" x14ac:dyDescent="0.25">
      <c r="A471" s="1" t="s">
        <v>17</v>
      </c>
      <c r="B471" s="2">
        <v>201502</v>
      </c>
      <c r="C471" s="2">
        <v>202103</v>
      </c>
      <c r="D471" s="10">
        <v>4743.0060160025405</v>
      </c>
      <c r="E471" s="10">
        <v>562294.51351874217</v>
      </c>
      <c r="F471" s="1">
        <v>2</v>
      </c>
      <c r="G471" s="1">
        <v>214</v>
      </c>
      <c r="H471">
        <f t="shared" si="21"/>
        <v>2015</v>
      </c>
      <c r="I471">
        <f t="shared" si="22"/>
        <v>2021</v>
      </c>
      <c r="J471" s="7">
        <f t="shared" si="23"/>
        <v>567037.51953474467</v>
      </c>
      <c r="K471" s="7"/>
    </row>
    <row r="472" spans="1:11" x14ac:dyDescent="0.25">
      <c r="A472" s="1" t="s">
        <v>17</v>
      </c>
      <c r="B472" s="2">
        <v>201502</v>
      </c>
      <c r="C472" s="2">
        <v>202104</v>
      </c>
      <c r="D472" s="10">
        <v>9143.0067970095261</v>
      </c>
      <c r="E472" s="10">
        <v>512972.49805012206</v>
      </c>
      <c r="F472" s="1">
        <v>0</v>
      </c>
      <c r="G472" s="1">
        <v>195</v>
      </c>
      <c r="H472">
        <f t="shared" si="21"/>
        <v>2015</v>
      </c>
      <c r="I472">
        <f t="shared" si="22"/>
        <v>2021</v>
      </c>
      <c r="J472" s="7">
        <f t="shared" si="23"/>
        <v>522115.50484713155</v>
      </c>
      <c r="K472" s="7"/>
    </row>
    <row r="473" spans="1:11" x14ac:dyDescent="0.25">
      <c r="A473" s="1" t="s">
        <v>17</v>
      </c>
      <c r="B473" s="2">
        <v>201503</v>
      </c>
      <c r="C473" s="2">
        <v>201503</v>
      </c>
      <c r="D473" s="10">
        <v>89618.887797801843</v>
      </c>
      <c r="E473" s="10">
        <v>460291.86549437995</v>
      </c>
      <c r="F473" s="1">
        <v>4522</v>
      </c>
      <c r="G473" s="1">
        <v>2926</v>
      </c>
      <c r="H473">
        <f t="shared" si="21"/>
        <v>2015</v>
      </c>
      <c r="I473">
        <f t="shared" si="22"/>
        <v>2015</v>
      </c>
      <c r="J473" s="7">
        <f t="shared" si="23"/>
        <v>549910.75329218176</v>
      </c>
      <c r="K473" s="7"/>
    </row>
    <row r="474" spans="1:11" x14ac:dyDescent="0.25">
      <c r="A474" s="1" t="s">
        <v>17</v>
      </c>
      <c r="B474" s="2">
        <v>201503</v>
      </c>
      <c r="C474" s="2">
        <v>201504</v>
      </c>
      <c r="D474" s="10">
        <v>199749.67996237654</v>
      </c>
      <c r="E474" s="10">
        <v>704034.1125753558</v>
      </c>
      <c r="F474" s="1">
        <v>2924</v>
      </c>
      <c r="G474" s="1">
        <v>3421</v>
      </c>
      <c r="H474">
        <f t="shared" si="21"/>
        <v>2015</v>
      </c>
      <c r="I474">
        <f t="shared" si="22"/>
        <v>2015</v>
      </c>
      <c r="J474" s="7">
        <f t="shared" si="23"/>
        <v>903783.79253773228</v>
      </c>
      <c r="K474" s="7"/>
    </row>
    <row r="475" spans="1:11" x14ac:dyDescent="0.25">
      <c r="A475" s="1" t="s">
        <v>17</v>
      </c>
      <c r="B475" s="2">
        <v>201503</v>
      </c>
      <c r="C475" s="2">
        <v>201601</v>
      </c>
      <c r="D475" s="10">
        <v>149567.69606910463</v>
      </c>
      <c r="E475" s="10">
        <v>651221.37442484719</v>
      </c>
      <c r="F475" s="1">
        <v>615</v>
      </c>
      <c r="G475" s="1">
        <v>3067</v>
      </c>
      <c r="H475">
        <f t="shared" si="21"/>
        <v>2015</v>
      </c>
      <c r="I475">
        <f t="shared" si="22"/>
        <v>2016</v>
      </c>
      <c r="J475" s="7">
        <f t="shared" si="23"/>
        <v>800789.07049395179</v>
      </c>
      <c r="K475" s="7"/>
    </row>
    <row r="476" spans="1:11" x14ac:dyDescent="0.25">
      <c r="A476" s="1" t="s">
        <v>17</v>
      </c>
      <c r="B476" s="2">
        <v>201503</v>
      </c>
      <c r="C476" s="2">
        <v>201602</v>
      </c>
      <c r="D476" s="10">
        <v>97927.709124112123</v>
      </c>
      <c r="E476" s="10">
        <v>633909.63877017435</v>
      </c>
      <c r="F476" s="1">
        <v>257</v>
      </c>
      <c r="G476" s="1">
        <v>2733</v>
      </c>
      <c r="H476">
        <f t="shared" si="21"/>
        <v>2015</v>
      </c>
      <c r="I476">
        <f t="shared" si="22"/>
        <v>2016</v>
      </c>
      <c r="J476" s="7">
        <f t="shared" si="23"/>
        <v>731837.3478942865</v>
      </c>
      <c r="K476" s="7"/>
    </row>
    <row r="477" spans="1:11" x14ac:dyDescent="0.25">
      <c r="A477" s="1" t="s">
        <v>17</v>
      </c>
      <c r="B477" s="2">
        <v>201503</v>
      </c>
      <c r="C477" s="2">
        <v>201603</v>
      </c>
      <c r="D477" s="10">
        <v>77027.396013558377</v>
      </c>
      <c r="E477" s="10">
        <v>585741.42770079942</v>
      </c>
      <c r="F477" s="1">
        <v>165</v>
      </c>
      <c r="G477" s="1">
        <v>2548</v>
      </c>
      <c r="H477">
        <f t="shared" si="21"/>
        <v>2015</v>
      </c>
      <c r="I477">
        <f t="shared" si="22"/>
        <v>2016</v>
      </c>
      <c r="J477" s="7">
        <f t="shared" si="23"/>
        <v>662768.8237143578</v>
      </c>
      <c r="K477" s="7"/>
    </row>
    <row r="478" spans="1:11" x14ac:dyDescent="0.25">
      <c r="A478" s="1" t="s">
        <v>17</v>
      </c>
      <c r="B478" s="2">
        <v>201503</v>
      </c>
      <c r="C478" s="2">
        <v>201604</v>
      </c>
      <c r="D478" s="10">
        <v>49198.721591227848</v>
      </c>
      <c r="E478" s="10">
        <v>638083.90611430677</v>
      </c>
      <c r="F478" s="1">
        <v>104</v>
      </c>
      <c r="G478" s="1">
        <v>2189</v>
      </c>
      <c r="H478">
        <f t="shared" si="21"/>
        <v>2015</v>
      </c>
      <c r="I478">
        <f t="shared" si="22"/>
        <v>2016</v>
      </c>
      <c r="J478" s="7">
        <f t="shared" si="23"/>
        <v>687282.62770553457</v>
      </c>
      <c r="K478" s="7"/>
    </row>
    <row r="479" spans="1:11" x14ac:dyDescent="0.25">
      <c r="A479" s="1" t="s">
        <v>17</v>
      </c>
      <c r="B479" s="2">
        <v>201503</v>
      </c>
      <c r="C479" s="2">
        <v>201701</v>
      </c>
      <c r="D479" s="10">
        <v>45670.527419471495</v>
      </c>
      <c r="E479" s="10">
        <v>635579.02345337474</v>
      </c>
      <c r="F479" s="1">
        <v>75</v>
      </c>
      <c r="G479" s="1">
        <v>1993</v>
      </c>
      <c r="H479">
        <f t="shared" si="21"/>
        <v>2015</v>
      </c>
      <c r="I479">
        <f t="shared" si="22"/>
        <v>2017</v>
      </c>
      <c r="J479" s="7">
        <f t="shared" si="23"/>
        <v>681249.55087284627</v>
      </c>
      <c r="K479" s="7"/>
    </row>
    <row r="480" spans="1:11" x14ac:dyDescent="0.25">
      <c r="A480" s="1" t="s">
        <v>17</v>
      </c>
      <c r="B480" s="2">
        <v>201503</v>
      </c>
      <c r="C480" s="2">
        <v>201702</v>
      </c>
      <c r="D480" s="10">
        <v>15452.055177465716</v>
      </c>
      <c r="E480" s="10">
        <v>698445.26617738965</v>
      </c>
      <c r="F480" s="1">
        <v>54</v>
      </c>
      <c r="G480" s="1">
        <v>1888</v>
      </c>
      <c r="H480">
        <f t="shared" si="21"/>
        <v>2015</v>
      </c>
      <c r="I480">
        <f t="shared" si="22"/>
        <v>2017</v>
      </c>
      <c r="J480" s="7">
        <f t="shared" si="23"/>
        <v>713897.32135485532</v>
      </c>
      <c r="K480" s="7"/>
    </row>
    <row r="481" spans="1:11" x14ac:dyDescent="0.25">
      <c r="A481" s="1" t="s">
        <v>17</v>
      </c>
      <c r="B481" s="2">
        <v>201503</v>
      </c>
      <c r="C481" s="2">
        <v>201703</v>
      </c>
      <c r="D481" s="10">
        <v>21002.51841125904</v>
      </c>
      <c r="E481" s="10">
        <v>643923.9966257771</v>
      </c>
      <c r="F481" s="1">
        <v>46</v>
      </c>
      <c r="G481" s="1">
        <v>1787</v>
      </c>
      <c r="H481">
        <f t="shared" si="21"/>
        <v>2015</v>
      </c>
      <c r="I481">
        <f t="shared" si="22"/>
        <v>2017</v>
      </c>
      <c r="J481" s="7">
        <f t="shared" si="23"/>
        <v>664926.51503703615</v>
      </c>
      <c r="K481" s="7"/>
    </row>
    <row r="482" spans="1:11" x14ac:dyDescent="0.25">
      <c r="A482" s="1" t="s">
        <v>17</v>
      </c>
      <c r="B482" s="2">
        <v>201503</v>
      </c>
      <c r="C482" s="2">
        <v>201704</v>
      </c>
      <c r="D482" s="10">
        <v>23768.784724120967</v>
      </c>
      <c r="E482" s="10">
        <v>645580.04606910294</v>
      </c>
      <c r="F482" s="1">
        <v>32</v>
      </c>
      <c r="G482" s="1">
        <v>1581</v>
      </c>
      <c r="H482">
        <f t="shared" si="21"/>
        <v>2015</v>
      </c>
      <c r="I482">
        <f t="shared" si="22"/>
        <v>2017</v>
      </c>
      <c r="J482" s="7">
        <f t="shared" si="23"/>
        <v>669348.83079322393</v>
      </c>
      <c r="K482" s="7"/>
    </row>
    <row r="483" spans="1:11" x14ac:dyDescent="0.25">
      <c r="A483" s="1" t="s">
        <v>17</v>
      </c>
      <c r="B483" s="2">
        <v>201503</v>
      </c>
      <c r="C483" s="2">
        <v>201801</v>
      </c>
      <c r="D483" s="10">
        <v>29747.963691053996</v>
      </c>
      <c r="E483" s="10">
        <v>618055.52650905948</v>
      </c>
      <c r="F483" s="1">
        <v>16</v>
      </c>
      <c r="G483" s="1">
        <v>1318</v>
      </c>
      <c r="H483">
        <f t="shared" si="21"/>
        <v>2015</v>
      </c>
      <c r="I483">
        <f t="shared" si="22"/>
        <v>2018</v>
      </c>
      <c r="J483" s="7">
        <f t="shared" si="23"/>
        <v>647803.49020011351</v>
      </c>
      <c r="K483" s="7"/>
    </row>
    <row r="484" spans="1:11" x14ac:dyDescent="0.25">
      <c r="A484" s="1" t="s">
        <v>17</v>
      </c>
      <c r="B484" s="2">
        <v>201503</v>
      </c>
      <c r="C484" s="2">
        <v>201802</v>
      </c>
      <c r="D484" s="10">
        <v>44247.691587662921</v>
      </c>
      <c r="E484" s="10">
        <v>611661.32997837348</v>
      </c>
      <c r="F484" s="1">
        <v>24</v>
      </c>
      <c r="G484" s="1">
        <v>1185</v>
      </c>
      <c r="H484">
        <f t="shared" si="21"/>
        <v>2015</v>
      </c>
      <c r="I484">
        <f t="shared" si="22"/>
        <v>2018</v>
      </c>
      <c r="J484" s="7">
        <f t="shared" si="23"/>
        <v>655909.02156603639</v>
      </c>
      <c r="K484" s="7"/>
    </row>
    <row r="485" spans="1:11" x14ac:dyDescent="0.25">
      <c r="A485" s="1" t="s">
        <v>17</v>
      </c>
      <c r="B485" s="2">
        <v>201503</v>
      </c>
      <c r="C485" s="2">
        <v>201803</v>
      </c>
      <c r="D485" s="10">
        <v>56073.035229030844</v>
      </c>
      <c r="E485" s="10">
        <v>667225.60562060226</v>
      </c>
      <c r="F485" s="1">
        <v>15</v>
      </c>
      <c r="G485" s="1">
        <v>1133</v>
      </c>
      <c r="H485">
        <f t="shared" si="21"/>
        <v>2015</v>
      </c>
      <c r="I485">
        <f t="shared" si="22"/>
        <v>2018</v>
      </c>
      <c r="J485" s="7">
        <f t="shared" si="23"/>
        <v>723298.64084963314</v>
      </c>
      <c r="K485" s="7"/>
    </row>
    <row r="486" spans="1:11" x14ac:dyDescent="0.25">
      <c r="A486" s="1" t="s">
        <v>17</v>
      </c>
      <c r="B486" s="2">
        <v>201503</v>
      </c>
      <c r="C486" s="2">
        <v>201804</v>
      </c>
      <c r="D486" s="10">
        <v>14213.436739011351</v>
      </c>
      <c r="E486" s="10">
        <v>655613.66889237997</v>
      </c>
      <c r="F486" s="1">
        <v>12</v>
      </c>
      <c r="G486" s="1">
        <v>848</v>
      </c>
      <c r="H486">
        <f t="shared" si="21"/>
        <v>2015</v>
      </c>
      <c r="I486">
        <f t="shared" si="22"/>
        <v>2018</v>
      </c>
      <c r="J486" s="7">
        <f t="shared" si="23"/>
        <v>669827.10563139128</v>
      </c>
      <c r="K486" s="7"/>
    </row>
    <row r="487" spans="1:11" x14ac:dyDescent="0.25">
      <c r="A487" s="1" t="s">
        <v>17</v>
      </c>
      <c r="B487" s="2">
        <v>201503</v>
      </c>
      <c r="C487" s="2">
        <v>201901</v>
      </c>
      <c r="D487" s="10">
        <v>31154.1403968501</v>
      </c>
      <c r="E487" s="10">
        <v>586750.30615201686</v>
      </c>
      <c r="F487" s="1">
        <v>10</v>
      </c>
      <c r="G487" s="1">
        <v>715</v>
      </c>
      <c r="H487">
        <f t="shared" si="21"/>
        <v>2015</v>
      </c>
      <c r="I487">
        <f t="shared" si="22"/>
        <v>2019</v>
      </c>
      <c r="J487" s="7">
        <f t="shared" si="23"/>
        <v>617904.44654886692</v>
      </c>
      <c r="K487" s="7"/>
    </row>
    <row r="488" spans="1:11" x14ac:dyDescent="0.25">
      <c r="A488" s="1" t="s">
        <v>17</v>
      </c>
      <c r="B488" s="2">
        <v>201503</v>
      </c>
      <c r="C488" s="2">
        <v>201902</v>
      </c>
      <c r="D488" s="10">
        <v>11767.11316547081</v>
      </c>
      <c r="E488" s="10">
        <v>604132.77206365811</v>
      </c>
      <c r="F488" s="1">
        <v>4</v>
      </c>
      <c r="G488" s="1">
        <v>689</v>
      </c>
      <c r="H488">
        <f t="shared" si="21"/>
        <v>2015</v>
      </c>
      <c r="I488">
        <f t="shared" si="22"/>
        <v>2019</v>
      </c>
      <c r="J488" s="7">
        <f t="shared" si="23"/>
        <v>615899.88522912888</v>
      </c>
      <c r="K488" s="7"/>
    </row>
    <row r="489" spans="1:11" x14ac:dyDescent="0.25">
      <c r="A489" s="1" t="s">
        <v>17</v>
      </c>
      <c r="B489" s="2">
        <v>201503</v>
      </c>
      <c r="C489" s="2">
        <v>201903</v>
      </c>
      <c r="D489" s="10">
        <v>18583.719722379024</v>
      </c>
      <c r="E489" s="10">
        <v>594482.68030133797</v>
      </c>
      <c r="F489" s="1">
        <v>5</v>
      </c>
      <c r="G489" s="1">
        <v>634</v>
      </c>
      <c r="H489">
        <f t="shared" si="21"/>
        <v>2015</v>
      </c>
      <c r="I489">
        <f t="shared" si="22"/>
        <v>2019</v>
      </c>
      <c r="J489" s="7">
        <f t="shared" si="23"/>
        <v>613066.40002371697</v>
      </c>
      <c r="K489" s="7"/>
    </row>
    <row r="490" spans="1:11" x14ac:dyDescent="0.25">
      <c r="A490" s="1" t="s">
        <v>17</v>
      </c>
      <c r="B490" s="2">
        <v>201503</v>
      </c>
      <c r="C490" s="2">
        <v>201904</v>
      </c>
      <c r="D490" s="10">
        <v>3782.7102263003057</v>
      </c>
      <c r="E490" s="10">
        <v>568392.70451779477</v>
      </c>
      <c r="F490" s="1">
        <v>6</v>
      </c>
      <c r="G490" s="1">
        <v>582</v>
      </c>
      <c r="H490">
        <f t="shared" si="21"/>
        <v>2015</v>
      </c>
      <c r="I490">
        <f t="shared" si="22"/>
        <v>2019</v>
      </c>
      <c r="J490" s="7">
        <f t="shared" si="23"/>
        <v>572175.41474409506</v>
      </c>
      <c r="K490" s="7"/>
    </row>
    <row r="491" spans="1:11" x14ac:dyDescent="0.25">
      <c r="A491" s="1" t="s">
        <v>17</v>
      </c>
      <c r="B491" s="2">
        <v>201503</v>
      </c>
      <c r="C491" s="2">
        <v>202001</v>
      </c>
      <c r="D491" s="10">
        <v>14781.427673030652</v>
      </c>
      <c r="E491" s="10">
        <v>481295.82014526951</v>
      </c>
      <c r="F491" s="1">
        <v>5</v>
      </c>
      <c r="G491" s="1">
        <v>504</v>
      </c>
      <c r="H491">
        <f t="shared" si="21"/>
        <v>2015</v>
      </c>
      <c r="I491">
        <f t="shared" si="22"/>
        <v>2020</v>
      </c>
      <c r="J491" s="7">
        <f t="shared" si="23"/>
        <v>496077.24781830015</v>
      </c>
      <c r="K491" s="7"/>
    </row>
    <row r="492" spans="1:11" x14ac:dyDescent="0.25">
      <c r="A492" s="1" t="s">
        <v>17</v>
      </c>
      <c r="B492" s="2">
        <v>201503</v>
      </c>
      <c r="C492" s="2">
        <v>202002</v>
      </c>
      <c r="D492" s="10">
        <v>3082.0102001110063</v>
      </c>
      <c r="E492" s="10">
        <v>497379.53073233168</v>
      </c>
      <c r="F492" s="1">
        <v>1</v>
      </c>
      <c r="G492" s="1">
        <v>439</v>
      </c>
      <c r="H492">
        <f t="shared" si="21"/>
        <v>2015</v>
      </c>
      <c r="I492">
        <f t="shared" si="22"/>
        <v>2020</v>
      </c>
      <c r="J492" s="7">
        <f t="shared" si="23"/>
        <v>500461.5409324427</v>
      </c>
      <c r="K492" s="7"/>
    </row>
    <row r="493" spans="1:11" x14ac:dyDescent="0.25">
      <c r="A493" s="1" t="s">
        <v>17</v>
      </c>
      <c r="B493" s="2">
        <v>201503</v>
      </c>
      <c r="C493" s="2">
        <v>202003</v>
      </c>
      <c r="D493" s="10">
        <v>13752.738165534311</v>
      </c>
      <c r="E493" s="10">
        <v>453475.37777799502</v>
      </c>
      <c r="F493" s="1">
        <v>2</v>
      </c>
      <c r="G493" s="1">
        <v>306</v>
      </c>
      <c r="H493">
        <f t="shared" si="21"/>
        <v>2015</v>
      </c>
      <c r="I493">
        <f t="shared" si="22"/>
        <v>2020</v>
      </c>
      <c r="J493" s="7">
        <f t="shared" si="23"/>
        <v>467228.11594352935</v>
      </c>
      <c r="K493" s="7"/>
    </row>
    <row r="494" spans="1:11" x14ac:dyDescent="0.25">
      <c r="A494" s="1" t="s">
        <v>17</v>
      </c>
      <c r="B494" s="2">
        <v>201503</v>
      </c>
      <c r="C494" s="2">
        <v>202004</v>
      </c>
      <c r="D494" s="10">
        <v>8383.0591624294739</v>
      </c>
      <c r="E494" s="10">
        <v>522121.39856129891</v>
      </c>
      <c r="F494" s="1">
        <v>4</v>
      </c>
      <c r="G494" s="1">
        <v>285</v>
      </c>
      <c r="H494">
        <f t="shared" si="21"/>
        <v>2015</v>
      </c>
      <c r="I494">
        <f t="shared" si="22"/>
        <v>2020</v>
      </c>
      <c r="J494" s="7">
        <f t="shared" si="23"/>
        <v>530504.45772372838</v>
      </c>
      <c r="K494" s="7"/>
    </row>
    <row r="495" spans="1:11" x14ac:dyDescent="0.25">
      <c r="A495" s="1" t="s">
        <v>17</v>
      </c>
      <c r="B495" s="2">
        <v>201503</v>
      </c>
      <c r="C495" s="2">
        <v>202101</v>
      </c>
      <c r="D495" s="10">
        <v>69190.897068124701</v>
      </c>
      <c r="E495" s="10">
        <v>512839.06508420373</v>
      </c>
      <c r="F495" s="1">
        <v>2</v>
      </c>
      <c r="G495" s="1">
        <v>251</v>
      </c>
      <c r="H495">
        <f t="shared" si="21"/>
        <v>2015</v>
      </c>
      <c r="I495">
        <f t="shared" si="22"/>
        <v>2021</v>
      </c>
      <c r="J495" s="7">
        <f t="shared" si="23"/>
        <v>582029.96215232846</v>
      </c>
      <c r="K495" s="7"/>
    </row>
    <row r="496" spans="1:11" x14ac:dyDescent="0.25">
      <c r="A496" s="1" t="s">
        <v>17</v>
      </c>
      <c r="B496" s="2">
        <v>201503</v>
      </c>
      <c r="C496" s="2">
        <v>202102</v>
      </c>
      <c r="D496" s="10">
        <v>16052.076768946677</v>
      </c>
      <c r="E496" s="10">
        <v>507861.15711939096</v>
      </c>
      <c r="F496" s="1">
        <v>2</v>
      </c>
      <c r="G496" s="1">
        <v>232</v>
      </c>
      <c r="H496">
        <f t="shared" si="21"/>
        <v>2015</v>
      </c>
      <c r="I496">
        <f t="shared" si="22"/>
        <v>2021</v>
      </c>
      <c r="J496" s="7">
        <f t="shared" si="23"/>
        <v>523913.23388833762</v>
      </c>
      <c r="K496" s="7"/>
    </row>
    <row r="497" spans="1:11" x14ac:dyDescent="0.25">
      <c r="A497" s="1" t="s">
        <v>17</v>
      </c>
      <c r="B497" s="2">
        <v>201503</v>
      </c>
      <c r="C497" s="2">
        <v>202103</v>
      </c>
      <c r="D497" s="10">
        <v>6855.5729666968236</v>
      </c>
      <c r="E497" s="10">
        <v>550266.18499119941</v>
      </c>
      <c r="F497" s="1">
        <v>3</v>
      </c>
      <c r="G497" s="1">
        <v>216</v>
      </c>
      <c r="H497">
        <f t="shared" si="21"/>
        <v>2015</v>
      </c>
      <c r="I497">
        <f t="shared" si="22"/>
        <v>2021</v>
      </c>
      <c r="J497" s="7">
        <f t="shared" si="23"/>
        <v>557121.75795789622</v>
      </c>
      <c r="K497" s="7"/>
    </row>
    <row r="498" spans="1:11" x14ac:dyDescent="0.25">
      <c r="A498" s="1" t="s">
        <v>17</v>
      </c>
      <c r="B498" s="2">
        <v>201503</v>
      </c>
      <c r="C498" s="2">
        <v>202104</v>
      </c>
      <c r="D498" s="10">
        <v>9531.5082792272588</v>
      </c>
      <c r="E498" s="10">
        <v>439518.65158349398</v>
      </c>
      <c r="F498" s="1">
        <v>3</v>
      </c>
      <c r="G498" s="1">
        <v>196</v>
      </c>
      <c r="H498">
        <f t="shared" si="21"/>
        <v>2015</v>
      </c>
      <c r="I498">
        <f t="shared" si="22"/>
        <v>2021</v>
      </c>
      <c r="J498" s="7">
        <f t="shared" si="23"/>
        <v>449050.15986272122</v>
      </c>
      <c r="K498" s="7"/>
    </row>
    <row r="499" spans="1:11" x14ac:dyDescent="0.25">
      <c r="A499" s="1" t="s">
        <v>17</v>
      </c>
      <c r="B499" s="2">
        <v>201504</v>
      </c>
      <c r="C499" s="2">
        <v>201504</v>
      </c>
      <c r="D499" s="10">
        <v>88932.12968634507</v>
      </c>
      <c r="E499" s="10">
        <v>542590.30078212672</v>
      </c>
      <c r="F499" s="1">
        <v>4074</v>
      </c>
      <c r="G499" s="1">
        <v>2590</v>
      </c>
      <c r="H499">
        <f t="shared" si="21"/>
        <v>2015</v>
      </c>
      <c r="I499">
        <f t="shared" si="22"/>
        <v>2015</v>
      </c>
      <c r="J499" s="7">
        <f t="shared" si="23"/>
        <v>631522.43046847184</v>
      </c>
      <c r="K499" s="7"/>
    </row>
    <row r="500" spans="1:11" x14ac:dyDescent="0.25">
      <c r="A500" s="1" t="s">
        <v>17</v>
      </c>
      <c r="B500" s="2">
        <v>201504</v>
      </c>
      <c r="C500" s="2">
        <v>201601</v>
      </c>
      <c r="D500" s="10">
        <v>196940.25587876936</v>
      </c>
      <c r="E500" s="10">
        <v>674434.10213969252</v>
      </c>
      <c r="F500" s="1">
        <v>2459</v>
      </c>
      <c r="G500" s="1">
        <v>2818</v>
      </c>
      <c r="H500">
        <f t="shared" si="21"/>
        <v>2015</v>
      </c>
      <c r="I500">
        <f t="shared" si="22"/>
        <v>2016</v>
      </c>
      <c r="J500" s="7">
        <f t="shared" si="23"/>
        <v>871374.35801846185</v>
      </c>
      <c r="K500" s="7"/>
    </row>
    <row r="501" spans="1:11" x14ac:dyDescent="0.25">
      <c r="A501" s="1" t="s">
        <v>17</v>
      </c>
      <c r="B501" s="2">
        <v>201504</v>
      </c>
      <c r="C501" s="2">
        <v>201602</v>
      </c>
      <c r="D501" s="10">
        <v>98275.973036874871</v>
      </c>
      <c r="E501" s="10">
        <v>768759.64160357416</v>
      </c>
      <c r="F501" s="1">
        <v>646</v>
      </c>
      <c r="G501" s="1">
        <v>2641</v>
      </c>
      <c r="H501">
        <f t="shared" si="21"/>
        <v>2015</v>
      </c>
      <c r="I501">
        <f t="shared" si="22"/>
        <v>2016</v>
      </c>
      <c r="J501" s="7">
        <f t="shared" si="23"/>
        <v>867035.61464044906</v>
      </c>
      <c r="K501" s="7"/>
    </row>
    <row r="502" spans="1:11" x14ac:dyDescent="0.25">
      <c r="A502" s="1" t="s">
        <v>17</v>
      </c>
      <c r="B502" s="2">
        <v>201504</v>
      </c>
      <c r="C502" s="2">
        <v>201603</v>
      </c>
      <c r="D502" s="10">
        <v>109671.66684877983</v>
      </c>
      <c r="E502" s="10">
        <v>763724.15049177804</v>
      </c>
      <c r="F502" s="1">
        <v>243</v>
      </c>
      <c r="G502" s="1">
        <v>2427</v>
      </c>
      <c r="H502">
        <f t="shared" si="21"/>
        <v>2015</v>
      </c>
      <c r="I502">
        <f t="shared" si="22"/>
        <v>2016</v>
      </c>
      <c r="J502" s="7">
        <f t="shared" si="23"/>
        <v>873395.81734055793</v>
      </c>
      <c r="K502" s="7"/>
    </row>
    <row r="503" spans="1:11" x14ac:dyDescent="0.25">
      <c r="A503" s="1" t="s">
        <v>17</v>
      </c>
      <c r="B503" s="2">
        <v>201504</v>
      </c>
      <c r="C503" s="2">
        <v>201604</v>
      </c>
      <c r="D503" s="10">
        <v>91269.761490274148</v>
      </c>
      <c r="E503" s="10">
        <v>744664.48776404758</v>
      </c>
      <c r="F503" s="1">
        <v>142</v>
      </c>
      <c r="G503" s="1">
        <v>2087</v>
      </c>
      <c r="H503">
        <f t="shared" si="21"/>
        <v>2015</v>
      </c>
      <c r="I503">
        <f t="shared" si="22"/>
        <v>2016</v>
      </c>
      <c r="J503" s="7">
        <f t="shared" si="23"/>
        <v>835934.24925432168</v>
      </c>
      <c r="K503" s="7"/>
    </row>
    <row r="504" spans="1:11" x14ac:dyDescent="0.25">
      <c r="A504" s="1" t="s">
        <v>17</v>
      </c>
      <c r="B504" s="2">
        <v>201504</v>
      </c>
      <c r="C504" s="2">
        <v>201701</v>
      </c>
      <c r="D504" s="10">
        <v>79839.389949557692</v>
      </c>
      <c r="E504" s="10">
        <v>685722.37724502385</v>
      </c>
      <c r="F504" s="1">
        <v>90</v>
      </c>
      <c r="G504" s="1">
        <v>1908</v>
      </c>
      <c r="H504">
        <f t="shared" si="21"/>
        <v>2015</v>
      </c>
      <c r="I504">
        <f t="shared" si="22"/>
        <v>2017</v>
      </c>
      <c r="J504" s="7">
        <f t="shared" si="23"/>
        <v>765561.76719458157</v>
      </c>
      <c r="K504" s="7"/>
    </row>
    <row r="505" spans="1:11" x14ac:dyDescent="0.25">
      <c r="A505" s="1" t="s">
        <v>17</v>
      </c>
      <c r="B505" s="2">
        <v>201504</v>
      </c>
      <c r="C505" s="2">
        <v>201702</v>
      </c>
      <c r="D505" s="10">
        <v>45642.297331032656</v>
      </c>
      <c r="E505" s="10">
        <v>712753.09435641835</v>
      </c>
      <c r="F505" s="1">
        <v>68</v>
      </c>
      <c r="G505" s="1">
        <v>1781</v>
      </c>
      <c r="H505">
        <f t="shared" si="21"/>
        <v>2015</v>
      </c>
      <c r="I505">
        <f t="shared" si="22"/>
        <v>2017</v>
      </c>
      <c r="J505" s="7">
        <f t="shared" si="23"/>
        <v>758395.39168745105</v>
      </c>
      <c r="K505" s="7"/>
    </row>
    <row r="506" spans="1:11" x14ac:dyDescent="0.25">
      <c r="A506" s="1" t="s">
        <v>17</v>
      </c>
      <c r="B506" s="2">
        <v>201504</v>
      </c>
      <c r="C506" s="2">
        <v>201703</v>
      </c>
      <c r="D506" s="10">
        <v>28766.127460358195</v>
      </c>
      <c r="E506" s="10">
        <v>705628.54942206701</v>
      </c>
      <c r="F506" s="1">
        <v>36</v>
      </c>
      <c r="G506" s="1">
        <v>1615</v>
      </c>
      <c r="H506">
        <f t="shared" si="21"/>
        <v>2015</v>
      </c>
      <c r="I506">
        <f t="shared" si="22"/>
        <v>2017</v>
      </c>
      <c r="J506" s="7">
        <f t="shared" si="23"/>
        <v>734394.67688242521</v>
      </c>
      <c r="K506" s="7"/>
    </row>
    <row r="507" spans="1:11" x14ac:dyDescent="0.25">
      <c r="A507" s="1" t="s">
        <v>17</v>
      </c>
      <c r="B507" s="2">
        <v>201504</v>
      </c>
      <c r="C507" s="2">
        <v>201704</v>
      </c>
      <c r="D507" s="10">
        <v>28444.759339128974</v>
      </c>
      <c r="E507" s="10">
        <v>683175.5960750113</v>
      </c>
      <c r="F507" s="1">
        <v>43</v>
      </c>
      <c r="G507" s="1">
        <v>1470</v>
      </c>
      <c r="H507">
        <f t="shared" si="21"/>
        <v>2015</v>
      </c>
      <c r="I507">
        <f t="shared" si="22"/>
        <v>2017</v>
      </c>
      <c r="J507" s="7">
        <f t="shared" si="23"/>
        <v>711620.35541414027</v>
      </c>
      <c r="K507" s="7"/>
    </row>
    <row r="508" spans="1:11" x14ac:dyDescent="0.25">
      <c r="A508" s="1" t="s">
        <v>17</v>
      </c>
      <c r="B508" s="2">
        <v>201504</v>
      </c>
      <c r="C508" s="2">
        <v>201801</v>
      </c>
      <c r="D508" s="10">
        <v>38016.392621536506</v>
      </c>
      <c r="E508" s="10">
        <v>648958.28018695163</v>
      </c>
      <c r="F508" s="1">
        <v>30</v>
      </c>
      <c r="G508" s="1">
        <v>1264</v>
      </c>
      <c r="H508">
        <f t="shared" si="21"/>
        <v>2015</v>
      </c>
      <c r="I508">
        <f t="shared" si="22"/>
        <v>2018</v>
      </c>
      <c r="J508" s="7">
        <f t="shared" si="23"/>
        <v>686974.67280848813</v>
      </c>
      <c r="K508" s="7"/>
    </row>
    <row r="509" spans="1:11" x14ac:dyDescent="0.25">
      <c r="A509" s="1" t="s">
        <v>17</v>
      </c>
      <c r="B509" s="2">
        <v>201504</v>
      </c>
      <c r="C509" s="2">
        <v>201802</v>
      </c>
      <c r="D509" s="10">
        <v>41475.165908185008</v>
      </c>
      <c r="E509" s="10">
        <v>635167.08282010863</v>
      </c>
      <c r="F509" s="1">
        <v>29</v>
      </c>
      <c r="G509" s="1">
        <v>1106</v>
      </c>
      <c r="H509">
        <f t="shared" si="21"/>
        <v>2015</v>
      </c>
      <c r="I509">
        <f t="shared" si="22"/>
        <v>2018</v>
      </c>
      <c r="J509" s="7">
        <f t="shared" si="23"/>
        <v>676642.24872829369</v>
      </c>
      <c r="K509" s="7"/>
    </row>
    <row r="510" spans="1:11" x14ac:dyDescent="0.25">
      <c r="A510" s="1" t="s">
        <v>17</v>
      </c>
      <c r="B510" s="2">
        <v>201504</v>
      </c>
      <c r="C510" s="2">
        <v>201803</v>
      </c>
      <c r="D510" s="10">
        <v>19811.11099370808</v>
      </c>
      <c r="E510" s="10">
        <v>656900.94087485387</v>
      </c>
      <c r="F510" s="1">
        <v>22</v>
      </c>
      <c r="G510" s="1">
        <v>1048</v>
      </c>
      <c r="H510">
        <f t="shared" si="21"/>
        <v>2015</v>
      </c>
      <c r="I510">
        <f t="shared" si="22"/>
        <v>2018</v>
      </c>
      <c r="J510" s="7">
        <f t="shared" si="23"/>
        <v>676712.051868562</v>
      </c>
      <c r="K510" s="7"/>
    </row>
    <row r="511" spans="1:11" x14ac:dyDescent="0.25">
      <c r="A511" s="1" t="s">
        <v>17</v>
      </c>
      <c r="B511" s="2">
        <v>201504</v>
      </c>
      <c r="C511" s="2">
        <v>201804</v>
      </c>
      <c r="D511" s="10">
        <v>51974.557763019577</v>
      </c>
      <c r="E511" s="10">
        <v>626389.48659458302</v>
      </c>
      <c r="F511" s="1">
        <v>16</v>
      </c>
      <c r="G511" s="1">
        <v>781</v>
      </c>
      <c r="H511">
        <f t="shared" si="21"/>
        <v>2015</v>
      </c>
      <c r="I511">
        <f t="shared" si="22"/>
        <v>2018</v>
      </c>
      <c r="J511" s="7">
        <f t="shared" si="23"/>
        <v>678364.0443576026</v>
      </c>
      <c r="K511" s="7"/>
    </row>
    <row r="512" spans="1:11" x14ac:dyDescent="0.25">
      <c r="A512" s="1" t="s">
        <v>17</v>
      </c>
      <c r="B512" s="2">
        <v>201504</v>
      </c>
      <c r="C512" s="2">
        <v>201901</v>
      </c>
      <c r="D512" s="10">
        <v>55992.593503885437</v>
      </c>
      <c r="E512" s="10">
        <v>611985.97682641004</v>
      </c>
      <c r="F512" s="1">
        <v>14</v>
      </c>
      <c r="G512" s="1">
        <v>688</v>
      </c>
      <c r="H512">
        <f t="shared" si="21"/>
        <v>2015</v>
      </c>
      <c r="I512">
        <f t="shared" si="22"/>
        <v>2019</v>
      </c>
      <c r="J512" s="7">
        <f t="shared" si="23"/>
        <v>667978.57033029548</v>
      </c>
      <c r="K512" s="7"/>
    </row>
    <row r="513" spans="1:11" x14ac:dyDescent="0.25">
      <c r="A513" s="1" t="s">
        <v>17</v>
      </c>
      <c r="B513" s="2">
        <v>201504</v>
      </c>
      <c r="C513" s="2">
        <v>201902</v>
      </c>
      <c r="D513" s="10">
        <v>64609.951872709877</v>
      </c>
      <c r="E513" s="10">
        <v>540775.12620191812</v>
      </c>
      <c r="F513" s="1">
        <v>11</v>
      </c>
      <c r="G513" s="1">
        <v>630</v>
      </c>
      <c r="H513">
        <f t="shared" si="21"/>
        <v>2015</v>
      </c>
      <c r="I513">
        <f t="shared" si="22"/>
        <v>2019</v>
      </c>
      <c r="J513" s="7">
        <f t="shared" si="23"/>
        <v>605385.07807462802</v>
      </c>
      <c r="K513" s="7"/>
    </row>
    <row r="514" spans="1:11" x14ac:dyDescent="0.25">
      <c r="A514" s="1" t="s">
        <v>17</v>
      </c>
      <c r="B514" s="2">
        <v>201504</v>
      </c>
      <c r="C514" s="2">
        <v>201903</v>
      </c>
      <c r="D514" s="10">
        <v>33609.547539369414</v>
      </c>
      <c r="E514" s="10">
        <v>547418.17607269576</v>
      </c>
      <c r="F514" s="1">
        <v>9</v>
      </c>
      <c r="G514" s="1">
        <v>583</v>
      </c>
      <c r="H514">
        <f t="shared" si="21"/>
        <v>2015</v>
      </c>
      <c r="I514">
        <f t="shared" si="22"/>
        <v>2019</v>
      </c>
      <c r="J514" s="7">
        <f t="shared" si="23"/>
        <v>581027.72361206519</v>
      </c>
      <c r="K514" s="7"/>
    </row>
    <row r="515" spans="1:11" x14ac:dyDescent="0.25">
      <c r="A515" s="1" t="s">
        <v>17</v>
      </c>
      <c r="B515" s="2">
        <v>201504</v>
      </c>
      <c r="C515" s="2">
        <v>201904</v>
      </c>
      <c r="D515" s="10">
        <v>94729.685922008095</v>
      </c>
      <c r="E515" s="10">
        <v>594007.26979113673</v>
      </c>
      <c r="F515" s="1">
        <v>7</v>
      </c>
      <c r="G515" s="1">
        <v>521</v>
      </c>
      <c r="H515">
        <f t="shared" si="21"/>
        <v>2015</v>
      </c>
      <c r="I515">
        <f t="shared" si="22"/>
        <v>2019</v>
      </c>
      <c r="J515" s="7">
        <f t="shared" si="23"/>
        <v>688736.95571314485</v>
      </c>
      <c r="K515" s="7"/>
    </row>
    <row r="516" spans="1:11" x14ac:dyDescent="0.25">
      <c r="A516" s="1" t="s">
        <v>17</v>
      </c>
      <c r="B516" s="2">
        <v>201504</v>
      </c>
      <c r="C516" s="2">
        <v>202001</v>
      </c>
      <c r="D516" s="10">
        <v>25337.866672922737</v>
      </c>
      <c r="E516" s="10">
        <v>564479.65722670127</v>
      </c>
      <c r="F516" s="1">
        <v>8</v>
      </c>
      <c r="G516" s="1">
        <v>467</v>
      </c>
      <c r="H516">
        <f t="shared" ref="H516:H579" si="24">VALUE(LEFT(B516,4))</f>
        <v>2015</v>
      </c>
      <c r="I516">
        <f t="shared" ref="I516:I579" si="25">VALUE(LEFT(C516,4))</f>
        <v>2020</v>
      </c>
      <c r="J516" s="7">
        <f t="shared" si="23"/>
        <v>589817.52389962401</v>
      </c>
      <c r="K516" s="7"/>
    </row>
    <row r="517" spans="1:11" x14ac:dyDescent="0.25">
      <c r="A517" s="1" t="s">
        <v>17</v>
      </c>
      <c r="B517" s="2">
        <v>201504</v>
      </c>
      <c r="C517" s="2">
        <v>202002</v>
      </c>
      <c r="D517" s="10">
        <v>29033.658839942818</v>
      </c>
      <c r="E517" s="10">
        <v>501763.859504049</v>
      </c>
      <c r="F517" s="1">
        <v>5</v>
      </c>
      <c r="G517" s="1">
        <v>414</v>
      </c>
      <c r="H517">
        <f t="shared" si="24"/>
        <v>2015</v>
      </c>
      <c r="I517">
        <f t="shared" si="25"/>
        <v>2020</v>
      </c>
      <c r="J517" s="7">
        <f t="shared" ref="J517:J580" si="26">D517+E517</f>
        <v>530797.51834399183</v>
      </c>
      <c r="K517" s="7"/>
    </row>
    <row r="518" spans="1:11" x14ac:dyDescent="0.25">
      <c r="A518" s="1" t="s">
        <v>17</v>
      </c>
      <c r="B518" s="2">
        <v>201504</v>
      </c>
      <c r="C518" s="2">
        <v>202003</v>
      </c>
      <c r="D518" s="10">
        <v>100231.9249695577</v>
      </c>
      <c r="E518" s="10">
        <v>419423.35456211661</v>
      </c>
      <c r="F518" s="1">
        <v>5</v>
      </c>
      <c r="G518" s="1">
        <v>326</v>
      </c>
      <c r="H518">
        <f t="shared" si="24"/>
        <v>2015</v>
      </c>
      <c r="I518">
        <f t="shared" si="25"/>
        <v>2020</v>
      </c>
      <c r="J518" s="7">
        <f t="shared" si="26"/>
        <v>519655.27953167434</v>
      </c>
      <c r="K518" s="7"/>
    </row>
    <row r="519" spans="1:11" x14ac:dyDescent="0.25">
      <c r="A519" s="1" t="s">
        <v>17</v>
      </c>
      <c r="B519" s="2">
        <v>201504</v>
      </c>
      <c r="C519" s="2">
        <v>202004</v>
      </c>
      <c r="D519" s="10">
        <v>15486.983626348285</v>
      </c>
      <c r="E519" s="10">
        <v>410129.0880117187</v>
      </c>
      <c r="F519" s="1">
        <v>4</v>
      </c>
      <c r="G519" s="1">
        <v>304</v>
      </c>
      <c r="H519">
        <f t="shared" si="24"/>
        <v>2015</v>
      </c>
      <c r="I519">
        <f t="shared" si="25"/>
        <v>2020</v>
      </c>
      <c r="J519" s="7">
        <f t="shared" si="26"/>
        <v>425616.07163806696</v>
      </c>
      <c r="K519" s="7"/>
    </row>
    <row r="520" spans="1:11" x14ac:dyDescent="0.25">
      <c r="A520" s="1" t="s">
        <v>17</v>
      </c>
      <c r="B520" s="2">
        <v>201504</v>
      </c>
      <c r="C520" s="2">
        <v>202101</v>
      </c>
      <c r="D520" s="10">
        <v>33457.265865086716</v>
      </c>
      <c r="E520" s="10">
        <v>408917.16609616997</v>
      </c>
      <c r="F520" s="1">
        <v>1</v>
      </c>
      <c r="G520" s="1">
        <v>281</v>
      </c>
      <c r="H520">
        <f t="shared" si="24"/>
        <v>2015</v>
      </c>
      <c r="I520">
        <f t="shared" si="25"/>
        <v>2021</v>
      </c>
      <c r="J520" s="7">
        <f t="shared" si="26"/>
        <v>442374.43196125666</v>
      </c>
      <c r="K520" s="7"/>
    </row>
    <row r="521" spans="1:11" x14ac:dyDescent="0.25">
      <c r="A521" s="1" t="s">
        <v>17</v>
      </c>
      <c r="B521" s="2">
        <v>201504</v>
      </c>
      <c r="C521" s="2">
        <v>202102</v>
      </c>
      <c r="D521" s="10">
        <v>34292.53702145283</v>
      </c>
      <c r="E521" s="10">
        <v>404115.12581400434</v>
      </c>
      <c r="F521" s="1">
        <v>5</v>
      </c>
      <c r="G521" s="1">
        <v>258</v>
      </c>
      <c r="H521">
        <f t="shared" si="24"/>
        <v>2015</v>
      </c>
      <c r="I521">
        <f t="shared" si="25"/>
        <v>2021</v>
      </c>
      <c r="J521" s="7">
        <f t="shared" si="26"/>
        <v>438407.66283545719</v>
      </c>
      <c r="K521" s="7"/>
    </row>
    <row r="522" spans="1:11" x14ac:dyDescent="0.25">
      <c r="A522" s="1" t="s">
        <v>17</v>
      </c>
      <c r="B522" s="2">
        <v>201504</v>
      </c>
      <c r="C522" s="2">
        <v>202103</v>
      </c>
      <c r="D522" s="10">
        <v>18630.507474519007</v>
      </c>
      <c r="E522" s="10">
        <v>407990.48522544844</v>
      </c>
      <c r="F522" s="1">
        <v>3</v>
      </c>
      <c r="G522" s="1">
        <v>239</v>
      </c>
      <c r="H522">
        <f t="shared" si="24"/>
        <v>2015</v>
      </c>
      <c r="I522">
        <f t="shared" si="25"/>
        <v>2021</v>
      </c>
      <c r="J522" s="7">
        <f t="shared" si="26"/>
        <v>426620.99269996746</v>
      </c>
      <c r="K522" s="7"/>
    </row>
    <row r="523" spans="1:11" x14ac:dyDescent="0.25">
      <c r="A523" s="1" t="s">
        <v>17</v>
      </c>
      <c r="B523" s="2">
        <v>201504</v>
      </c>
      <c r="C523" s="2">
        <v>202104</v>
      </c>
      <c r="D523" s="10">
        <v>14807.536294811949</v>
      </c>
      <c r="E523" s="10">
        <v>305545.63935682375</v>
      </c>
      <c r="F523" s="1">
        <v>0</v>
      </c>
      <c r="G523" s="1">
        <v>218</v>
      </c>
      <c r="H523">
        <f t="shared" si="24"/>
        <v>2015</v>
      </c>
      <c r="I523">
        <f t="shared" si="25"/>
        <v>2021</v>
      </c>
      <c r="J523" s="7">
        <f t="shared" si="26"/>
        <v>320353.17565163568</v>
      </c>
      <c r="K523" s="7"/>
    </row>
    <row r="524" spans="1:11" x14ac:dyDescent="0.25">
      <c r="A524" s="1" t="s">
        <v>17</v>
      </c>
      <c r="B524" s="2">
        <v>201601</v>
      </c>
      <c r="C524" s="2">
        <v>201601</v>
      </c>
      <c r="D524" s="10">
        <v>92362.922231290897</v>
      </c>
      <c r="E524" s="10">
        <v>438234.1504262386</v>
      </c>
      <c r="F524" s="1">
        <v>4115</v>
      </c>
      <c r="G524" s="1">
        <v>2486</v>
      </c>
      <c r="H524">
        <f t="shared" si="24"/>
        <v>2016</v>
      </c>
      <c r="I524">
        <f t="shared" si="25"/>
        <v>2016</v>
      </c>
      <c r="J524" s="7">
        <f t="shared" si="26"/>
        <v>530597.0726575295</v>
      </c>
      <c r="K524" s="7"/>
    </row>
    <row r="525" spans="1:11" x14ac:dyDescent="0.25">
      <c r="A525" s="1" t="s">
        <v>17</v>
      </c>
      <c r="B525" s="2">
        <v>201601</v>
      </c>
      <c r="C525" s="2">
        <v>201602</v>
      </c>
      <c r="D525" s="10">
        <v>174607.01683769212</v>
      </c>
      <c r="E525" s="10">
        <v>696760.41842254961</v>
      </c>
      <c r="F525" s="1">
        <v>2580</v>
      </c>
      <c r="G525" s="1">
        <v>3079</v>
      </c>
      <c r="H525">
        <f t="shared" si="24"/>
        <v>2016</v>
      </c>
      <c r="I525">
        <f t="shared" si="25"/>
        <v>2016</v>
      </c>
      <c r="J525" s="7">
        <f t="shared" si="26"/>
        <v>871367.43526024173</v>
      </c>
      <c r="K525" s="7"/>
    </row>
    <row r="526" spans="1:11" x14ac:dyDescent="0.25">
      <c r="A526" s="1" t="s">
        <v>17</v>
      </c>
      <c r="B526" s="2">
        <v>201601</v>
      </c>
      <c r="C526" s="2">
        <v>201603</v>
      </c>
      <c r="D526" s="10">
        <v>141236.16578562249</v>
      </c>
      <c r="E526" s="10">
        <v>771643.1460262622</v>
      </c>
      <c r="F526" s="1">
        <v>590</v>
      </c>
      <c r="G526" s="1">
        <v>2929</v>
      </c>
      <c r="H526">
        <f t="shared" si="24"/>
        <v>2016</v>
      </c>
      <c r="I526">
        <f t="shared" si="25"/>
        <v>2016</v>
      </c>
      <c r="J526" s="7">
        <f t="shared" si="26"/>
        <v>912879.31181188463</v>
      </c>
      <c r="K526" s="7"/>
    </row>
    <row r="527" spans="1:11" x14ac:dyDescent="0.25">
      <c r="A527" s="1" t="s">
        <v>17</v>
      </c>
      <c r="B527" s="2">
        <v>201601</v>
      </c>
      <c r="C527" s="2">
        <v>201604</v>
      </c>
      <c r="D527" s="10">
        <v>92944.540170154592</v>
      </c>
      <c r="E527" s="10">
        <v>1077916.2108068834</v>
      </c>
      <c r="F527" s="1">
        <v>318</v>
      </c>
      <c r="G527" s="1">
        <v>2652</v>
      </c>
      <c r="H527">
        <f t="shared" si="24"/>
        <v>2016</v>
      </c>
      <c r="I527">
        <f t="shared" si="25"/>
        <v>2016</v>
      </c>
      <c r="J527" s="7">
        <f t="shared" si="26"/>
        <v>1170860.7509770379</v>
      </c>
      <c r="K527" s="7"/>
    </row>
    <row r="528" spans="1:11" x14ac:dyDescent="0.25">
      <c r="A528" s="1" t="s">
        <v>17</v>
      </c>
      <c r="B528" s="2">
        <v>201601</v>
      </c>
      <c r="C528" s="2">
        <v>201701</v>
      </c>
      <c r="D528" s="10">
        <v>96289.486143195012</v>
      </c>
      <c r="E528" s="10">
        <v>1070272.5986746559</v>
      </c>
      <c r="F528" s="1">
        <v>224</v>
      </c>
      <c r="G528" s="1">
        <v>2449</v>
      </c>
      <c r="H528">
        <f t="shared" si="24"/>
        <v>2016</v>
      </c>
      <c r="I528">
        <f t="shared" si="25"/>
        <v>2017</v>
      </c>
      <c r="J528" s="7">
        <f t="shared" si="26"/>
        <v>1166562.084817851</v>
      </c>
      <c r="K528" s="7"/>
    </row>
    <row r="529" spans="1:11" x14ac:dyDescent="0.25">
      <c r="A529" s="1" t="s">
        <v>17</v>
      </c>
      <c r="B529" s="2">
        <v>201601</v>
      </c>
      <c r="C529" s="2">
        <v>201702</v>
      </c>
      <c r="D529" s="10">
        <v>53487.576813794985</v>
      </c>
      <c r="E529" s="10">
        <v>1120176.8185403158</v>
      </c>
      <c r="F529" s="1">
        <v>119</v>
      </c>
      <c r="G529" s="1">
        <v>2387</v>
      </c>
      <c r="H529">
        <f t="shared" si="24"/>
        <v>2016</v>
      </c>
      <c r="I529">
        <f t="shared" si="25"/>
        <v>2017</v>
      </c>
      <c r="J529" s="7">
        <f t="shared" si="26"/>
        <v>1173664.3953541107</v>
      </c>
      <c r="K529" s="7"/>
    </row>
    <row r="530" spans="1:11" x14ac:dyDescent="0.25">
      <c r="A530" s="1" t="s">
        <v>17</v>
      </c>
      <c r="B530" s="2">
        <v>201601</v>
      </c>
      <c r="C530" s="2">
        <v>201703</v>
      </c>
      <c r="D530" s="10">
        <v>59163.726332611994</v>
      </c>
      <c r="E530" s="10">
        <v>1033562.9446286935</v>
      </c>
      <c r="F530" s="1">
        <v>80</v>
      </c>
      <c r="G530" s="1">
        <v>2195</v>
      </c>
      <c r="H530">
        <f t="shared" si="24"/>
        <v>2016</v>
      </c>
      <c r="I530">
        <f t="shared" si="25"/>
        <v>2017</v>
      </c>
      <c r="J530" s="7">
        <f t="shared" si="26"/>
        <v>1092726.6709613055</v>
      </c>
      <c r="K530" s="7"/>
    </row>
    <row r="531" spans="1:11" x14ac:dyDescent="0.25">
      <c r="A531" s="1" t="s">
        <v>17</v>
      </c>
      <c r="B531" s="2">
        <v>201601</v>
      </c>
      <c r="C531" s="2">
        <v>201704</v>
      </c>
      <c r="D531" s="10">
        <v>59605.713627432095</v>
      </c>
      <c r="E531" s="10">
        <v>1095509.2623849588</v>
      </c>
      <c r="F531" s="1">
        <v>65</v>
      </c>
      <c r="G531" s="1">
        <v>1997</v>
      </c>
      <c r="H531">
        <f t="shared" si="24"/>
        <v>2016</v>
      </c>
      <c r="I531">
        <f t="shared" si="25"/>
        <v>2017</v>
      </c>
      <c r="J531" s="7">
        <f t="shared" si="26"/>
        <v>1155114.9760123908</v>
      </c>
      <c r="K531" s="7"/>
    </row>
    <row r="532" spans="1:11" x14ac:dyDescent="0.25">
      <c r="A532" s="1" t="s">
        <v>17</v>
      </c>
      <c r="B532" s="2">
        <v>201601</v>
      </c>
      <c r="C532" s="2">
        <v>201801</v>
      </c>
      <c r="D532" s="10">
        <v>67265.887389833137</v>
      </c>
      <c r="E532" s="10">
        <v>1155106.4251941007</v>
      </c>
      <c r="F532" s="1">
        <v>65</v>
      </c>
      <c r="G532" s="1">
        <v>1714</v>
      </c>
      <c r="H532">
        <f t="shared" si="24"/>
        <v>2016</v>
      </c>
      <c r="I532">
        <f t="shared" si="25"/>
        <v>2018</v>
      </c>
      <c r="J532" s="7">
        <f t="shared" si="26"/>
        <v>1222372.3125839338</v>
      </c>
      <c r="K532" s="7"/>
    </row>
    <row r="533" spans="1:11" x14ac:dyDescent="0.25">
      <c r="A533" s="1" t="s">
        <v>17</v>
      </c>
      <c r="B533" s="2">
        <v>201601</v>
      </c>
      <c r="C533" s="2">
        <v>201802</v>
      </c>
      <c r="D533" s="10">
        <v>33911.004897485123</v>
      </c>
      <c r="E533" s="10">
        <v>1138352.9707435074</v>
      </c>
      <c r="F533" s="1">
        <v>66</v>
      </c>
      <c r="G533" s="1">
        <v>1538</v>
      </c>
      <c r="H533">
        <f t="shared" si="24"/>
        <v>2016</v>
      </c>
      <c r="I533">
        <f t="shared" si="25"/>
        <v>2018</v>
      </c>
      <c r="J533" s="7">
        <f t="shared" si="26"/>
        <v>1172263.9756409924</v>
      </c>
      <c r="K533" s="7"/>
    </row>
    <row r="534" spans="1:11" x14ac:dyDescent="0.25">
      <c r="A534" s="1" t="s">
        <v>17</v>
      </c>
      <c r="B534" s="2">
        <v>201601</v>
      </c>
      <c r="C534" s="2">
        <v>201803</v>
      </c>
      <c r="D534" s="10">
        <v>38476.938824245095</v>
      </c>
      <c r="E534" s="10">
        <v>1194670.3871271743</v>
      </c>
      <c r="F534" s="1">
        <v>43</v>
      </c>
      <c r="G534" s="1">
        <v>1471</v>
      </c>
      <c r="H534">
        <f t="shared" si="24"/>
        <v>2016</v>
      </c>
      <c r="I534">
        <f t="shared" si="25"/>
        <v>2018</v>
      </c>
      <c r="J534" s="7">
        <f t="shared" si="26"/>
        <v>1233147.3259514193</v>
      </c>
      <c r="K534" s="7"/>
    </row>
    <row r="535" spans="1:11" x14ac:dyDescent="0.25">
      <c r="A535" s="1" t="s">
        <v>17</v>
      </c>
      <c r="B535" s="2">
        <v>201601</v>
      </c>
      <c r="C535" s="2">
        <v>201804</v>
      </c>
      <c r="D535" s="10">
        <v>30488.424081663154</v>
      </c>
      <c r="E535" s="10">
        <v>1207996.2643603517</v>
      </c>
      <c r="F535" s="1">
        <v>36</v>
      </c>
      <c r="G535" s="1">
        <v>1251</v>
      </c>
      <c r="H535">
        <f t="shared" si="24"/>
        <v>2016</v>
      </c>
      <c r="I535">
        <f t="shared" si="25"/>
        <v>2018</v>
      </c>
      <c r="J535" s="7">
        <f t="shared" si="26"/>
        <v>1238484.6884420149</v>
      </c>
      <c r="K535" s="7"/>
    </row>
    <row r="536" spans="1:11" x14ac:dyDescent="0.25">
      <c r="A536" s="1" t="s">
        <v>17</v>
      </c>
      <c r="B536" s="2">
        <v>201601</v>
      </c>
      <c r="C536" s="2">
        <v>201901</v>
      </c>
      <c r="D536" s="10">
        <v>39710.057046275389</v>
      </c>
      <c r="E536" s="10">
        <v>1121884.37154145</v>
      </c>
      <c r="F536" s="1">
        <v>36</v>
      </c>
      <c r="G536" s="1">
        <v>1062</v>
      </c>
      <c r="H536">
        <f t="shared" si="24"/>
        <v>2016</v>
      </c>
      <c r="I536">
        <f t="shared" si="25"/>
        <v>2019</v>
      </c>
      <c r="J536" s="7">
        <f t="shared" si="26"/>
        <v>1161594.4285877254</v>
      </c>
      <c r="K536" s="7"/>
    </row>
    <row r="537" spans="1:11" x14ac:dyDescent="0.25">
      <c r="A537" s="1" t="s">
        <v>17</v>
      </c>
      <c r="B537" s="2">
        <v>201601</v>
      </c>
      <c r="C537" s="2">
        <v>201902</v>
      </c>
      <c r="D537" s="10">
        <v>112647.60403492971</v>
      </c>
      <c r="E537" s="10">
        <v>780687.19403027068</v>
      </c>
      <c r="F537" s="1">
        <v>25</v>
      </c>
      <c r="G537" s="1">
        <v>984</v>
      </c>
      <c r="H537">
        <f t="shared" si="24"/>
        <v>2016</v>
      </c>
      <c r="I537">
        <f t="shared" si="25"/>
        <v>2019</v>
      </c>
      <c r="J537" s="7">
        <f t="shared" si="26"/>
        <v>893334.79806520045</v>
      </c>
      <c r="K537" s="7"/>
    </row>
    <row r="538" spans="1:11" x14ac:dyDescent="0.25">
      <c r="A538" s="1" t="s">
        <v>17</v>
      </c>
      <c r="B538" s="2">
        <v>201601</v>
      </c>
      <c r="C538" s="2">
        <v>201903</v>
      </c>
      <c r="D538" s="10">
        <v>47121.389516869946</v>
      </c>
      <c r="E538" s="10">
        <v>737980.61896237312</v>
      </c>
      <c r="F538" s="1">
        <v>14</v>
      </c>
      <c r="G538" s="1">
        <v>927</v>
      </c>
      <c r="H538">
        <f t="shared" si="24"/>
        <v>2016</v>
      </c>
      <c r="I538">
        <f t="shared" si="25"/>
        <v>2019</v>
      </c>
      <c r="J538" s="7">
        <f t="shared" si="26"/>
        <v>785102.00847924303</v>
      </c>
      <c r="K538" s="7"/>
    </row>
    <row r="539" spans="1:11" x14ac:dyDescent="0.25">
      <c r="A539" s="1" t="s">
        <v>17</v>
      </c>
      <c r="B539" s="2">
        <v>201601</v>
      </c>
      <c r="C539" s="2">
        <v>201904</v>
      </c>
      <c r="D539" s="10">
        <v>38178.585926434724</v>
      </c>
      <c r="E539" s="10">
        <v>736114.04233605706</v>
      </c>
      <c r="F539" s="1">
        <v>20</v>
      </c>
      <c r="G539" s="1">
        <v>880</v>
      </c>
      <c r="H539">
        <f t="shared" si="24"/>
        <v>2016</v>
      </c>
      <c r="I539">
        <f t="shared" si="25"/>
        <v>2019</v>
      </c>
      <c r="J539" s="7">
        <f t="shared" si="26"/>
        <v>774292.62826249178</v>
      </c>
      <c r="K539" s="7"/>
    </row>
    <row r="540" spans="1:11" x14ac:dyDescent="0.25">
      <c r="A540" s="1" t="s">
        <v>17</v>
      </c>
      <c r="B540" s="2">
        <v>201601</v>
      </c>
      <c r="C540" s="2">
        <v>202001</v>
      </c>
      <c r="D540" s="10">
        <v>22952.633327419953</v>
      </c>
      <c r="E540" s="10">
        <v>658524.30177973513</v>
      </c>
      <c r="F540" s="1">
        <v>10</v>
      </c>
      <c r="G540" s="1">
        <v>735</v>
      </c>
      <c r="H540">
        <f t="shared" si="24"/>
        <v>2016</v>
      </c>
      <c r="I540">
        <f t="shared" si="25"/>
        <v>2020</v>
      </c>
      <c r="J540" s="7">
        <f t="shared" si="26"/>
        <v>681476.93510715512</v>
      </c>
      <c r="K540" s="7"/>
    </row>
    <row r="541" spans="1:11" x14ac:dyDescent="0.25">
      <c r="A541" s="1" t="s">
        <v>17</v>
      </c>
      <c r="B541" s="2">
        <v>201601</v>
      </c>
      <c r="C541" s="2">
        <v>202002</v>
      </c>
      <c r="D541" s="10">
        <v>12754.439684839519</v>
      </c>
      <c r="E541" s="10">
        <v>614932.07032050518</v>
      </c>
      <c r="F541" s="1">
        <v>6</v>
      </c>
      <c r="G541" s="1">
        <v>675</v>
      </c>
      <c r="H541">
        <f t="shared" si="24"/>
        <v>2016</v>
      </c>
      <c r="I541">
        <f t="shared" si="25"/>
        <v>2020</v>
      </c>
      <c r="J541" s="7">
        <f t="shared" si="26"/>
        <v>627686.51000534475</v>
      </c>
      <c r="K541" s="7"/>
    </row>
    <row r="542" spans="1:11" x14ac:dyDescent="0.25">
      <c r="A542" s="1" t="s">
        <v>17</v>
      </c>
      <c r="B542" s="2">
        <v>201601</v>
      </c>
      <c r="C542" s="2">
        <v>202003</v>
      </c>
      <c r="D542" s="10">
        <v>25437.322526956192</v>
      </c>
      <c r="E542" s="10">
        <v>607263.52662844339</v>
      </c>
      <c r="F542" s="1">
        <v>5</v>
      </c>
      <c r="G542" s="1">
        <v>568</v>
      </c>
      <c r="H542">
        <f t="shared" si="24"/>
        <v>2016</v>
      </c>
      <c r="I542">
        <f t="shared" si="25"/>
        <v>2020</v>
      </c>
      <c r="J542" s="7">
        <f t="shared" si="26"/>
        <v>632700.8491553996</v>
      </c>
      <c r="K542" s="7"/>
    </row>
    <row r="543" spans="1:11" x14ac:dyDescent="0.25">
      <c r="A543" s="1" t="s">
        <v>17</v>
      </c>
      <c r="B543" s="2">
        <v>201601</v>
      </c>
      <c r="C543" s="2">
        <v>202004</v>
      </c>
      <c r="D543" s="10">
        <v>32338.181812606756</v>
      </c>
      <c r="E543" s="10">
        <v>599650.53277791664</v>
      </c>
      <c r="F543" s="1">
        <v>7</v>
      </c>
      <c r="G543" s="1">
        <v>524</v>
      </c>
      <c r="H543">
        <f t="shared" si="24"/>
        <v>2016</v>
      </c>
      <c r="I543">
        <f t="shared" si="25"/>
        <v>2020</v>
      </c>
      <c r="J543" s="7">
        <f t="shared" si="26"/>
        <v>631988.71459052339</v>
      </c>
      <c r="K543" s="7"/>
    </row>
    <row r="544" spans="1:11" x14ac:dyDescent="0.25">
      <c r="A544" s="1" t="s">
        <v>17</v>
      </c>
      <c r="B544" s="2">
        <v>201601</v>
      </c>
      <c r="C544" s="2">
        <v>202101</v>
      </c>
      <c r="D544" s="10">
        <v>43299.124596742127</v>
      </c>
      <c r="E544" s="10">
        <v>576661.23996892571</v>
      </c>
      <c r="F544" s="1">
        <v>16</v>
      </c>
      <c r="G544" s="1">
        <v>461</v>
      </c>
      <c r="H544">
        <f t="shared" si="24"/>
        <v>2016</v>
      </c>
      <c r="I544">
        <f t="shared" si="25"/>
        <v>2021</v>
      </c>
      <c r="J544" s="7">
        <f t="shared" si="26"/>
        <v>619960.36456566781</v>
      </c>
      <c r="K544" s="7"/>
    </row>
    <row r="545" spans="1:11" x14ac:dyDescent="0.25">
      <c r="A545" s="1" t="s">
        <v>17</v>
      </c>
      <c r="B545" s="2">
        <v>201601</v>
      </c>
      <c r="C545" s="2">
        <v>202102</v>
      </c>
      <c r="D545" s="10">
        <v>21916.386934132555</v>
      </c>
      <c r="E545" s="10">
        <v>580126.94492006523</v>
      </c>
      <c r="F545" s="1">
        <v>13</v>
      </c>
      <c r="G545" s="1">
        <v>418</v>
      </c>
      <c r="H545">
        <f t="shared" si="24"/>
        <v>2016</v>
      </c>
      <c r="I545">
        <f t="shared" si="25"/>
        <v>2021</v>
      </c>
      <c r="J545" s="7">
        <f t="shared" si="26"/>
        <v>602043.33185419778</v>
      </c>
      <c r="K545" s="7"/>
    </row>
    <row r="546" spans="1:11" x14ac:dyDescent="0.25">
      <c r="A546" s="1" t="s">
        <v>17</v>
      </c>
      <c r="B546" s="2">
        <v>201601</v>
      </c>
      <c r="C546" s="2">
        <v>202103</v>
      </c>
      <c r="D546" s="10">
        <v>36282.083847743066</v>
      </c>
      <c r="E546" s="10">
        <v>574150.10932903877</v>
      </c>
      <c r="F546" s="1">
        <v>7</v>
      </c>
      <c r="G546" s="1">
        <v>387</v>
      </c>
      <c r="H546">
        <f t="shared" si="24"/>
        <v>2016</v>
      </c>
      <c r="I546">
        <f t="shared" si="25"/>
        <v>2021</v>
      </c>
      <c r="J546" s="7">
        <f t="shared" si="26"/>
        <v>610432.19317678188</v>
      </c>
      <c r="K546" s="7"/>
    </row>
    <row r="547" spans="1:11" x14ac:dyDescent="0.25">
      <c r="A547" s="1" t="s">
        <v>17</v>
      </c>
      <c r="B547" s="2">
        <v>201601</v>
      </c>
      <c r="C547" s="2">
        <v>202104</v>
      </c>
      <c r="D547" s="10">
        <v>12026.347086089576</v>
      </c>
      <c r="E547" s="10">
        <v>525076.04581037548</v>
      </c>
      <c r="F547" s="1">
        <v>3</v>
      </c>
      <c r="G547" s="1">
        <v>340</v>
      </c>
      <c r="H547">
        <f t="shared" si="24"/>
        <v>2016</v>
      </c>
      <c r="I547">
        <f t="shared" si="25"/>
        <v>2021</v>
      </c>
      <c r="J547" s="7">
        <f t="shared" si="26"/>
        <v>537102.39289646503</v>
      </c>
      <c r="K547" s="7"/>
    </row>
    <row r="548" spans="1:11" x14ac:dyDescent="0.25">
      <c r="A548" s="1" t="s">
        <v>17</v>
      </c>
      <c r="B548" s="2">
        <v>201602</v>
      </c>
      <c r="C548" s="2">
        <v>201602</v>
      </c>
      <c r="D548" s="10">
        <v>79260.795177806751</v>
      </c>
      <c r="E548" s="10">
        <v>437511.37342629535</v>
      </c>
      <c r="F548" s="1">
        <v>4401</v>
      </c>
      <c r="G548" s="1">
        <v>2633</v>
      </c>
      <c r="H548">
        <f t="shared" si="24"/>
        <v>2016</v>
      </c>
      <c r="I548">
        <f t="shared" si="25"/>
        <v>2016</v>
      </c>
      <c r="J548" s="7">
        <f t="shared" si="26"/>
        <v>516772.1686041021</v>
      </c>
      <c r="K548" s="7"/>
    </row>
    <row r="549" spans="1:11" x14ac:dyDescent="0.25">
      <c r="A549" s="1" t="s">
        <v>17</v>
      </c>
      <c r="B549" s="2">
        <v>201602</v>
      </c>
      <c r="C549" s="2">
        <v>201603</v>
      </c>
      <c r="D549" s="10">
        <v>214412.77577878587</v>
      </c>
      <c r="E549" s="10">
        <v>603545.25895745214</v>
      </c>
      <c r="F549" s="1">
        <v>2836</v>
      </c>
      <c r="G549" s="1">
        <v>3203</v>
      </c>
      <c r="H549">
        <f t="shared" si="24"/>
        <v>2016</v>
      </c>
      <c r="I549">
        <f t="shared" si="25"/>
        <v>2016</v>
      </c>
      <c r="J549" s="7">
        <f t="shared" si="26"/>
        <v>817958.03473623795</v>
      </c>
      <c r="K549" s="7"/>
    </row>
    <row r="550" spans="1:11" x14ac:dyDescent="0.25">
      <c r="A550" s="1" t="s">
        <v>17</v>
      </c>
      <c r="B550" s="2">
        <v>201602</v>
      </c>
      <c r="C550" s="2">
        <v>201604</v>
      </c>
      <c r="D550" s="10">
        <v>150826.83428061186</v>
      </c>
      <c r="E550" s="10">
        <v>649340.41384952678</v>
      </c>
      <c r="F550" s="1">
        <v>654</v>
      </c>
      <c r="G550" s="1">
        <v>2862</v>
      </c>
      <c r="H550">
        <f t="shared" si="24"/>
        <v>2016</v>
      </c>
      <c r="I550">
        <f t="shared" si="25"/>
        <v>2016</v>
      </c>
      <c r="J550" s="7">
        <f t="shared" si="26"/>
        <v>800167.24813013861</v>
      </c>
      <c r="K550" s="7"/>
    </row>
    <row r="551" spans="1:11" x14ac:dyDescent="0.25">
      <c r="A551" s="1" t="s">
        <v>17</v>
      </c>
      <c r="B551" s="2">
        <v>201602</v>
      </c>
      <c r="C551" s="2">
        <v>201701</v>
      </c>
      <c r="D551" s="10">
        <v>96087.191508852207</v>
      </c>
      <c r="E551" s="10">
        <v>613789.62998641573</v>
      </c>
      <c r="F551" s="1">
        <v>276</v>
      </c>
      <c r="G551" s="1">
        <v>2595</v>
      </c>
      <c r="H551">
        <f t="shared" si="24"/>
        <v>2016</v>
      </c>
      <c r="I551">
        <f t="shared" si="25"/>
        <v>2017</v>
      </c>
      <c r="J551" s="7">
        <f t="shared" si="26"/>
        <v>709876.82149526791</v>
      </c>
      <c r="K551" s="7"/>
    </row>
    <row r="552" spans="1:11" x14ac:dyDescent="0.25">
      <c r="A552" s="1" t="s">
        <v>17</v>
      </c>
      <c r="B552" s="2">
        <v>201602</v>
      </c>
      <c r="C552" s="2">
        <v>201702</v>
      </c>
      <c r="D552" s="10">
        <v>53995.408087814802</v>
      </c>
      <c r="E552" s="10">
        <v>597565.67551766383</v>
      </c>
      <c r="F552" s="1">
        <v>144</v>
      </c>
      <c r="G552" s="1">
        <v>2429</v>
      </c>
      <c r="H552">
        <f t="shared" si="24"/>
        <v>2016</v>
      </c>
      <c r="I552">
        <f t="shared" si="25"/>
        <v>2017</v>
      </c>
      <c r="J552" s="7">
        <f t="shared" si="26"/>
        <v>651561.08360547863</v>
      </c>
      <c r="K552" s="7"/>
    </row>
    <row r="553" spans="1:11" x14ac:dyDescent="0.25">
      <c r="A553" s="1" t="s">
        <v>17</v>
      </c>
      <c r="B553" s="2">
        <v>201602</v>
      </c>
      <c r="C553" s="2">
        <v>201703</v>
      </c>
      <c r="D553" s="10">
        <v>41824.859348812141</v>
      </c>
      <c r="E553" s="10">
        <v>595762.71823427314</v>
      </c>
      <c r="F553" s="1">
        <v>67</v>
      </c>
      <c r="G553" s="1">
        <v>2185</v>
      </c>
      <c r="H553">
        <f t="shared" si="24"/>
        <v>2016</v>
      </c>
      <c r="I553">
        <f t="shared" si="25"/>
        <v>2017</v>
      </c>
      <c r="J553" s="7">
        <f t="shared" si="26"/>
        <v>637587.57758308528</v>
      </c>
      <c r="K553" s="7"/>
    </row>
    <row r="554" spans="1:11" x14ac:dyDescent="0.25">
      <c r="A554" s="1" t="s">
        <v>17</v>
      </c>
      <c r="B554" s="2">
        <v>201602</v>
      </c>
      <c r="C554" s="2">
        <v>201704</v>
      </c>
      <c r="D554" s="10">
        <v>19919.389923610168</v>
      </c>
      <c r="E554" s="10">
        <v>666681.7227912657</v>
      </c>
      <c r="F554" s="1">
        <v>54</v>
      </c>
      <c r="G554" s="1">
        <v>1971</v>
      </c>
      <c r="H554">
        <f t="shared" si="24"/>
        <v>2016</v>
      </c>
      <c r="I554">
        <f t="shared" si="25"/>
        <v>2017</v>
      </c>
      <c r="J554" s="7">
        <f t="shared" si="26"/>
        <v>686601.11271487584</v>
      </c>
      <c r="K554" s="7"/>
    </row>
    <row r="555" spans="1:11" x14ac:dyDescent="0.25">
      <c r="A555" s="1" t="s">
        <v>17</v>
      </c>
      <c r="B555" s="2">
        <v>201602</v>
      </c>
      <c r="C555" s="2">
        <v>201801</v>
      </c>
      <c r="D555" s="10">
        <v>47166.95989263829</v>
      </c>
      <c r="E555" s="10">
        <v>656136.86929897964</v>
      </c>
      <c r="F555" s="1">
        <v>44</v>
      </c>
      <c r="G555" s="1">
        <v>1788</v>
      </c>
      <c r="H555">
        <f t="shared" si="24"/>
        <v>2016</v>
      </c>
      <c r="I555">
        <f t="shared" si="25"/>
        <v>2018</v>
      </c>
      <c r="J555" s="7">
        <f t="shared" si="26"/>
        <v>703303.8291916179</v>
      </c>
      <c r="K555" s="7"/>
    </row>
    <row r="556" spans="1:11" x14ac:dyDescent="0.25">
      <c r="A556" s="1" t="s">
        <v>17</v>
      </c>
      <c r="B556" s="2">
        <v>201602</v>
      </c>
      <c r="C556" s="2">
        <v>201802</v>
      </c>
      <c r="D556" s="10">
        <v>15152.398717026183</v>
      </c>
      <c r="E556" s="10">
        <v>662678.96127759526</v>
      </c>
      <c r="F556" s="1">
        <v>42</v>
      </c>
      <c r="G556" s="1">
        <v>1601</v>
      </c>
      <c r="H556">
        <f t="shared" si="24"/>
        <v>2016</v>
      </c>
      <c r="I556">
        <f t="shared" si="25"/>
        <v>2018</v>
      </c>
      <c r="J556" s="7">
        <f t="shared" si="26"/>
        <v>677831.35999462148</v>
      </c>
      <c r="K556" s="7"/>
    </row>
    <row r="557" spans="1:11" x14ac:dyDescent="0.25">
      <c r="A557" s="1" t="s">
        <v>17</v>
      </c>
      <c r="B557" s="2">
        <v>201602</v>
      </c>
      <c r="C557" s="2">
        <v>201803</v>
      </c>
      <c r="D557" s="10">
        <v>74405.080766220985</v>
      </c>
      <c r="E557" s="10">
        <v>582558.45099141728</v>
      </c>
      <c r="F557" s="1">
        <v>38</v>
      </c>
      <c r="G557" s="1">
        <v>1498</v>
      </c>
      <c r="H557">
        <f t="shared" si="24"/>
        <v>2016</v>
      </c>
      <c r="I557">
        <f t="shared" si="25"/>
        <v>2018</v>
      </c>
      <c r="J557" s="7">
        <f t="shared" si="26"/>
        <v>656963.53175763832</v>
      </c>
      <c r="K557" s="7"/>
    </row>
    <row r="558" spans="1:11" x14ac:dyDescent="0.25">
      <c r="A558" s="1" t="s">
        <v>17</v>
      </c>
      <c r="B558" s="2">
        <v>201602</v>
      </c>
      <c r="C558" s="2">
        <v>201804</v>
      </c>
      <c r="D558" s="10">
        <v>26790.479640926715</v>
      </c>
      <c r="E558" s="10">
        <v>520323.8035420283</v>
      </c>
      <c r="F558" s="1">
        <v>23</v>
      </c>
      <c r="G558" s="1">
        <v>1288</v>
      </c>
      <c r="H558">
        <f t="shared" si="24"/>
        <v>2016</v>
      </c>
      <c r="I558">
        <f t="shared" si="25"/>
        <v>2018</v>
      </c>
      <c r="J558" s="7">
        <f t="shared" si="26"/>
        <v>547114.283182955</v>
      </c>
      <c r="K558" s="7"/>
    </row>
    <row r="559" spans="1:11" x14ac:dyDescent="0.25">
      <c r="A559" s="1" t="s">
        <v>17</v>
      </c>
      <c r="B559" s="2">
        <v>201602</v>
      </c>
      <c r="C559" s="2">
        <v>201901</v>
      </c>
      <c r="D559" s="10">
        <v>21240.220567436805</v>
      </c>
      <c r="E559" s="10">
        <v>492310.2657343318</v>
      </c>
      <c r="F559" s="1">
        <v>22</v>
      </c>
      <c r="G559" s="1">
        <v>1136</v>
      </c>
      <c r="H559">
        <f t="shared" si="24"/>
        <v>2016</v>
      </c>
      <c r="I559">
        <f t="shared" si="25"/>
        <v>2019</v>
      </c>
      <c r="J559" s="7">
        <f t="shared" si="26"/>
        <v>513550.48630176863</v>
      </c>
      <c r="K559" s="7"/>
    </row>
    <row r="560" spans="1:11" x14ac:dyDescent="0.25">
      <c r="A560" s="1" t="s">
        <v>17</v>
      </c>
      <c r="B560" s="2">
        <v>201602</v>
      </c>
      <c r="C560" s="2">
        <v>201902</v>
      </c>
      <c r="D560" s="10">
        <v>23074.59707849261</v>
      </c>
      <c r="E560" s="10">
        <v>480631.17697685515</v>
      </c>
      <c r="F560" s="1">
        <v>23</v>
      </c>
      <c r="G560" s="1">
        <v>1019</v>
      </c>
      <c r="H560">
        <f t="shared" si="24"/>
        <v>2016</v>
      </c>
      <c r="I560">
        <f t="shared" si="25"/>
        <v>2019</v>
      </c>
      <c r="J560" s="7">
        <f t="shared" si="26"/>
        <v>503705.77405534778</v>
      </c>
      <c r="K560" s="7"/>
    </row>
    <row r="561" spans="1:11" x14ac:dyDescent="0.25">
      <c r="A561" s="1" t="s">
        <v>17</v>
      </c>
      <c r="B561" s="2">
        <v>201602</v>
      </c>
      <c r="C561" s="2">
        <v>201903</v>
      </c>
      <c r="D561" s="10">
        <v>19049.852934180726</v>
      </c>
      <c r="E561" s="10">
        <v>424369.12228745624</v>
      </c>
      <c r="F561" s="1">
        <v>17</v>
      </c>
      <c r="G561" s="1">
        <v>978</v>
      </c>
      <c r="H561">
        <f t="shared" si="24"/>
        <v>2016</v>
      </c>
      <c r="I561">
        <f t="shared" si="25"/>
        <v>2019</v>
      </c>
      <c r="J561" s="7">
        <f t="shared" si="26"/>
        <v>443418.97522163694</v>
      </c>
      <c r="K561" s="7"/>
    </row>
    <row r="562" spans="1:11" x14ac:dyDescent="0.25">
      <c r="A562" s="1" t="s">
        <v>17</v>
      </c>
      <c r="B562" s="2">
        <v>201602</v>
      </c>
      <c r="C562" s="2">
        <v>201904</v>
      </c>
      <c r="D562" s="10">
        <v>10922.941733946976</v>
      </c>
      <c r="E562" s="10">
        <v>414665.3878475196</v>
      </c>
      <c r="F562" s="1">
        <v>10</v>
      </c>
      <c r="G562" s="1">
        <v>884</v>
      </c>
      <c r="H562">
        <f t="shared" si="24"/>
        <v>2016</v>
      </c>
      <c r="I562">
        <f t="shared" si="25"/>
        <v>2019</v>
      </c>
      <c r="J562" s="7">
        <f t="shared" si="26"/>
        <v>425588.32958146656</v>
      </c>
      <c r="K562" s="7"/>
    </row>
    <row r="563" spans="1:11" x14ac:dyDescent="0.25">
      <c r="A563" s="1" t="s">
        <v>17</v>
      </c>
      <c r="B563" s="2">
        <v>201602</v>
      </c>
      <c r="C563" s="2">
        <v>202001</v>
      </c>
      <c r="D563" s="10">
        <v>14368.125604667955</v>
      </c>
      <c r="E563" s="10">
        <v>391424.74004475115</v>
      </c>
      <c r="F563" s="1">
        <v>10</v>
      </c>
      <c r="G563" s="1">
        <v>719</v>
      </c>
      <c r="H563">
        <f t="shared" si="24"/>
        <v>2016</v>
      </c>
      <c r="I563">
        <f t="shared" si="25"/>
        <v>2020</v>
      </c>
      <c r="J563" s="7">
        <f t="shared" si="26"/>
        <v>405792.86564941908</v>
      </c>
      <c r="K563" s="7"/>
    </row>
    <row r="564" spans="1:11" x14ac:dyDescent="0.25">
      <c r="A564" s="1" t="s">
        <v>17</v>
      </c>
      <c r="B564" s="2">
        <v>201602</v>
      </c>
      <c r="C564" s="2">
        <v>202002</v>
      </c>
      <c r="D564" s="10">
        <v>22560.394633219414</v>
      </c>
      <c r="E564" s="10">
        <v>336980.12585499755</v>
      </c>
      <c r="F564" s="1">
        <v>7</v>
      </c>
      <c r="G564" s="1">
        <v>635</v>
      </c>
      <c r="H564">
        <f t="shared" si="24"/>
        <v>2016</v>
      </c>
      <c r="I564">
        <f t="shared" si="25"/>
        <v>2020</v>
      </c>
      <c r="J564" s="7">
        <f t="shared" si="26"/>
        <v>359540.52048821695</v>
      </c>
      <c r="K564" s="7"/>
    </row>
    <row r="565" spans="1:11" x14ac:dyDescent="0.25">
      <c r="A565" s="1" t="s">
        <v>17</v>
      </c>
      <c r="B565" s="2">
        <v>201602</v>
      </c>
      <c r="C565" s="2">
        <v>202003</v>
      </c>
      <c r="D565" s="10">
        <v>8366.2725343874936</v>
      </c>
      <c r="E565" s="10">
        <v>328940.85213824222</v>
      </c>
      <c r="F565" s="1">
        <v>1</v>
      </c>
      <c r="G565" s="1">
        <v>549</v>
      </c>
      <c r="H565">
        <f t="shared" si="24"/>
        <v>2016</v>
      </c>
      <c r="I565">
        <f t="shared" si="25"/>
        <v>2020</v>
      </c>
      <c r="J565" s="7">
        <f t="shared" si="26"/>
        <v>337307.1246726297</v>
      </c>
      <c r="K565" s="7"/>
    </row>
    <row r="566" spans="1:11" x14ac:dyDescent="0.25">
      <c r="A566" s="1" t="s">
        <v>17</v>
      </c>
      <c r="B566" s="2">
        <v>201602</v>
      </c>
      <c r="C566" s="2">
        <v>202004</v>
      </c>
      <c r="D566" s="10">
        <v>24597.043239652699</v>
      </c>
      <c r="E566" s="10">
        <v>347508.24169307819</v>
      </c>
      <c r="F566" s="1">
        <v>2</v>
      </c>
      <c r="G566" s="1">
        <v>488</v>
      </c>
      <c r="H566">
        <f t="shared" si="24"/>
        <v>2016</v>
      </c>
      <c r="I566">
        <f t="shared" si="25"/>
        <v>2020</v>
      </c>
      <c r="J566" s="7">
        <f t="shared" si="26"/>
        <v>372105.28493273089</v>
      </c>
      <c r="K566" s="7"/>
    </row>
    <row r="567" spans="1:11" x14ac:dyDescent="0.25">
      <c r="A567" s="1" t="s">
        <v>17</v>
      </c>
      <c r="B567" s="2">
        <v>201602</v>
      </c>
      <c r="C567" s="2">
        <v>202101</v>
      </c>
      <c r="D567" s="10">
        <v>36263.377679921767</v>
      </c>
      <c r="E567" s="10">
        <v>347671.99325109227</v>
      </c>
      <c r="F567" s="1">
        <v>4</v>
      </c>
      <c r="G567" s="1">
        <v>433</v>
      </c>
      <c r="H567">
        <f t="shared" si="24"/>
        <v>2016</v>
      </c>
      <c r="I567">
        <f t="shared" si="25"/>
        <v>2021</v>
      </c>
      <c r="J567" s="7">
        <f t="shared" si="26"/>
        <v>383935.37093101401</v>
      </c>
      <c r="K567" s="7"/>
    </row>
    <row r="568" spans="1:11" x14ac:dyDescent="0.25">
      <c r="A568" s="1" t="s">
        <v>17</v>
      </c>
      <c r="B568" s="2">
        <v>201602</v>
      </c>
      <c r="C568" s="2">
        <v>202102</v>
      </c>
      <c r="D568" s="10">
        <v>9908.9836020198236</v>
      </c>
      <c r="E568" s="10">
        <v>346104.11639904464</v>
      </c>
      <c r="F568" s="1">
        <v>8</v>
      </c>
      <c r="G568" s="1">
        <v>394</v>
      </c>
      <c r="H568">
        <f t="shared" si="24"/>
        <v>2016</v>
      </c>
      <c r="I568">
        <f t="shared" si="25"/>
        <v>2021</v>
      </c>
      <c r="J568" s="7">
        <f t="shared" si="26"/>
        <v>356013.10000106448</v>
      </c>
      <c r="K568" s="7"/>
    </row>
    <row r="569" spans="1:11" x14ac:dyDescent="0.25">
      <c r="A569" s="1" t="s">
        <v>17</v>
      </c>
      <c r="B569" s="2">
        <v>201602</v>
      </c>
      <c r="C569" s="2">
        <v>202103</v>
      </c>
      <c r="D569" s="10">
        <v>4876.6882522629394</v>
      </c>
      <c r="E569" s="10">
        <v>343968.59657665261</v>
      </c>
      <c r="F569" s="1">
        <v>4</v>
      </c>
      <c r="G569" s="1">
        <v>353</v>
      </c>
      <c r="H569">
        <f t="shared" si="24"/>
        <v>2016</v>
      </c>
      <c r="I569">
        <f t="shared" si="25"/>
        <v>2021</v>
      </c>
      <c r="J569" s="7">
        <f t="shared" si="26"/>
        <v>348845.28482891555</v>
      </c>
      <c r="K569" s="7"/>
    </row>
    <row r="570" spans="1:11" x14ac:dyDescent="0.25">
      <c r="A570" s="1" t="s">
        <v>17</v>
      </c>
      <c r="B570" s="2">
        <v>201602</v>
      </c>
      <c r="C570" s="2">
        <v>202104</v>
      </c>
      <c r="D570" s="10">
        <v>10220.770859240101</v>
      </c>
      <c r="E570" s="10">
        <v>259383.12265920645</v>
      </c>
      <c r="F570" s="1">
        <v>5</v>
      </c>
      <c r="G570" s="1">
        <v>309</v>
      </c>
      <c r="H570">
        <f t="shared" si="24"/>
        <v>2016</v>
      </c>
      <c r="I570">
        <f t="shared" si="25"/>
        <v>2021</v>
      </c>
      <c r="J570" s="7">
        <f t="shared" si="26"/>
        <v>269603.89351844654</v>
      </c>
      <c r="K570" s="7"/>
    </row>
    <row r="571" spans="1:11" x14ac:dyDescent="0.25">
      <c r="A571" s="1" t="s">
        <v>17</v>
      </c>
      <c r="B571" s="2">
        <v>201603</v>
      </c>
      <c r="C571" s="2">
        <v>201603</v>
      </c>
      <c r="D571" s="10">
        <v>93929.411494007974</v>
      </c>
      <c r="E571" s="10">
        <v>515663.84897133696</v>
      </c>
      <c r="F571" s="1">
        <v>4487</v>
      </c>
      <c r="G571" s="1">
        <v>2824</v>
      </c>
      <c r="H571">
        <f t="shared" si="24"/>
        <v>2016</v>
      </c>
      <c r="I571">
        <f t="shared" si="25"/>
        <v>2016</v>
      </c>
      <c r="J571" s="7">
        <f t="shared" si="26"/>
        <v>609593.26046534488</v>
      </c>
      <c r="K571" s="7"/>
    </row>
    <row r="572" spans="1:11" x14ac:dyDescent="0.25">
      <c r="A572" s="1" t="s">
        <v>17</v>
      </c>
      <c r="B572" s="2">
        <v>201603</v>
      </c>
      <c r="C572" s="2">
        <v>201604</v>
      </c>
      <c r="D572" s="10">
        <v>200058.26106238717</v>
      </c>
      <c r="E572" s="10">
        <v>947333.18031659361</v>
      </c>
      <c r="F572" s="1">
        <v>2693</v>
      </c>
      <c r="G572" s="1">
        <v>3299</v>
      </c>
      <c r="H572">
        <f t="shared" si="24"/>
        <v>2016</v>
      </c>
      <c r="I572">
        <f t="shared" si="25"/>
        <v>2016</v>
      </c>
      <c r="J572" s="7">
        <f t="shared" si="26"/>
        <v>1147391.4413789809</v>
      </c>
      <c r="K572" s="7"/>
    </row>
    <row r="573" spans="1:11" x14ac:dyDescent="0.25">
      <c r="A573" s="1" t="s">
        <v>17</v>
      </c>
      <c r="B573" s="2">
        <v>201603</v>
      </c>
      <c r="C573" s="2">
        <v>201701</v>
      </c>
      <c r="D573" s="10">
        <v>183911.10216712253</v>
      </c>
      <c r="E573" s="10">
        <v>885898.93704842601</v>
      </c>
      <c r="F573" s="1">
        <v>651</v>
      </c>
      <c r="G573" s="1">
        <v>2918</v>
      </c>
      <c r="H573">
        <f t="shared" si="24"/>
        <v>2016</v>
      </c>
      <c r="I573">
        <f t="shared" si="25"/>
        <v>2017</v>
      </c>
      <c r="J573" s="7">
        <f t="shared" si="26"/>
        <v>1069810.0392155484</v>
      </c>
      <c r="K573" s="7"/>
    </row>
    <row r="574" spans="1:11" x14ac:dyDescent="0.25">
      <c r="A574" s="1" t="s">
        <v>17</v>
      </c>
      <c r="B574" s="2">
        <v>201603</v>
      </c>
      <c r="C574" s="2">
        <v>201702</v>
      </c>
      <c r="D574" s="10">
        <v>77784.867934866648</v>
      </c>
      <c r="E574" s="10">
        <v>900023.08451572817</v>
      </c>
      <c r="F574" s="1">
        <v>254</v>
      </c>
      <c r="G574" s="1">
        <v>2694</v>
      </c>
      <c r="H574">
        <f t="shared" si="24"/>
        <v>2016</v>
      </c>
      <c r="I574">
        <f t="shared" si="25"/>
        <v>2017</v>
      </c>
      <c r="J574" s="7">
        <f t="shared" si="26"/>
        <v>977807.95245059486</v>
      </c>
      <c r="K574" s="7"/>
    </row>
    <row r="575" spans="1:11" x14ac:dyDescent="0.25">
      <c r="A575" s="1" t="s">
        <v>17</v>
      </c>
      <c r="B575" s="2">
        <v>201603</v>
      </c>
      <c r="C575" s="2">
        <v>201703</v>
      </c>
      <c r="D575" s="10">
        <v>92764.993178150675</v>
      </c>
      <c r="E575" s="10">
        <v>894849.55718670296</v>
      </c>
      <c r="F575" s="1">
        <v>160</v>
      </c>
      <c r="G575" s="1">
        <v>2411</v>
      </c>
      <c r="H575">
        <f t="shared" si="24"/>
        <v>2016</v>
      </c>
      <c r="I575">
        <f t="shared" si="25"/>
        <v>2017</v>
      </c>
      <c r="J575" s="7">
        <f t="shared" si="26"/>
        <v>987614.55036485358</v>
      </c>
      <c r="K575" s="7"/>
    </row>
    <row r="576" spans="1:11" x14ac:dyDescent="0.25">
      <c r="A576" s="1" t="s">
        <v>17</v>
      </c>
      <c r="B576" s="2">
        <v>201603</v>
      </c>
      <c r="C576" s="2">
        <v>201704</v>
      </c>
      <c r="D576" s="10">
        <v>53847.847784684775</v>
      </c>
      <c r="E576" s="10">
        <v>986493.0769039368</v>
      </c>
      <c r="F576" s="1">
        <v>100</v>
      </c>
      <c r="G576" s="1">
        <v>2190</v>
      </c>
      <c r="H576">
        <f t="shared" si="24"/>
        <v>2016</v>
      </c>
      <c r="I576">
        <f t="shared" si="25"/>
        <v>2017</v>
      </c>
      <c r="J576" s="7">
        <f t="shared" si="26"/>
        <v>1040340.9246886215</v>
      </c>
      <c r="K576" s="7"/>
    </row>
    <row r="577" spans="1:11" x14ac:dyDescent="0.25">
      <c r="A577" s="1" t="s">
        <v>17</v>
      </c>
      <c r="B577" s="2">
        <v>201603</v>
      </c>
      <c r="C577" s="2">
        <v>201801</v>
      </c>
      <c r="D577" s="10">
        <v>36683.215921623851</v>
      </c>
      <c r="E577" s="10">
        <v>990233.01758172794</v>
      </c>
      <c r="F577" s="1">
        <v>68</v>
      </c>
      <c r="G577" s="1">
        <v>1951</v>
      </c>
      <c r="H577">
        <f t="shared" si="24"/>
        <v>2016</v>
      </c>
      <c r="I577">
        <f t="shared" si="25"/>
        <v>2018</v>
      </c>
      <c r="J577" s="7">
        <f t="shared" si="26"/>
        <v>1026916.2335033518</v>
      </c>
      <c r="K577" s="7"/>
    </row>
    <row r="578" spans="1:11" x14ac:dyDescent="0.25">
      <c r="A578" s="1" t="s">
        <v>17</v>
      </c>
      <c r="B578" s="2">
        <v>201603</v>
      </c>
      <c r="C578" s="2">
        <v>201802</v>
      </c>
      <c r="D578" s="10">
        <v>84428.302954340339</v>
      </c>
      <c r="E578" s="10">
        <v>962323.1428377995</v>
      </c>
      <c r="F578" s="1">
        <v>49</v>
      </c>
      <c r="G578" s="1">
        <v>1756</v>
      </c>
      <c r="H578">
        <f t="shared" si="24"/>
        <v>2016</v>
      </c>
      <c r="I578">
        <f t="shared" si="25"/>
        <v>2018</v>
      </c>
      <c r="J578" s="7">
        <f t="shared" si="26"/>
        <v>1046751.4457921399</v>
      </c>
      <c r="K578" s="7"/>
    </row>
    <row r="579" spans="1:11" x14ac:dyDescent="0.25">
      <c r="A579" s="1" t="s">
        <v>17</v>
      </c>
      <c r="B579" s="2">
        <v>201603</v>
      </c>
      <c r="C579" s="2">
        <v>201803</v>
      </c>
      <c r="D579" s="10">
        <v>46751.253349911021</v>
      </c>
      <c r="E579" s="10">
        <v>989203.48220532981</v>
      </c>
      <c r="F579" s="1">
        <v>43</v>
      </c>
      <c r="G579" s="1">
        <v>1635</v>
      </c>
      <c r="H579">
        <f t="shared" si="24"/>
        <v>2016</v>
      </c>
      <c r="I579">
        <f t="shared" si="25"/>
        <v>2018</v>
      </c>
      <c r="J579" s="7">
        <f t="shared" si="26"/>
        <v>1035954.7355552409</v>
      </c>
      <c r="K579" s="7"/>
    </row>
    <row r="580" spans="1:11" x14ac:dyDescent="0.25">
      <c r="A580" s="1" t="s">
        <v>17</v>
      </c>
      <c r="B580" s="2">
        <v>201603</v>
      </c>
      <c r="C580" s="2">
        <v>201804</v>
      </c>
      <c r="D580" s="10">
        <v>29901.946387203487</v>
      </c>
      <c r="E580" s="10">
        <v>920048.149701569</v>
      </c>
      <c r="F580" s="1">
        <v>24</v>
      </c>
      <c r="G580" s="1">
        <v>1433</v>
      </c>
      <c r="H580">
        <f t="shared" ref="H580:H643" si="27">VALUE(LEFT(B580,4))</f>
        <v>2016</v>
      </c>
      <c r="I580">
        <f t="shared" ref="I580:I643" si="28">VALUE(LEFT(C580,4))</f>
        <v>2018</v>
      </c>
      <c r="J580" s="7">
        <f t="shared" si="26"/>
        <v>949950.09608877252</v>
      </c>
      <c r="K580" s="7"/>
    </row>
    <row r="581" spans="1:11" x14ac:dyDescent="0.25">
      <c r="A581" s="1" t="s">
        <v>17</v>
      </c>
      <c r="B581" s="2">
        <v>201603</v>
      </c>
      <c r="C581" s="2">
        <v>201901</v>
      </c>
      <c r="D581" s="10">
        <v>34501.261569896116</v>
      </c>
      <c r="E581" s="10">
        <v>891389.72373670549</v>
      </c>
      <c r="F581" s="1">
        <v>21</v>
      </c>
      <c r="G581" s="1">
        <v>1229</v>
      </c>
      <c r="H581">
        <f t="shared" si="27"/>
        <v>2016</v>
      </c>
      <c r="I581">
        <f t="shared" si="28"/>
        <v>2019</v>
      </c>
      <c r="J581" s="7">
        <f t="shared" ref="J581:J644" si="29">D581+E581</f>
        <v>925890.98530660162</v>
      </c>
      <c r="K581" s="7"/>
    </row>
    <row r="582" spans="1:11" x14ac:dyDescent="0.25">
      <c r="A582" s="1" t="s">
        <v>17</v>
      </c>
      <c r="B582" s="2">
        <v>201603</v>
      </c>
      <c r="C582" s="2">
        <v>201902</v>
      </c>
      <c r="D582" s="10">
        <v>23360.339835941944</v>
      </c>
      <c r="E582" s="10">
        <v>831676.41577367159</v>
      </c>
      <c r="F582" s="1">
        <v>15</v>
      </c>
      <c r="G582" s="1">
        <v>1112</v>
      </c>
      <c r="H582">
        <f t="shared" si="27"/>
        <v>2016</v>
      </c>
      <c r="I582">
        <f t="shared" si="28"/>
        <v>2019</v>
      </c>
      <c r="J582" s="7">
        <f t="shared" si="29"/>
        <v>855036.75560961349</v>
      </c>
      <c r="K582" s="7"/>
    </row>
    <row r="583" spans="1:11" x14ac:dyDescent="0.25">
      <c r="A583" s="1" t="s">
        <v>17</v>
      </c>
      <c r="B583" s="2">
        <v>201603</v>
      </c>
      <c r="C583" s="2">
        <v>201903</v>
      </c>
      <c r="D583" s="10">
        <v>22826.146814347318</v>
      </c>
      <c r="E583" s="10">
        <v>825492.64220946212</v>
      </c>
      <c r="F583" s="1">
        <v>14</v>
      </c>
      <c r="G583" s="1">
        <v>1031</v>
      </c>
      <c r="H583">
        <f t="shared" si="27"/>
        <v>2016</v>
      </c>
      <c r="I583">
        <f t="shared" si="28"/>
        <v>2019</v>
      </c>
      <c r="J583" s="7">
        <f t="shared" si="29"/>
        <v>848318.78902380948</v>
      </c>
      <c r="K583" s="7"/>
    </row>
    <row r="584" spans="1:11" x14ac:dyDescent="0.25">
      <c r="A584" s="1" t="s">
        <v>17</v>
      </c>
      <c r="B584" s="2">
        <v>201603</v>
      </c>
      <c r="C584" s="2">
        <v>201904</v>
      </c>
      <c r="D584" s="10">
        <v>82216.193003969151</v>
      </c>
      <c r="E584" s="10">
        <v>770185.79687661247</v>
      </c>
      <c r="F584" s="1">
        <v>23</v>
      </c>
      <c r="G584" s="1">
        <v>981</v>
      </c>
      <c r="H584">
        <f t="shared" si="27"/>
        <v>2016</v>
      </c>
      <c r="I584">
        <f t="shared" si="28"/>
        <v>2019</v>
      </c>
      <c r="J584" s="7">
        <f t="shared" si="29"/>
        <v>852401.98988058162</v>
      </c>
      <c r="K584" s="7"/>
    </row>
    <row r="585" spans="1:11" x14ac:dyDescent="0.25">
      <c r="A585" s="1" t="s">
        <v>17</v>
      </c>
      <c r="B585" s="2">
        <v>201603</v>
      </c>
      <c r="C585" s="2">
        <v>202001</v>
      </c>
      <c r="D585" s="10">
        <v>29862.439021380851</v>
      </c>
      <c r="E585" s="10">
        <v>680585.68837316346</v>
      </c>
      <c r="F585" s="1">
        <v>13</v>
      </c>
      <c r="G585" s="1">
        <v>767</v>
      </c>
      <c r="H585">
        <f t="shared" si="27"/>
        <v>2016</v>
      </c>
      <c r="I585">
        <f t="shared" si="28"/>
        <v>2020</v>
      </c>
      <c r="J585" s="7">
        <f t="shared" si="29"/>
        <v>710448.12739454431</v>
      </c>
      <c r="K585" s="7"/>
    </row>
    <row r="586" spans="1:11" x14ac:dyDescent="0.25">
      <c r="A586" s="1" t="s">
        <v>17</v>
      </c>
      <c r="B586" s="2">
        <v>201603</v>
      </c>
      <c r="C586" s="2">
        <v>202002</v>
      </c>
      <c r="D586" s="10">
        <v>37784.182649223774</v>
      </c>
      <c r="E586" s="10">
        <v>652575.66154075216</v>
      </c>
      <c r="F586" s="1">
        <v>10</v>
      </c>
      <c r="G586" s="1">
        <v>705</v>
      </c>
      <c r="H586">
        <f t="shared" si="27"/>
        <v>2016</v>
      </c>
      <c r="I586">
        <f t="shared" si="28"/>
        <v>2020</v>
      </c>
      <c r="J586" s="7">
        <f t="shared" si="29"/>
        <v>690359.84418997588</v>
      </c>
      <c r="K586" s="7"/>
    </row>
    <row r="587" spans="1:11" x14ac:dyDescent="0.25">
      <c r="A587" s="1" t="s">
        <v>17</v>
      </c>
      <c r="B587" s="2">
        <v>201603</v>
      </c>
      <c r="C587" s="2">
        <v>202003</v>
      </c>
      <c r="D587" s="10">
        <v>6484.7599840464709</v>
      </c>
      <c r="E587" s="10">
        <v>618240.01813509571</v>
      </c>
      <c r="F587" s="1">
        <v>7</v>
      </c>
      <c r="G587" s="1">
        <v>628</v>
      </c>
      <c r="H587">
        <f t="shared" si="27"/>
        <v>2016</v>
      </c>
      <c r="I587">
        <f t="shared" si="28"/>
        <v>2020</v>
      </c>
      <c r="J587" s="7">
        <f t="shared" si="29"/>
        <v>624724.77811914217</v>
      </c>
      <c r="K587" s="7"/>
    </row>
    <row r="588" spans="1:11" x14ac:dyDescent="0.25">
      <c r="A588" s="1" t="s">
        <v>17</v>
      </c>
      <c r="B588" s="2">
        <v>201603</v>
      </c>
      <c r="C588" s="2">
        <v>202004</v>
      </c>
      <c r="D588" s="10">
        <v>38089.197149978834</v>
      </c>
      <c r="E588" s="10">
        <v>510980.47826533922</v>
      </c>
      <c r="F588" s="1">
        <v>7</v>
      </c>
      <c r="G588" s="1">
        <v>573</v>
      </c>
      <c r="H588">
        <f t="shared" si="27"/>
        <v>2016</v>
      </c>
      <c r="I588">
        <f t="shared" si="28"/>
        <v>2020</v>
      </c>
      <c r="J588" s="7">
        <f t="shared" si="29"/>
        <v>549069.67541531799</v>
      </c>
      <c r="K588" s="7"/>
    </row>
    <row r="589" spans="1:11" x14ac:dyDescent="0.25">
      <c r="A589" s="1" t="s">
        <v>17</v>
      </c>
      <c r="B589" s="2">
        <v>201603</v>
      </c>
      <c r="C589" s="2">
        <v>202101</v>
      </c>
      <c r="D589" s="10">
        <v>38439.437560323764</v>
      </c>
      <c r="E589" s="10">
        <v>509379.31527531514</v>
      </c>
      <c r="F589" s="1">
        <v>14</v>
      </c>
      <c r="G589" s="1">
        <v>509</v>
      </c>
      <c r="H589">
        <f t="shared" si="27"/>
        <v>2016</v>
      </c>
      <c r="I589">
        <f t="shared" si="28"/>
        <v>2021</v>
      </c>
      <c r="J589" s="7">
        <f t="shared" si="29"/>
        <v>547818.75283563894</v>
      </c>
      <c r="K589" s="7"/>
    </row>
    <row r="590" spans="1:11" x14ac:dyDescent="0.25">
      <c r="A590" s="1" t="s">
        <v>17</v>
      </c>
      <c r="B590" s="2">
        <v>201603</v>
      </c>
      <c r="C590" s="2">
        <v>202102</v>
      </c>
      <c r="D590" s="10">
        <v>11731.971104678149</v>
      </c>
      <c r="E590" s="10">
        <v>515963.68782073905</v>
      </c>
      <c r="F590" s="1">
        <v>9</v>
      </c>
      <c r="G590" s="1">
        <v>470</v>
      </c>
      <c r="H590">
        <f t="shared" si="27"/>
        <v>2016</v>
      </c>
      <c r="I590">
        <f t="shared" si="28"/>
        <v>2021</v>
      </c>
      <c r="J590" s="7">
        <f t="shared" si="29"/>
        <v>527695.65892541723</v>
      </c>
      <c r="K590" s="7"/>
    </row>
    <row r="591" spans="1:11" x14ac:dyDescent="0.25">
      <c r="A591" s="1" t="s">
        <v>17</v>
      </c>
      <c r="B591" s="2">
        <v>201603</v>
      </c>
      <c r="C591" s="2">
        <v>202103</v>
      </c>
      <c r="D591" s="10">
        <v>29699.766678784399</v>
      </c>
      <c r="E591" s="10">
        <v>512510.27631063381</v>
      </c>
      <c r="F591" s="1">
        <v>4</v>
      </c>
      <c r="G591" s="1">
        <v>424</v>
      </c>
      <c r="H591">
        <f t="shared" si="27"/>
        <v>2016</v>
      </c>
      <c r="I591">
        <f t="shared" si="28"/>
        <v>2021</v>
      </c>
      <c r="J591" s="7">
        <f t="shared" si="29"/>
        <v>542210.04298941826</v>
      </c>
      <c r="K591" s="7"/>
    </row>
    <row r="592" spans="1:11" x14ac:dyDescent="0.25">
      <c r="A592" s="1" t="s">
        <v>17</v>
      </c>
      <c r="B592" s="2">
        <v>201603</v>
      </c>
      <c r="C592" s="2">
        <v>202104</v>
      </c>
      <c r="D592" s="10">
        <v>30735.311717765442</v>
      </c>
      <c r="E592" s="10">
        <v>385318.63196029048</v>
      </c>
      <c r="F592" s="1">
        <v>6</v>
      </c>
      <c r="G592" s="1">
        <v>371</v>
      </c>
      <c r="H592">
        <f t="shared" si="27"/>
        <v>2016</v>
      </c>
      <c r="I592">
        <f t="shared" si="28"/>
        <v>2021</v>
      </c>
      <c r="J592" s="7">
        <f t="shared" si="29"/>
        <v>416053.94367805595</v>
      </c>
      <c r="K592" s="7"/>
    </row>
    <row r="593" spans="1:11" x14ac:dyDescent="0.25">
      <c r="A593" s="1" t="s">
        <v>17</v>
      </c>
      <c r="B593" s="2">
        <v>201604</v>
      </c>
      <c r="C593" s="2">
        <v>201604</v>
      </c>
      <c r="D593" s="10">
        <v>66874.881967066263</v>
      </c>
      <c r="E593" s="10">
        <v>487980.12367106049</v>
      </c>
      <c r="F593" s="1">
        <v>3816</v>
      </c>
      <c r="G593" s="1">
        <v>2374</v>
      </c>
      <c r="H593">
        <f t="shared" si="27"/>
        <v>2016</v>
      </c>
      <c r="I593">
        <f t="shared" si="28"/>
        <v>2016</v>
      </c>
      <c r="J593" s="7">
        <f t="shared" si="29"/>
        <v>554855.00563812675</v>
      </c>
      <c r="K593" s="7"/>
    </row>
    <row r="594" spans="1:11" x14ac:dyDescent="0.25">
      <c r="A594" s="1" t="s">
        <v>17</v>
      </c>
      <c r="B594" s="2">
        <v>201604</v>
      </c>
      <c r="C594" s="2">
        <v>201701</v>
      </c>
      <c r="D594" s="10">
        <v>201391.28293930407</v>
      </c>
      <c r="E594" s="10">
        <v>771024.3939990229</v>
      </c>
      <c r="F594" s="1">
        <v>2805</v>
      </c>
      <c r="G594" s="1">
        <v>3011</v>
      </c>
      <c r="H594">
        <f t="shared" si="27"/>
        <v>2016</v>
      </c>
      <c r="I594">
        <f t="shared" si="28"/>
        <v>2017</v>
      </c>
      <c r="J594" s="7">
        <f t="shared" si="29"/>
        <v>972415.67693832703</v>
      </c>
      <c r="K594" s="7"/>
    </row>
    <row r="595" spans="1:11" x14ac:dyDescent="0.25">
      <c r="A595" s="1" t="s">
        <v>17</v>
      </c>
      <c r="B595" s="2">
        <v>201604</v>
      </c>
      <c r="C595" s="2">
        <v>201702</v>
      </c>
      <c r="D595" s="10">
        <v>158157.17914671733</v>
      </c>
      <c r="E595" s="10">
        <v>760178.29063111846</v>
      </c>
      <c r="F595" s="1">
        <v>751</v>
      </c>
      <c r="G595" s="1">
        <v>2979</v>
      </c>
      <c r="H595">
        <f t="shared" si="27"/>
        <v>2016</v>
      </c>
      <c r="I595">
        <f t="shared" si="28"/>
        <v>2017</v>
      </c>
      <c r="J595" s="7">
        <f t="shared" si="29"/>
        <v>918335.46977783577</v>
      </c>
      <c r="K595" s="7"/>
    </row>
    <row r="596" spans="1:11" x14ac:dyDescent="0.25">
      <c r="A596" s="1" t="s">
        <v>17</v>
      </c>
      <c r="B596" s="2">
        <v>201604</v>
      </c>
      <c r="C596" s="2">
        <v>201703</v>
      </c>
      <c r="D596" s="10">
        <v>95905.292780491582</v>
      </c>
      <c r="E596" s="10">
        <v>726511.45248392643</v>
      </c>
      <c r="F596" s="1">
        <v>216</v>
      </c>
      <c r="G596" s="1">
        <v>2718</v>
      </c>
      <c r="H596">
        <f t="shared" si="27"/>
        <v>2016</v>
      </c>
      <c r="I596">
        <f t="shared" si="28"/>
        <v>2017</v>
      </c>
      <c r="J596" s="7">
        <f t="shared" si="29"/>
        <v>822416.74526441796</v>
      </c>
      <c r="K596" s="7"/>
    </row>
    <row r="597" spans="1:11" x14ac:dyDescent="0.25">
      <c r="A597" s="1" t="s">
        <v>17</v>
      </c>
      <c r="B597" s="2">
        <v>201604</v>
      </c>
      <c r="C597" s="2">
        <v>201704</v>
      </c>
      <c r="D597" s="10">
        <v>123047.83690262087</v>
      </c>
      <c r="E597" s="10">
        <v>691916.06961551204</v>
      </c>
      <c r="F597" s="1">
        <v>161</v>
      </c>
      <c r="G597" s="1">
        <v>2432</v>
      </c>
      <c r="H597">
        <f t="shared" si="27"/>
        <v>2016</v>
      </c>
      <c r="I597">
        <f t="shared" si="28"/>
        <v>2017</v>
      </c>
      <c r="J597" s="7">
        <f t="shared" si="29"/>
        <v>814963.90651813289</v>
      </c>
      <c r="K597" s="7"/>
    </row>
    <row r="598" spans="1:11" x14ac:dyDescent="0.25">
      <c r="A598" s="1" t="s">
        <v>17</v>
      </c>
      <c r="B598" s="2">
        <v>201604</v>
      </c>
      <c r="C598" s="2">
        <v>201801</v>
      </c>
      <c r="D598" s="10">
        <v>41630.656520879682</v>
      </c>
      <c r="E598" s="10">
        <v>679491.49042731838</v>
      </c>
      <c r="F598" s="1">
        <v>95</v>
      </c>
      <c r="G598" s="1">
        <v>2174</v>
      </c>
      <c r="H598">
        <f t="shared" si="27"/>
        <v>2016</v>
      </c>
      <c r="I598">
        <f t="shared" si="28"/>
        <v>2018</v>
      </c>
      <c r="J598" s="7">
        <f t="shared" si="29"/>
        <v>721122.14694819809</v>
      </c>
      <c r="K598" s="7"/>
    </row>
    <row r="599" spans="1:11" x14ac:dyDescent="0.25">
      <c r="A599" s="1" t="s">
        <v>17</v>
      </c>
      <c r="B599" s="2">
        <v>201604</v>
      </c>
      <c r="C599" s="2">
        <v>201802</v>
      </c>
      <c r="D599" s="10">
        <v>62973.684507055703</v>
      </c>
      <c r="E599" s="10">
        <v>620405.05140127137</v>
      </c>
      <c r="F599" s="1">
        <v>67</v>
      </c>
      <c r="G599" s="1">
        <v>1993</v>
      </c>
      <c r="H599">
        <f t="shared" si="27"/>
        <v>2016</v>
      </c>
      <c r="I599">
        <f t="shared" si="28"/>
        <v>2018</v>
      </c>
      <c r="J599" s="7">
        <f t="shared" si="29"/>
        <v>683378.73590832704</v>
      </c>
      <c r="K599" s="7"/>
    </row>
    <row r="600" spans="1:11" x14ac:dyDescent="0.25">
      <c r="A600" s="1" t="s">
        <v>17</v>
      </c>
      <c r="B600" s="2">
        <v>201604</v>
      </c>
      <c r="C600" s="2">
        <v>201803</v>
      </c>
      <c r="D600" s="10">
        <v>54900.489678410209</v>
      </c>
      <c r="E600" s="10">
        <v>624125.26848528651</v>
      </c>
      <c r="F600" s="1">
        <v>44</v>
      </c>
      <c r="G600" s="1">
        <v>1869</v>
      </c>
      <c r="H600">
        <f t="shared" si="27"/>
        <v>2016</v>
      </c>
      <c r="I600">
        <f t="shared" si="28"/>
        <v>2018</v>
      </c>
      <c r="J600" s="7">
        <f t="shared" si="29"/>
        <v>679025.75816369674</v>
      </c>
      <c r="K600" s="7"/>
    </row>
    <row r="601" spans="1:11" x14ac:dyDescent="0.25">
      <c r="A601" s="1" t="s">
        <v>17</v>
      </c>
      <c r="B601" s="2">
        <v>201604</v>
      </c>
      <c r="C601" s="2">
        <v>201804</v>
      </c>
      <c r="D601" s="10">
        <v>62924.263692419299</v>
      </c>
      <c r="E601" s="10">
        <v>642047.09458831151</v>
      </c>
      <c r="F601" s="1">
        <v>36</v>
      </c>
      <c r="G601" s="1">
        <v>1600</v>
      </c>
      <c r="H601">
        <f t="shared" si="27"/>
        <v>2016</v>
      </c>
      <c r="I601">
        <f t="shared" si="28"/>
        <v>2018</v>
      </c>
      <c r="J601" s="7">
        <f t="shared" si="29"/>
        <v>704971.35828073078</v>
      </c>
      <c r="K601" s="7"/>
    </row>
    <row r="602" spans="1:11" x14ac:dyDescent="0.25">
      <c r="A602" s="1" t="s">
        <v>17</v>
      </c>
      <c r="B602" s="2">
        <v>201604</v>
      </c>
      <c r="C602" s="2">
        <v>201901</v>
      </c>
      <c r="D602" s="10">
        <v>40658.774684352597</v>
      </c>
      <c r="E602" s="10">
        <v>619047.23731813964</v>
      </c>
      <c r="F602" s="1">
        <v>23</v>
      </c>
      <c r="G602" s="1">
        <v>1459</v>
      </c>
      <c r="H602">
        <f t="shared" si="27"/>
        <v>2016</v>
      </c>
      <c r="I602">
        <f t="shared" si="28"/>
        <v>2019</v>
      </c>
      <c r="J602" s="7">
        <f t="shared" si="29"/>
        <v>659706.01200249221</v>
      </c>
      <c r="K602" s="7"/>
    </row>
    <row r="603" spans="1:11" x14ac:dyDescent="0.25">
      <c r="A603" s="1" t="s">
        <v>17</v>
      </c>
      <c r="B603" s="2">
        <v>201604</v>
      </c>
      <c r="C603" s="2">
        <v>201902</v>
      </c>
      <c r="D603" s="10">
        <v>19639.847048058469</v>
      </c>
      <c r="E603" s="10">
        <v>604769.80129158986</v>
      </c>
      <c r="F603" s="1">
        <v>25</v>
      </c>
      <c r="G603" s="1">
        <v>1267</v>
      </c>
      <c r="H603">
        <f t="shared" si="27"/>
        <v>2016</v>
      </c>
      <c r="I603">
        <f t="shared" si="28"/>
        <v>2019</v>
      </c>
      <c r="J603" s="7">
        <f t="shared" si="29"/>
        <v>624409.64833964838</v>
      </c>
      <c r="K603" s="7"/>
    </row>
    <row r="604" spans="1:11" x14ac:dyDescent="0.25">
      <c r="A604" s="1" t="s">
        <v>17</v>
      </c>
      <c r="B604" s="2">
        <v>201604</v>
      </c>
      <c r="C604" s="2">
        <v>201903</v>
      </c>
      <c r="D604" s="10">
        <v>32342.010191870773</v>
      </c>
      <c r="E604" s="10">
        <v>670736.26720837469</v>
      </c>
      <c r="F604" s="1">
        <v>16</v>
      </c>
      <c r="G604" s="1">
        <v>1220</v>
      </c>
      <c r="H604">
        <f t="shared" si="27"/>
        <v>2016</v>
      </c>
      <c r="I604">
        <f t="shared" si="28"/>
        <v>2019</v>
      </c>
      <c r="J604" s="7">
        <f t="shared" si="29"/>
        <v>703078.27740024542</v>
      </c>
      <c r="K604" s="7"/>
    </row>
    <row r="605" spans="1:11" x14ac:dyDescent="0.25">
      <c r="A605" s="1" t="s">
        <v>17</v>
      </c>
      <c r="B605" s="2">
        <v>201604</v>
      </c>
      <c r="C605" s="2">
        <v>201904</v>
      </c>
      <c r="D605" s="10">
        <v>30304.941766400221</v>
      </c>
      <c r="E605" s="10">
        <v>699390.77022796776</v>
      </c>
      <c r="F605" s="1">
        <v>23</v>
      </c>
      <c r="G605" s="1">
        <v>1130</v>
      </c>
      <c r="H605">
        <f t="shared" si="27"/>
        <v>2016</v>
      </c>
      <c r="I605">
        <f t="shared" si="28"/>
        <v>2019</v>
      </c>
      <c r="J605" s="7">
        <f t="shared" si="29"/>
        <v>729695.711994368</v>
      </c>
      <c r="K605" s="7"/>
    </row>
    <row r="606" spans="1:11" x14ac:dyDescent="0.25">
      <c r="A606" s="1" t="s">
        <v>17</v>
      </c>
      <c r="B606" s="2">
        <v>201604</v>
      </c>
      <c r="C606" s="2">
        <v>202001</v>
      </c>
      <c r="D606" s="10">
        <v>68617.453140565936</v>
      </c>
      <c r="E606" s="10">
        <v>620479.20361528848</v>
      </c>
      <c r="F606" s="1">
        <v>19</v>
      </c>
      <c r="G606" s="1">
        <v>934</v>
      </c>
      <c r="H606">
        <f t="shared" si="27"/>
        <v>2016</v>
      </c>
      <c r="I606">
        <f t="shared" si="28"/>
        <v>2020</v>
      </c>
      <c r="J606" s="7">
        <f t="shared" si="29"/>
        <v>689096.65675585438</v>
      </c>
      <c r="K606" s="7"/>
    </row>
    <row r="607" spans="1:11" x14ac:dyDescent="0.25">
      <c r="A607" s="1" t="s">
        <v>17</v>
      </c>
      <c r="B607" s="2">
        <v>201604</v>
      </c>
      <c r="C607" s="2">
        <v>202002</v>
      </c>
      <c r="D607" s="10">
        <v>11928.659894552051</v>
      </c>
      <c r="E607" s="10">
        <v>610055.57716941729</v>
      </c>
      <c r="F607" s="1">
        <v>7</v>
      </c>
      <c r="G607" s="1">
        <v>854</v>
      </c>
      <c r="H607">
        <f t="shared" si="27"/>
        <v>2016</v>
      </c>
      <c r="I607">
        <f t="shared" si="28"/>
        <v>2020</v>
      </c>
      <c r="J607" s="7">
        <f t="shared" si="29"/>
        <v>621984.23706396937</v>
      </c>
      <c r="K607" s="7"/>
    </row>
    <row r="608" spans="1:11" x14ac:dyDescent="0.25">
      <c r="A608" s="1" t="s">
        <v>17</v>
      </c>
      <c r="B608" s="2">
        <v>201604</v>
      </c>
      <c r="C608" s="2">
        <v>202003</v>
      </c>
      <c r="D608" s="10">
        <v>10827.214180601562</v>
      </c>
      <c r="E608" s="10">
        <v>602722.88584852568</v>
      </c>
      <c r="F608" s="1">
        <v>5</v>
      </c>
      <c r="G608" s="1">
        <v>764</v>
      </c>
      <c r="H608">
        <f t="shared" si="27"/>
        <v>2016</v>
      </c>
      <c r="I608">
        <f t="shared" si="28"/>
        <v>2020</v>
      </c>
      <c r="J608" s="7">
        <f t="shared" si="29"/>
        <v>613550.10002912721</v>
      </c>
      <c r="K608" s="7"/>
    </row>
    <row r="609" spans="1:11" x14ac:dyDescent="0.25">
      <c r="A609" s="1" t="s">
        <v>17</v>
      </c>
      <c r="B609" s="2">
        <v>201604</v>
      </c>
      <c r="C609" s="2">
        <v>202004</v>
      </c>
      <c r="D609" s="10">
        <v>29546.810941029438</v>
      </c>
      <c r="E609" s="10">
        <v>577938.68258667469</v>
      </c>
      <c r="F609" s="1">
        <v>9</v>
      </c>
      <c r="G609" s="1">
        <v>707</v>
      </c>
      <c r="H609">
        <f t="shared" si="27"/>
        <v>2016</v>
      </c>
      <c r="I609">
        <f t="shared" si="28"/>
        <v>2020</v>
      </c>
      <c r="J609" s="7">
        <f t="shared" si="29"/>
        <v>607485.49352770415</v>
      </c>
      <c r="K609" s="7"/>
    </row>
    <row r="610" spans="1:11" x14ac:dyDescent="0.25">
      <c r="A610" s="1" t="s">
        <v>17</v>
      </c>
      <c r="B610" s="2">
        <v>201604</v>
      </c>
      <c r="C610" s="2">
        <v>202101</v>
      </c>
      <c r="D610" s="10">
        <v>21465.587931199141</v>
      </c>
      <c r="E610" s="10">
        <v>569113.57542851183</v>
      </c>
      <c r="F610" s="1">
        <v>6</v>
      </c>
      <c r="G610" s="1">
        <v>631</v>
      </c>
      <c r="H610">
        <f t="shared" si="27"/>
        <v>2016</v>
      </c>
      <c r="I610">
        <f t="shared" si="28"/>
        <v>2021</v>
      </c>
      <c r="J610" s="7">
        <f t="shared" si="29"/>
        <v>590579.16335971095</v>
      </c>
      <c r="K610" s="7"/>
    </row>
    <row r="611" spans="1:11" x14ac:dyDescent="0.25">
      <c r="A611" s="1" t="s">
        <v>17</v>
      </c>
      <c r="B611" s="2">
        <v>201604</v>
      </c>
      <c r="C611" s="2">
        <v>202102</v>
      </c>
      <c r="D611" s="10">
        <v>12053.67630260863</v>
      </c>
      <c r="E611" s="10">
        <v>569576.61724115128</v>
      </c>
      <c r="F611" s="1">
        <v>6</v>
      </c>
      <c r="G611" s="1">
        <v>591</v>
      </c>
      <c r="H611">
        <f t="shared" si="27"/>
        <v>2016</v>
      </c>
      <c r="I611">
        <f t="shared" si="28"/>
        <v>2021</v>
      </c>
      <c r="J611" s="7">
        <f t="shared" si="29"/>
        <v>581630.29354375997</v>
      </c>
      <c r="K611" s="7"/>
    </row>
    <row r="612" spans="1:11" x14ac:dyDescent="0.25">
      <c r="A612" s="1" t="s">
        <v>17</v>
      </c>
      <c r="B612" s="2">
        <v>201604</v>
      </c>
      <c r="C612" s="2">
        <v>202103</v>
      </c>
      <c r="D612" s="10">
        <v>45283.760229694919</v>
      </c>
      <c r="E612" s="10">
        <v>571778.2966403187</v>
      </c>
      <c r="F612" s="1">
        <v>8</v>
      </c>
      <c r="G612" s="1">
        <v>537</v>
      </c>
      <c r="H612">
        <f t="shared" si="27"/>
        <v>2016</v>
      </c>
      <c r="I612">
        <f t="shared" si="28"/>
        <v>2021</v>
      </c>
      <c r="J612" s="7">
        <f t="shared" si="29"/>
        <v>617062.05687001359</v>
      </c>
      <c r="K612" s="7"/>
    </row>
    <row r="613" spans="1:11" x14ac:dyDescent="0.25">
      <c r="A613" s="1" t="s">
        <v>17</v>
      </c>
      <c r="B613" s="2">
        <v>201604</v>
      </c>
      <c r="C613" s="2">
        <v>202104</v>
      </c>
      <c r="D613" s="10">
        <v>56140.386805186579</v>
      </c>
      <c r="E613" s="10">
        <v>517437.37770928186</v>
      </c>
      <c r="F613" s="1">
        <v>8</v>
      </c>
      <c r="G613" s="1">
        <v>496</v>
      </c>
      <c r="H613">
        <f t="shared" si="27"/>
        <v>2016</v>
      </c>
      <c r="I613">
        <f t="shared" si="28"/>
        <v>2021</v>
      </c>
      <c r="J613" s="7">
        <f t="shared" si="29"/>
        <v>573577.76451446849</v>
      </c>
      <c r="K613" s="7"/>
    </row>
    <row r="614" spans="1:11" x14ac:dyDescent="0.25">
      <c r="A614" s="1" t="s">
        <v>17</v>
      </c>
      <c r="B614" s="2">
        <v>201701</v>
      </c>
      <c r="C614" s="2">
        <v>201701</v>
      </c>
      <c r="D614" s="10">
        <v>96658.717552001137</v>
      </c>
      <c r="E614" s="10">
        <v>587490.08436245937</v>
      </c>
      <c r="F614" s="1">
        <v>4264</v>
      </c>
      <c r="G614" s="1">
        <v>2679</v>
      </c>
      <c r="H614">
        <f t="shared" si="27"/>
        <v>2017</v>
      </c>
      <c r="I614">
        <f t="shared" si="28"/>
        <v>2017</v>
      </c>
      <c r="J614" s="7">
        <f t="shared" si="29"/>
        <v>684148.80191446049</v>
      </c>
      <c r="K614" s="7"/>
    </row>
    <row r="615" spans="1:11" x14ac:dyDescent="0.25">
      <c r="A615" s="1" t="s">
        <v>17</v>
      </c>
      <c r="B615" s="2">
        <v>201701</v>
      </c>
      <c r="C615" s="2">
        <v>201702</v>
      </c>
      <c r="D615" s="10">
        <v>176746.5784186071</v>
      </c>
      <c r="E615" s="10">
        <v>881202.61851660442</v>
      </c>
      <c r="F615" s="1">
        <v>2875</v>
      </c>
      <c r="G615" s="1">
        <v>3703</v>
      </c>
      <c r="H615">
        <f t="shared" si="27"/>
        <v>2017</v>
      </c>
      <c r="I615">
        <f t="shared" si="28"/>
        <v>2017</v>
      </c>
      <c r="J615" s="7">
        <f t="shared" si="29"/>
        <v>1057949.1969352115</v>
      </c>
      <c r="K615" s="7"/>
    </row>
    <row r="616" spans="1:11" x14ac:dyDescent="0.25">
      <c r="A616" s="1" t="s">
        <v>17</v>
      </c>
      <c r="B616" s="2">
        <v>201701</v>
      </c>
      <c r="C616" s="2">
        <v>201703</v>
      </c>
      <c r="D616" s="10">
        <v>140749.02428554525</v>
      </c>
      <c r="E616" s="10">
        <v>917651.81392709282</v>
      </c>
      <c r="F616" s="1">
        <v>688</v>
      </c>
      <c r="G616" s="1">
        <v>3523</v>
      </c>
      <c r="H616">
        <f t="shared" si="27"/>
        <v>2017</v>
      </c>
      <c r="I616">
        <f t="shared" si="28"/>
        <v>2017</v>
      </c>
      <c r="J616" s="7">
        <f t="shared" si="29"/>
        <v>1058400.8382126382</v>
      </c>
      <c r="K616" s="7"/>
    </row>
    <row r="617" spans="1:11" x14ac:dyDescent="0.25">
      <c r="A617" s="1" t="s">
        <v>17</v>
      </c>
      <c r="B617" s="2">
        <v>201701</v>
      </c>
      <c r="C617" s="2">
        <v>201704</v>
      </c>
      <c r="D617" s="10">
        <v>98917.660969466669</v>
      </c>
      <c r="E617" s="10">
        <v>1075133.8383684952</v>
      </c>
      <c r="F617" s="1">
        <v>448</v>
      </c>
      <c r="G617" s="1">
        <v>3422</v>
      </c>
      <c r="H617">
        <f t="shared" si="27"/>
        <v>2017</v>
      </c>
      <c r="I617">
        <f t="shared" si="28"/>
        <v>2017</v>
      </c>
      <c r="J617" s="7">
        <f t="shared" si="29"/>
        <v>1174051.4993379619</v>
      </c>
      <c r="K617" s="7"/>
    </row>
    <row r="618" spans="1:11" x14ac:dyDescent="0.25">
      <c r="A618" s="1" t="s">
        <v>17</v>
      </c>
      <c r="B618" s="2">
        <v>201701</v>
      </c>
      <c r="C618" s="2">
        <v>201801</v>
      </c>
      <c r="D618" s="10">
        <v>116453.30936028698</v>
      </c>
      <c r="E618" s="10">
        <v>1003433.5918083404</v>
      </c>
      <c r="F618" s="1">
        <v>232</v>
      </c>
      <c r="G618" s="1">
        <v>3108</v>
      </c>
      <c r="H618">
        <f t="shared" si="27"/>
        <v>2017</v>
      </c>
      <c r="I618">
        <f t="shared" si="28"/>
        <v>2018</v>
      </c>
      <c r="J618" s="7">
        <f t="shared" si="29"/>
        <v>1119886.9011686274</v>
      </c>
      <c r="K618" s="7"/>
    </row>
    <row r="619" spans="1:11" x14ac:dyDescent="0.25">
      <c r="A619" s="1" t="s">
        <v>17</v>
      </c>
      <c r="B619" s="2">
        <v>201701</v>
      </c>
      <c r="C619" s="2">
        <v>201802</v>
      </c>
      <c r="D619" s="10">
        <v>155460.99696845113</v>
      </c>
      <c r="E619" s="10">
        <v>978217.41394971043</v>
      </c>
      <c r="F619" s="1">
        <v>149</v>
      </c>
      <c r="G619" s="1">
        <v>2817</v>
      </c>
      <c r="H619">
        <f t="shared" si="27"/>
        <v>2017</v>
      </c>
      <c r="I619">
        <f t="shared" si="28"/>
        <v>2018</v>
      </c>
      <c r="J619" s="7">
        <f t="shared" si="29"/>
        <v>1133678.4109181615</v>
      </c>
      <c r="K619" s="7"/>
    </row>
    <row r="620" spans="1:11" x14ac:dyDescent="0.25">
      <c r="A620" s="1" t="s">
        <v>17</v>
      </c>
      <c r="B620" s="2">
        <v>201701</v>
      </c>
      <c r="C620" s="2">
        <v>201803</v>
      </c>
      <c r="D620" s="10">
        <v>54204.660570978951</v>
      </c>
      <c r="E620" s="10">
        <v>943601.15092390962</v>
      </c>
      <c r="F620" s="1">
        <v>87</v>
      </c>
      <c r="G620" s="1">
        <v>2563</v>
      </c>
      <c r="H620">
        <f t="shared" si="27"/>
        <v>2017</v>
      </c>
      <c r="I620">
        <f t="shared" si="28"/>
        <v>2018</v>
      </c>
      <c r="J620" s="7">
        <f t="shared" si="29"/>
        <v>997805.81149488862</v>
      </c>
      <c r="K620" s="7"/>
    </row>
    <row r="621" spans="1:11" x14ac:dyDescent="0.25">
      <c r="A621" s="1" t="s">
        <v>17</v>
      </c>
      <c r="B621" s="2">
        <v>201701</v>
      </c>
      <c r="C621" s="2">
        <v>201804</v>
      </c>
      <c r="D621" s="10">
        <v>48928.220584527306</v>
      </c>
      <c r="E621" s="10">
        <v>955471.09330492036</v>
      </c>
      <c r="F621" s="1">
        <v>75</v>
      </c>
      <c r="G621" s="1">
        <v>2255</v>
      </c>
      <c r="H621">
        <f t="shared" si="27"/>
        <v>2017</v>
      </c>
      <c r="I621">
        <f t="shared" si="28"/>
        <v>2018</v>
      </c>
      <c r="J621" s="7">
        <f t="shared" si="29"/>
        <v>1004399.3138894477</v>
      </c>
      <c r="K621" s="7"/>
    </row>
    <row r="622" spans="1:11" x14ac:dyDescent="0.25">
      <c r="A622" s="1" t="s">
        <v>17</v>
      </c>
      <c r="B622" s="2">
        <v>201701</v>
      </c>
      <c r="C622" s="2">
        <v>201901</v>
      </c>
      <c r="D622" s="10">
        <v>32880.987564952207</v>
      </c>
      <c r="E622" s="10">
        <v>937839.08529214223</v>
      </c>
      <c r="F622" s="1">
        <v>58</v>
      </c>
      <c r="G622" s="1">
        <v>2078</v>
      </c>
      <c r="H622">
        <f t="shared" si="27"/>
        <v>2017</v>
      </c>
      <c r="I622">
        <f t="shared" si="28"/>
        <v>2019</v>
      </c>
      <c r="J622" s="7">
        <f t="shared" si="29"/>
        <v>970720.07285709446</v>
      </c>
      <c r="K622" s="7"/>
    </row>
    <row r="623" spans="1:11" x14ac:dyDescent="0.25">
      <c r="A623" s="1" t="s">
        <v>17</v>
      </c>
      <c r="B623" s="2">
        <v>201701</v>
      </c>
      <c r="C623" s="2">
        <v>201902</v>
      </c>
      <c r="D623" s="10">
        <v>93004.521091766161</v>
      </c>
      <c r="E623" s="10">
        <v>876836.79015336488</v>
      </c>
      <c r="F623" s="1">
        <v>44</v>
      </c>
      <c r="G623" s="1">
        <v>1718</v>
      </c>
      <c r="H623">
        <f t="shared" si="27"/>
        <v>2017</v>
      </c>
      <c r="I623">
        <f t="shared" si="28"/>
        <v>2019</v>
      </c>
      <c r="J623" s="7">
        <f t="shared" si="29"/>
        <v>969841.31124513107</v>
      </c>
      <c r="K623" s="7"/>
    </row>
    <row r="624" spans="1:11" x14ac:dyDescent="0.25">
      <c r="A624" s="1" t="s">
        <v>17</v>
      </c>
      <c r="B624" s="2">
        <v>201701</v>
      </c>
      <c r="C624" s="2">
        <v>201903</v>
      </c>
      <c r="D624" s="10">
        <v>43596.251033473309</v>
      </c>
      <c r="E624" s="10">
        <v>857116.78724672971</v>
      </c>
      <c r="F624" s="1">
        <v>48</v>
      </c>
      <c r="G624" s="1">
        <v>1667</v>
      </c>
      <c r="H624">
        <f t="shared" si="27"/>
        <v>2017</v>
      </c>
      <c r="I624">
        <f t="shared" si="28"/>
        <v>2019</v>
      </c>
      <c r="J624" s="7">
        <f t="shared" si="29"/>
        <v>900713.03828020301</v>
      </c>
      <c r="K624" s="7"/>
    </row>
    <row r="625" spans="1:11" x14ac:dyDescent="0.25">
      <c r="A625" s="1" t="s">
        <v>17</v>
      </c>
      <c r="B625" s="2">
        <v>201701</v>
      </c>
      <c r="C625" s="2">
        <v>201904</v>
      </c>
      <c r="D625" s="10">
        <v>35923.930615862373</v>
      </c>
      <c r="E625" s="10">
        <v>826571.1717429217</v>
      </c>
      <c r="F625" s="1">
        <v>39</v>
      </c>
      <c r="G625" s="1">
        <v>1579</v>
      </c>
      <c r="H625">
        <f t="shared" si="27"/>
        <v>2017</v>
      </c>
      <c r="I625">
        <f t="shared" si="28"/>
        <v>2019</v>
      </c>
      <c r="J625" s="7">
        <f t="shared" si="29"/>
        <v>862495.10235878406</v>
      </c>
      <c r="K625" s="7"/>
    </row>
    <row r="626" spans="1:11" x14ac:dyDescent="0.25">
      <c r="A626" s="1" t="s">
        <v>17</v>
      </c>
      <c r="B626" s="2">
        <v>201701</v>
      </c>
      <c r="C626" s="2">
        <v>202001</v>
      </c>
      <c r="D626" s="10">
        <v>41803.087336743505</v>
      </c>
      <c r="E626" s="10">
        <v>806383.67948223988</v>
      </c>
      <c r="F626" s="1">
        <v>43</v>
      </c>
      <c r="G626" s="1">
        <v>1286</v>
      </c>
      <c r="H626">
        <f t="shared" si="27"/>
        <v>2017</v>
      </c>
      <c r="I626">
        <f t="shared" si="28"/>
        <v>2020</v>
      </c>
      <c r="J626" s="7">
        <f t="shared" si="29"/>
        <v>848186.76681898336</v>
      </c>
      <c r="K626" s="7"/>
    </row>
    <row r="627" spans="1:11" x14ac:dyDescent="0.25">
      <c r="A627" s="1" t="s">
        <v>17</v>
      </c>
      <c r="B627" s="2">
        <v>201701</v>
      </c>
      <c r="C627" s="2">
        <v>202002</v>
      </c>
      <c r="D627" s="10">
        <v>243614.62693296367</v>
      </c>
      <c r="E627" s="10">
        <v>857493.7755357261</v>
      </c>
      <c r="F627" s="1">
        <v>27</v>
      </c>
      <c r="G627" s="1">
        <v>1180</v>
      </c>
      <c r="H627">
        <f t="shared" si="27"/>
        <v>2017</v>
      </c>
      <c r="I627">
        <f t="shared" si="28"/>
        <v>2020</v>
      </c>
      <c r="J627" s="7">
        <f t="shared" si="29"/>
        <v>1101108.4024686897</v>
      </c>
      <c r="K627" s="7"/>
    </row>
    <row r="628" spans="1:11" x14ac:dyDescent="0.25">
      <c r="A628" s="1" t="s">
        <v>17</v>
      </c>
      <c r="B628" s="2">
        <v>201701</v>
      </c>
      <c r="C628" s="2">
        <v>202003</v>
      </c>
      <c r="D628" s="10">
        <v>29894.085867091551</v>
      </c>
      <c r="E628" s="10">
        <v>828670.53641791828</v>
      </c>
      <c r="F628" s="1">
        <v>11</v>
      </c>
      <c r="G628" s="1">
        <v>1038</v>
      </c>
      <c r="H628">
        <f t="shared" si="27"/>
        <v>2017</v>
      </c>
      <c r="I628">
        <f t="shared" si="28"/>
        <v>2020</v>
      </c>
      <c r="J628" s="7">
        <f t="shared" si="29"/>
        <v>858564.62228500983</v>
      </c>
      <c r="K628" s="7"/>
    </row>
    <row r="629" spans="1:11" x14ac:dyDescent="0.25">
      <c r="A629" s="1" t="s">
        <v>17</v>
      </c>
      <c r="B629" s="2">
        <v>201701</v>
      </c>
      <c r="C629" s="2">
        <v>202004</v>
      </c>
      <c r="D629" s="10">
        <v>18517.835985726972</v>
      </c>
      <c r="E629" s="10">
        <v>817192.1253178562</v>
      </c>
      <c r="F629" s="1">
        <v>20</v>
      </c>
      <c r="G629" s="1">
        <v>997</v>
      </c>
      <c r="H629">
        <f t="shared" si="27"/>
        <v>2017</v>
      </c>
      <c r="I629">
        <f t="shared" si="28"/>
        <v>2020</v>
      </c>
      <c r="J629" s="7">
        <f t="shared" si="29"/>
        <v>835709.96130358323</v>
      </c>
      <c r="K629" s="7"/>
    </row>
    <row r="630" spans="1:11" x14ac:dyDescent="0.25">
      <c r="A630" s="1" t="s">
        <v>17</v>
      </c>
      <c r="B630" s="2">
        <v>201701</v>
      </c>
      <c r="C630" s="2">
        <v>202101</v>
      </c>
      <c r="D630" s="10">
        <v>40319.896135575204</v>
      </c>
      <c r="E630" s="10">
        <v>816109.43500348786</v>
      </c>
      <c r="F630" s="1">
        <v>25</v>
      </c>
      <c r="G630" s="1">
        <v>873</v>
      </c>
      <c r="H630">
        <f t="shared" si="27"/>
        <v>2017</v>
      </c>
      <c r="I630">
        <f t="shared" si="28"/>
        <v>2021</v>
      </c>
      <c r="J630" s="7">
        <f t="shared" si="29"/>
        <v>856429.33113906311</v>
      </c>
      <c r="K630" s="7"/>
    </row>
    <row r="631" spans="1:11" x14ac:dyDescent="0.25">
      <c r="A631" s="1" t="s">
        <v>17</v>
      </c>
      <c r="B631" s="2">
        <v>201701</v>
      </c>
      <c r="C631" s="2">
        <v>202102</v>
      </c>
      <c r="D631" s="10">
        <v>14366.984295176904</v>
      </c>
      <c r="E631" s="10">
        <v>810034.98060814245</v>
      </c>
      <c r="F631" s="1">
        <v>15</v>
      </c>
      <c r="G631" s="1">
        <v>799</v>
      </c>
      <c r="H631">
        <f t="shared" si="27"/>
        <v>2017</v>
      </c>
      <c r="I631">
        <f t="shared" si="28"/>
        <v>2021</v>
      </c>
      <c r="J631" s="7">
        <f t="shared" si="29"/>
        <v>824401.96490331937</v>
      </c>
      <c r="K631" s="7"/>
    </row>
    <row r="632" spans="1:11" x14ac:dyDescent="0.25">
      <c r="A632" s="1" t="s">
        <v>17</v>
      </c>
      <c r="B632" s="2">
        <v>201701</v>
      </c>
      <c r="C632" s="2">
        <v>202103</v>
      </c>
      <c r="D632" s="10">
        <v>24314.065904141109</v>
      </c>
      <c r="E632" s="10">
        <v>802801.19926423603</v>
      </c>
      <c r="F632" s="1">
        <v>8</v>
      </c>
      <c r="G632" s="1">
        <v>718</v>
      </c>
      <c r="H632">
        <f t="shared" si="27"/>
        <v>2017</v>
      </c>
      <c r="I632">
        <f t="shared" si="28"/>
        <v>2021</v>
      </c>
      <c r="J632" s="7">
        <f t="shared" si="29"/>
        <v>827115.26516837708</v>
      </c>
      <c r="K632" s="7"/>
    </row>
    <row r="633" spans="1:11" x14ac:dyDescent="0.25">
      <c r="A633" s="1" t="s">
        <v>17</v>
      </c>
      <c r="B633" s="2">
        <v>201701</v>
      </c>
      <c r="C633" s="2">
        <v>202104</v>
      </c>
      <c r="D633" s="10">
        <v>14038.408751821855</v>
      </c>
      <c r="E633" s="10">
        <v>997686.30123120849</v>
      </c>
      <c r="F633" s="1">
        <v>14</v>
      </c>
      <c r="G633" s="1">
        <v>664</v>
      </c>
      <c r="H633">
        <f t="shared" si="27"/>
        <v>2017</v>
      </c>
      <c r="I633">
        <f t="shared" si="28"/>
        <v>2021</v>
      </c>
      <c r="J633" s="7">
        <f t="shared" si="29"/>
        <v>1011724.7099830303</v>
      </c>
      <c r="K633" s="7"/>
    </row>
    <row r="634" spans="1:11" x14ac:dyDescent="0.25">
      <c r="A634" s="1" t="s">
        <v>17</v>
      </c>
      <c r="B634" s="2">
        <v>201702</v>
      </c>
      <c r="C634" s="2">
        <v>201702</v>
      </c>
      <c r="D634" s="10">
        <v>81434.216608781164</v>
      </c>
      <c r="E634" s="10">
        <v>472611.66964516486</v>
      </c>
      <c r="F634" s="1">
        <v>4076</v>
      </c>
      <c r="G634" s="1">
        <v>2571</v>
      </c>
      <c r="H634">
        <f t="shared" si="27"/>
        <v>2017</v>
      </c>
      <c r="I634">
        <f t="shared" si="28"/>
        <v>2017</v>
      </c>
      <c r="J634" s="7">
        <f t="shared" si="29"/>
        <v>554045.886253946</v>
      </c>
      <c r="K634" s="7"/>
    </row>
    <row r="635" spans="1:11" x14ac:dyDescent="0.25">
      <c r="A635" s="1" t="s">
        <v>17</v>
      </c>
      <c r="B635" s="2">
        <v>201702</v>
      </c>
      <c r="C635" s="2">
        <v>201703</v>
      </c>
      <c r="D635" s="10">
        <v>186872.74435501584</v>
      </c>
      <c r="E635" s="10">
        <v>740318.79393515724</v>
      </c>
      <c r="F635" s="1">
        <v>2910</v>
      </c>
      <c r="G635" s="1">
        <v>3323</v>
      </c>
      <c r="H635">
        <f t="shared" si="27"/>
        <v>2017</v>
      </c>
      <c r="I635">
        <f t="shared" si="28"/>
        <v>2017</v>
      </c>
      <c r="J635" s="7">
        <f t="shared" si="29"/>
        <v>927191.53829017305</v>
      </c>
      <c r="K635" s="7"/>
    </row>
    <row r="636" spans="1:11" x14ac:dyDescent="0.25">
      <c r="A636" s="1" t="s">
        <v>17</v>
      </c>
      <c r="B636" s="2">
        <v>201702</v>
      </c>
      <c r="C636" s="2">
        <v>201704</v>
      </c>
      <c r="D636" s="10">
        <v>123472.33005867492</v>
      </c>
      <c r="E636" s="10">
        <v>789539.12217414437</v>
      </c>
      <c r="F636" s="1">
        <v>679</v>
      </c>
      <c r="G636" s="1">
        <v>3032</v>
      </c>
      <c r="H636">
        <f t="shared" si="27"/>
        <v>2017</v>
      </c>
      <c r="I636">
        <f t="shared" si="28"/>
        <v>2017</v>
      </c>
      <c r="J636" s="7">
        <f t="shared" si="29"/>
        <v>913011.45223281928</v>
      </c>
      <c r="K636" s="7"/>
    </row>
    <row r="637" spans="1:11" x14ac:dyDescent="0.25">
      <c r="A637" s="1" t="s">
        <v>17</v>
      </c>
      <c r="B637" s="2">
        <v>201702</v>
      </c>
      <c r="C637" s="2">
        <v>201801</v>
      </c>
      <c r="D637" s="10">
        <v>161594.62767903417</v>
      </c>
      <c r="E637" s="10">
        <v>753723.96298998815</v>
      </c>
      <c r="F637" s="1">
        <v>289</v>
      </c>
      <c r="G637" s="1">
        <v>2713</v>
      </c>
      <c r="H637">
        <f t="shared" si="27"/>
        <v>2017</v>
      </c>
      <c r="I637">
        <f t="shared" si="28"/>
        <v>2018</v>
      </c>
      <c r="J637" s="7">
        <f t="shared" si="29"/>
        <v>915318.59066902229</v>
      </c>
      <c r="K637" s="7"/>
    </row>
    <row r="638" spans="1:11" x14ac:dyDescent="0.25">
      <c r="A638" s="1" t="s">
        <v>17</v>
      </c>
      <c r="B638" s="2">
        <v>201702</v>
      </c>
      <c r="C638" s="2">
        <v>201802</v>
      </c>
      <c r="D638" s="10">
        <v>100562.17274998128</v>
      </c>
      <c r="E638" s="10">
        <v>710175.99434426019</v>
      </c>
      <c r="F638" s="1">
        <v>161</v>
      </c>
      <c r="G638" s="1">
        <v>2409</v>
      </c>
      <c r="H638">
        <f t="shared" si="27"/>
        <v>2017</v>
      </c>
      <c r="I638">
        <f t="shared" si="28"/>
        <v>2018</v>
      </c>
      <c r="J638" s="7">
        <f t="shared" si="29"/>
        <v>810738.16709424148</v>
      </c>
      <c r="K638" s="7"/>
    </row>
    <row r="639" spans="1:11" x14ac:dyDescent="0.25">
      <c r="A639" s="1" t="s">
        <v>17</v>
      </c>
      <c r="B639" s="2">
        <v>201702</v>
      </c>
      <c r="C639" s="2">
        <v>201803</v>
      </c>
      <c r="D639" s="10">
        <v>38565.271515643981</v>
      </c>
      <c r="E639" s="10">
        <v>724196.34493824514</v>
      </c>
      <c r="F639" s="1">
        <v>111</v>
      </c>
      <c r="G639" s="1">
        <v>2300</v>
      </c>
      <c r="H639">
        <f t="shared" si="27"/>
        <v>2017</v>
      </c>
      <c r="I639">
        <f t="shared" si="28"/>
        <v>2018</v>
      </c>
      <c r="J639" s="7">
        <f t="shared" si="29"/>
        <v>762761.61645388906</v>
      </c>
      <c r="K639" s="7"/>
    </row>
    <row r="640" spans="1:11" x14ac:dyDescent="0.25">
      <c r="A640" s="1" t="s">
        <v>17</v>
      </c>
      <c r="B640" s="2">
        <v>201702</v>
      </c>
      <c r="C640" s="2">
        <v>201804</v>
      </c>
      <c r="D640" s="10">
        <v>29186.49237409827</v>
      </c>
      <c r="E640" s="10">
        <v>754471.31160566176</v>
      </c>
      <c r="F640" s="1">
        <v>68</v>
      </c>
      <c r="G640" s="1">
        <v>2007</v>
      </c>
      <c r="H640">
        <f t="shared" si="27"/>
        <v>2017</v>
      </c>
      <c r="I640">
        <f t="shared" si="28"/>
        <v>2018</v>
      </c>
      <c r="J640" s="7">
        <f t="shared" si="29"/>
        <v>783657.80397976004</v>
      </c>
      <c r="K640" s="7"/>
    </row>
    <row r="641" spans="1:11" x14ac:dyDescent="0.25">
      <c r="A641" s="1" t="s">
        <v>17</v>
      </c>
      <c r="B641" s="2">
        <v>201702</v>
      </c>
      <c r="C641" s="2">
        <v>201901</v>
      </c>
      <c r="D641" s="10">
        <v>49323.55126339315</v>
      </c>
      <c r="E641" s="10">
        <v>703205.62693302112</v>
      </c>
      <c r="F641" s="1">
        <v>62</v>
      </c>
      <c r="G641" s="1">
        <v>1818</v>
      </c>
      <c r="H641">
        <f t="shared" si="27"/>
        <v>2017</v>
      </c>
      <c r="I641">
        <f t="shared" si="28"/>
        <v>2019</v>
      </c>
      <c r="J641" s="7">
        <f t="shared" si="29"/>
        <v>752529.17819641426</v>
      </c>
      <c r="K641" s="7"/>
    </row>
    <row r="642" spans="1:11" x14ac:dyDescent="0.25">
      <c r="A642" s="1" t="s">
        <v>17</v>
      </c>
      <c r="B642" s="2">
        <v>201702</v>
      </c>
      <c r="C642" s="2">
        <v>201902</v>
      </c>
      <c r="D642" s="10">
        <v>93721.14550603657</v>
      </c>
      <c r="E642" s="10">
        <v>681181.8914118025</v>
      </c>
      <c r="F642" s="1">
        <v>44</v>
      </c>
      <c r="G642" s="1">
        <v>1621</v>
      </c>
      <c r="H642">
        <f t="shared" si="27"/>
        <v>2017</v>
      </c>
      <c r="I642">
        <f t="shared" si="28"/>
        <v>2019</v>
      </c>
      <c r="J642" s="7">
        <f t="shared" si="29"/>
        <v>774903.03691783908</v>
      </c>
      <c r="K642" s="7"/>
    </row>
    <row r="643" spans="1:11" x14ac:dyDescent="0.25">
      <c r="A643" s="1" t="s">
        <v>17</v>
      </c>
      <c r="B643" s="2">
        <v>201702</v>
      </c>
      <c r="C643" s="2">
        <v>201903</v>
      </c>
      <c r="D643" s="10">
        <v>28981.543104210334</v>
      </c>
      <c r="E643" s="10">
        <v>702090.41863005538</v>
      </c>
      <c r="F643" s="1">
        <v>25</v>
      </c>
      <c r="G643" s="1">
        <v>1582</v>
      </c>
      <c r="H643">
        <f t="shared" si="27"/>
        <v>2017</v>
      </c>
      <c r="I643">
        <f t="shared" si="28"/>
        <v>2019</v>
      </c>
      <c r="J643" s="7">
        <f t="shared" si="29"/>
        <v>731071.96173426567</v>
      </c>
      <c r="K643" s="7"/>
    </row>
    <row r="644" spans="1:11" x14ac:dyDescent="0.25">
      <c r="A644" s="1" t="s">
        <v>17</v>
      </c>
      <c r="B644" s="2">
        <v>201702</v>
      </c>
      <c r="C644" s="2">
        <v>201904</v>
      </c>
      <c r="D644" s="10">
        <v>39803.539274213661</v>
      </c>
      <c r="E644" s="10">
        <v>686980.86595551902</v>
      </c>
      <c r="F644" s="1">
        <v>33</v>
      </c>
      <c r="G644" s="1">
        <v>1473</v>
      </c>
      <c r="H644">
        <f t="shared" ref="H644:H707" si="30">VALUE(LEFT(B644,4))</f>
        <v>2017</v>
      </c>
      <c r="I644">
        <f t="shared" ref="I644:I707" si="31">VALUE(LEFT(C644,4))</f>
        <v>2019</v>
      </c>
      <c r="J644" s="7">
        <f t="shared" si="29"/>
        <v>726784.40522973263</v>
      </c>
      <c r="K644" s="7"/>
    </row>
    <row r="645" spans="1:11" x14ac:dyDescent="0.25">
      <c r="A645" s="1" t="s">
        <v>17</v>
      </c>
      <c r="B645" s="2">
        <v>201702</v>
      </c>
      <c r="C645" s="2">
        <v>202001</v>
      </c>
      <c r="D645" s="10">
        <v>56320.93912491011</v>
      </c>
      <c r="E645" s="10">
        <v>600047.81836963352</v>
      </c>
      <c r="F645" s="1">
        <v>20</v>
      </c>
      <c r="G645" s="1">
        <v>1198</v>
      </c>
      <c r="H645">
        <f t="shared" si="30"/>
        <v>2017</v>
      </c>
      <c r="I645">
        <f t="shared" si="31"/>
        <v>2020</v>
      </c>
      <c r="J645" s="7">
        <f t="shared" ref="J645:J708" si="32">D645+E645</f>
        <v>656368.75749454368</v>
      </c>
      <c r="K645" s="7"/>
    </row>
    <row r="646" spans="1:11" x14ac:dyDescent="0.25">
      <c r="A646" s="1" t="s">
        <v>17</v>
      </c>
      <c r="B646" s="2">
        <v>201702</v>
      </c>
      <c r="C646" s="2">
        <v>202002</v>
      </c>
      <c r="D646" s="10">
        <v>16296.463921296701</v>
      </c>
      <c r="E646" s="10">
        <v>575772.59119704133</v>
      </c>
      <c r="F646" s="1">
        <v>15</v>
      </c>
      <c r="G646" s="1">
        <v>1077</v>
      </c>
      <c r="H646">
        <f t="shared" si="30"/>
        <v>2017</v>
      </c>
      <c r="I646">
        <f t="shared" si="31"/>
        <v>2020</v>
      </c>
      <c r="J646" s="7">
        <f t="shared" si="32"/>
        <v>592069.05511833797</v>
      </c>
      <c r="K646" s="7"/>
    </row>
    <row r="647" spans="1:11" x14ac:dyDescent="0.25">
      <c r="A647" s="1" t="s">
        <v>17</v>
      </c>
      <c r="B647" s="2">
        <v>201702</v>
      </c>
      <c r="C647" s="2">
        <v>202003</v>
      </c>
      <c r="D647" s="10">
        <v>34201.792966862471</v>
      </c>
      <c r="E647" s="10">
        <v>564533.95753462962</v>
      </c>
      <c r="F647" s="1">
        <v>6</v>
      </c>
      <c r="G647" s="1">
        <v>951</v>
      </c>
      <c r="H647">
        <f t="shared" si="30"/>
        <v>2017</v>
      </c>
      <c r="I647">
        <f t="shared" si="31"/>
        <v>2020</v>
      </c>
      <c r="J647" s="7">
        <f t="shared" si="32"/>
        <v>598735.75050149206</v>
      </c>
      <c r="K647" s="7"/>
    </row>
    <row r="648" spans="1:11" x14ac:dyDescent="0.25">
      <c r="A648" s="1" t="s">
        <v>17</v>
      </c>
      <c r="B648" s="2">
        <v>201702</v>
      </c>
      <c r="C648" s="2">
        <v>202004</v>
      </c>
      <c r="D648" s="10">
        <v>32657.526576563007</v>
      </c>
      <c r="E648" s="10">
        <v>570058.44824749534</v>
      </c>
      <c r="F648" s="1">
        <v>8</v>
      </c>
      <c r="G648" s="1">
        <v>840</v>
      </c>
      <c r="H648">
        <f t="shared" si="30"/>
        <v>2017</v>
      </c>
      <c r="I648">
        <f t="shared" si="31"/>
        <v>2020</v>
      </c>
      <c r="J648" s="7">
        <f t="shared" si="32"/>
        <v>602715.97482405836</v>
      </c>
      <c r="K648" s="7"/>
    </row>
    <row r="649" spans="1:11" x14ac:dyDescent="0.25">
      <c r="A649" s="1" t="s">
        <v>17</v>
      </c>
      <c r="B649" s="2">
        <v>201702</v>
      </c>
      <c r="C649" s="2">
        <v>202101</v>
      </c>
      <c r="D649" s="10">
        <v>40883.389439761602</v>
      </c>
      <c r="E649" s="10">
        <v>572660.78263424477</v>
      </c>
      <c r="F649" s="1">
        <v>13</v>
      </c>
      <c r="G649" s="1">
        <v>733</v>
      </c>
      <c r="H649">
        <f t="shared" si="30"/>
        <v>2017</v>
      </c>
      <c r="I649">
        <f t="shared" si="31"/>
        <v>2021</v>
      </c>
      <c r="J649" s="7">
        <f t="shared" si="32"/>
        <v>613544.1720740064</v>
      </c>
      <c r="K649" s="7"/>
    </row>
    <row r="650" spans="1:11" x14ac:dyDescent="0.25">
      <c r="A650" s="1" t="s">
        <v>17</v>
      </c>
      <c r="B650" s="2">
        <v>201702</v>
      </c>
      <c r="C650" s="2">
        <v>202102</v>
      </c>
      <c r="D650" s="10">
        <v>38410.616225376565</v>
      </c>
      <c r="E650" s="10">
        <v>564804.92826876242</v>
      </c>
      <c r="F650" s="1">
        <v>6</v>
      </c>
      <c r="G650" s="1">
        <v>689</v>
      </c>
      <c r="H650">
        <f t="shared" si="30"/>
        <v>2017</v>
      </c>
      <c r="I650">
        <f t="shared" si="31"/>
        <v>2021</v>
      </c>
      <c r="J650" s="7">
        <f t="shared" si="32"/>
        <v>603215.54449413903</v>
      </c>
      <c r="K650" s="7"/>
    </row>
    <row r="651" spans="1:11" x14ac:dyDescent="0.25">
      <c r="A651" s="1" t="s">
        <v>17</v>
      </c>
      <c r="B651" s="2">
        <v>201702</v>
      </c>
      <c r="C651" s="2">
        <v>202103</v>
      </c>
      <c r="D651" s="10">
        <v>24065.089545356357</v>
      </c>
      <c r="E651" s="10">
        <v>559114.23959557619</v>
      </c>
      <c r="F651" s="1">
        <v>9</v>
      </c>
      <c r="G651" s="1">
        <v>645</v>
      </c>
      <c r="H651">
        <f t="shared" si="30"/>
        <v>2017</v>
      </c>
      <c r="I651">
        <f t="shared" si="31"/>
        <v>2021</v>
      </c>
      <c r="J651" s="7">
        <f t="shared" si="32"/>
        <v>583179.32914093253</v>
      </c>
      <c r="K651" s="7"/>
    </row>
    <row r="652" spans="1:11" x14ac:dyDescent="0.25">
      <c r="A652" s="1" t="s">
        <v>17</v>
      </c>
      <c r="B652" s="2">
        <v>201702</v>
      </c>
      <c r="C652" s="2">
        <v>202104</v>
      </c>
      <c r="D652" s="10">
        <v>25750.426318894704</v>
      </c>
      <c r="E652" s="10">
        <v>463657.92531109811</v>
      </c>
      <c r="F652" s="1">
        <v>6</v>
      </c>
      <c r="G652" s="1">
        <v>566</v>
      </c>
      <c r="H652">
        <f t="shared" si="30"/>
        <v>2017</v>
      </c>
      <c r="I652">
        <f t="shared" si="31"/>
        <v>2021</v>
      </c>
      <c r="J652" s="7">
        <f t="shared" si="32"/>
        <v>489408.35162999283</v>
      </c>
      <c r="K652" s="7"/>
    </row>
    <row r="653" spans="1:11" x14ac:dyDescent="0.25">
      <c r="A653" s="1" t="s">
        <v>17</v>
      </c>
      <c r="B653" s="2">
        <v>201703</v>
      </c>
      <c r="C653" s="2">
        <v>201703</v>
      </c>
      <c r="D653" s="10">
        <v>80209.702628755287</v>
      </c>
      <c r="E653" s="10">
        <v>603964.87644376536</v>
      </c>
      <c r="F653" s="1">
        <v>4880</v>
      </c>
      <c r="G653" s="1">
        <v>3337</v>
      </c>
      <c r="H653">
        <f t="shared" si="30"/>
        <v>2017</v>
      </c>
      <c r="I653">
        <f t="shared" si="31"/>
        <v>2017</v>
      </c>
      <c r="J653" s="7">
        <f t="shared" si="32"/>
        <v>684174.5790725206</v>
      </c>
      <c r="K653" s="7"/>
    </row>
    <row r="654" spans="1:11" x14ac:dyDescent="0.25">
      <c r="A654" s="1" t="s">
        <v>17</v>
      </c>
      <c r="B654" s="2">
        <v>201703</v>
      </c>
      <c r="C654" s="2">
        <v>201704</v>
      </c>
      <c r="D654" s="10">
        <v>255257.59182407759</v>
      </c>
      <c r="E654" s="10">
        <v>813523.94852641411</v>
      </c>
      <c r="F654" s="1">
        <v>2904</v>
      </c>
      <c r="G654" s="1">
        <v>3725</v>
      </c>
      <c r="H654">
        <f t="shared" si="30"/>
        <v>2017</v>
      </c>
      <c r="I654">
        <f t="shared" si="31"/>
        <v>2017</v>
      </c>
      <c r="J654" s="7">
        <f t="shared" si="32"/>
        <v>1068781.5403504916</v>
      </c>
      <c r="K654" s="7"/>
    </row>
    <row r="655" spans="1:11" x14ac:dyDescent="0.25">
      <c r="A655" s="1" t="s">
        <v>17</v>
      </c>
      <c r="B655" s="2">
        <v>201703</v>
      </c>
      <c r="C655" s="2">
        <v>201801</v>
      </c>
      <c r="D655" s="10">
        <v>191535.74416451436</v>
      </c>
      <c r="E655" s="10">
        <v>793891.74469087773</v>
      </c>
      <c r="F655" s="1">
        <v>727</v>
      </c>
      <c r="G655" s="1">
        <v>3170</v>
      </c>
      <c r="H655">
        <f t="shared" si="30"/>
        <v>2017</v>
      </c>
      <c r="I655">
        <f t="shared" si="31"/>
        <v>2018</v>
      </c>
      <c r="J655" s="7">
        <f t="shared" si="32"/>
        <v>985427.48885539209</v>
      </c>
      <c r="K655" s="7"/>
    </row>
    <row r="656" spans="1:11" x14ac:dyDescent="0.25">
      <c r="A656" s="1" t="s">
        <v>17</v>
      </c>
      <c r="B656" s="2">
        <v>201703</v>
      </c>
      <c r="C656" s="2">
        <v>201802</v>
      </c>
      <c r="D656" s="10">
        <v>92681.017327885478</v>
      </c>
      <c r="E656" s="10">
        <v>812233.44348027639</v>
      </c>
      <c r="F656" s="1">
        <v>286</v>
      </c>
      <c r="G656" s="1">
        <v>2926</v>
      </c>
      <c r="H656">
        <f t="shared" si="30"/>
        <v>2017</v>
      </c>
      <c r="I656">
        <f t="shared" si="31"/>
        <v>2018</v>
      </c>
      <c r="J656" s="7">
        <f t="shared" si="32"/>
        <v>904914.46080816188</v>
      </c>
      <c r="K656" s="7"/>
    </row>
    <row r="657" spans="1:11" x14ac:dyDescent="0.25">
      <c r="A657" s="1" t="s">
        <v>17</v>
      </c>
      <c r="B657" s="2">
        <v>201703</v>
      </c>
      <c r="C657" s="2">
        <v>201803</v>
      </c>
      <c r="D657" s="10">
        <v>81476.908264140104</v>
      </c>
      <c r="E657" s="10">
        <v>845033.83548008732</v>
      </c>
      <c r="F657" s="1">
        <v>176</v>
      </c>
      <c r="G657" s="1">
        <v>2746</v>
      </c>
      <c r="H657">
        <f t="shared" si="30"/>
        <v>2017</v>
      </c>
      <c r="I657">
        <f t="shared" si="31"/>
        <v>2018</v>
      </c>
      <c r="J657" s="7">
        <f t="shared" si="32"/>
        <v>926510.74374422745</v>
      </c>
      <c r="K657" s="7"/>
    </row>
    <row r="658" spans="1:11" x14ac:dyDescent="0.25">
      <c r="A658" s="1" t="s">
        <v>17</v>
      </c>
      <c r="B658" s="2">
        <v>201703</v>
      </c>
      <c r="C658" s="2">
        <v>201804</v>
      </c>
      <c r="D658" s="10">
        <v>111608.9017970811</v>
      </c>
      <c r="E658" s="10">
        <v>831228.96610289952</v>
      </c>
      <c r="F658" s="1">
        <v>118</v>
      </c>
      <c r="G658" s="1">
        <v>2423</v>
      </c>
      <c r="H658">
        <f t="shared" si="30"/>
        <v>2017</v>
      </c>
      <c r="I658">
        <f t="shared" si="31"/>
        <v>2018</v>
      </c>
      <c r="J658" s="7">
        <f t="shared" si="32"/>
        <v>942837.86789998063</v>
      </c>
      <c r="K658" s="7"/>
    </row>
    <row r="659" spans="1:11" x14ac:dyDescent="0.25">
      <c r="A659" s="1" t="s">
        <v>17</v>
      </c>
      <c r="B659" s="2">
        <v>201703</v>
      </c>
      <c r="C659" s="2">
        <v>201901</v>
      </c>
      <c r="D659" s="10">
        <v>51409.149644199111</v>
      </c>
      <c r="E659" s="10">
        <v>764199.78547660331</v>
      </c>
      <c r="F659" s="1">
        <v>67</v>
      </c>
      <c r="G659" s="1">
        <v>2148</v>
      </c>
      <c r="H659">
        <f t="shared" si="30"/>
        <v>2017</v>
      </c>
      <c r="I659">
        <f t="shared" si="31"/>
        <v>2019</v>
      </c>
      <c r="J659" s="7">
        <f t="shared" si="32"/>
        <v>815608.93512080237</v>
      </c>
      <c r="K659" s="7"/>
    </row>
    <row r="660" spans="1:11" x14ac:dyDescent="0.25">
      <c r="A660" s="1" t="s">
        <v>17</v>
      </c>
      <c r="B660" s="2">
        <v>201703</v>
      </c>
      <c r="C660" s="2">
        <v>201902</v>
      </c>
      <c r="D660" s="10">
        <v>40051.053086647124</v>
      </c>
      <c r="E660" s="10">
        <v>751200.31730879121</v>
      </c>
      <c r="F660" s="1">
        <v>53</v>
      </c>
      <c r="G660" s="1">
        <v>1972</v>
      </c>
      <c r="H660">
        <f t="shared" si="30"/>
        <v>2017</v>
      </c>
      <c r="I660">
        <f t="shared" si="31"/>
        <v>2019</v>
      </c>
      <c r="J660" s="7">
        <f t="shared" si="32"/>
        <v>791251.37039543828</v>
      </c>
      <c r="K660" s="7"/>
    </row>
    <row r="661" spans="1:11" x14ac:dyDescent="0.25">
      <c r="A661" s="1" t="s">
        <v>17</v>
      </c>
      <c r="B661" s="2">
        <v>201703</v>
      </c>
      <c r="C661" s="2">
        <v>201903</v>
      </c>
      <c r="D661" s="10">
        <v>73504.312289803362</v>
      </c>
      <c r="E661" s="10">
        <v>701439.75147147663</v>
      </c>
      <c r="F661" s="1">
        <v>39</v>
      </c>
      <c r="G661" s="1">
        <v>1816</v>
      </c>
      <c r="H661">
        <f t="shared" si="30"/>
        <v>2017</v>
      </c>
      <c r="I661">
        <f t="shared" si="31"/>
        <v>2019</v>
      </c>
      <c r="J661" s="7">
        <f t="shared" si="32"/>
        <v>774944.06376128003</v>
      </c>
      <c r="K661" s="7"/>
    </row>
    <row r="662" spans="1:11" x14ac:dyDescent="0.25">
      <c r="A662" s="1" t="s">
        <v>17</v>
      </c>
      <c r="B662" s="2">
        <v>201703</v>
      </c>
      <c r="C662" s="2">
        <v>201904</v>
      </c>
      <c r="D662" s="10">
        <v>31362.712900004339</v>
      </c>
      <c r="E662" s="10">
        <v>698366.21454776963</v>
      </c>
      <c r="F662" s="1">
        <v>39</v>
      </c>
      <c r="G662" s="1">
        <v>1750</v>
      </c>
      <c r="H662">
        <f t="shared" si="30"/>
        <v>2017</v>
      </c>
      <c r="I662">
        <f t="shared" si="31"/>
        <v>2019</v>
      </c>
      <c r="J662" s="7">
        <f t="shared" si="32"/>
        <v>729728.92744777398</v>
      </c>
      <c r="K662" s="7"/>
    </row>
    <row r="663" spans="1:11" x14ac:dyDescent="0.25">
      <c r="A663" s="1" t="s">
        <v>17</v>
      </c>
      <c r="B663" s="2">
        <v>201703</v>
      </c>
      <c r="C663" s="2">
        <v>202001</v>
      </c>
      <c r="D663" s="10">
        <v>25919.959891774619</v>
      </c>
      <c r="E663" s="10">
        <v>615614.70345257327</v>
      </c>
      <c r="F663" s="1">
        <v>21</v>
      </c>
      <c r="G663" s="1">
        <v>1368</v>
      </c>
      <c r="H663">
        <f t="shared" si="30"/>
        <v>2017</v>
      </c>
      <c r="I663">
        <f t="shared" si="31"/>
        <v>2020</v>
      </c>
      <c r="J663" s="7">
        <f t="shared" si="32"/>
        <v>641534.66334434785</v>
      </c>
      <c r="K663" s="7"/>
    </row>
    <row r="664" spans="1:11" x14ac:dyDescent="0.25">
      <c r="A664" s="1" t="s">
        <v>17</v>
      </c>
      <c r="B664" s="2">
        <v>201703</v>
      </c>
      <c r="C664" s="2">
        <v>202002</v>
      </c>
      <c r="D664" s="10">
        <v>34110.645794584198</v>
      </c>
      <c r="E664" s="10">
        <v>668168.28051926219</v>
      </c>
      <c r="F664" s="1">
        <v>27</v>
      </c>
      <c r="G664" s="1">
        <v>1245</v>
      </c>
      <c r="H664">
        <f t="shared" si="30"/>
        <v>2017</v>
      </c>
      <c r="I664">
        <f t="shared" si="31"/>
        <v>2020</v>
      </c>
      <c r="J664" s="7">
        <f t="shared" si="32"/>
        <v>702278.92631384637</v>
      </c>
      <c r="K664" s="7"/>
    </row>
    <row r="665" spans="1:11" x14ac:dyDescent="0.25">
      <c r="A665" s="1" t="s">
        <v>17</v>
      </c>
      <c r="B665" s="2">
        <v>201703</v>
      </c>
      <c r="C665" s="2">
        <v>202003</v>
      </c>
      <c r="D665" s="10">
        <v>67579.46893376451</v>
      </c>
      <c r="E665" s="10">
        <v>651278.6827226195</v>
      </c>
      <c r="F665" s="1">
        <v>25</v>
      </c>
      <c r="G665" s="1">
        <v>1079</v>
      </c>
      <c r="H665">
        <f t="shared" si="30"/>
        <v>2017</v>
      </c>
      <c r="I665">
        <f t="shared" si="31"/>
        <v>2020</v>
      </c>
      <c r="J665" s="7">
        <f t="shared" si="32"/>
        <v>718858.151656384</v>
      </c>
      <c r="K665" s="7"/>
    </row>
    <row r="666" spans="1:11" x14ac:dyDescent="0.25">
      <c r="A666" s="1" t="s">
        <v>17</v>
      </c>
      <c r="B666" s="2">
        <v>201703</v>
      </c>
      <c r="C666" s="2">
        <v>202004</v>
      </c>
      <c r="D666" s="10">
        <v>11858.854225529652</v>
      </c>
      <c r="E666" s="10">
        <v>675636.49269985687</v>
      </c>
      <c r="F666" s="1">
        <v>16</v>
      </c>
      <c r="G666" s="1">
        <v>980</v>
      </c>
      <c r="H666">
        <f t="shared" si="30"/>
        <v>2017</v>
      </c>
      <c r="I666">
        <f t="shared" si="31"/>
        <v>2020</v>
      </c>
      <c r="J666" s="7">
        <f t="shared" si="32"/>
        <v>687495.34692538658</v>
      </c>
      <c r="K666" s="7"/>
    </row>
    <row r="667" spans="1:11" x14ac:dyDescent="0.25">
      <c r="A667" s="1" t="s">
        <v>17</v>
      </c>
      <c r="B667" s="2">
        <v>201703</v>
      </c>
      <c r="C667" s="2">
        <v>202101</v>
      </c>
      <c r="D667" s="10">
        <v>29287.452666382502</v>
      </c>
      <c r="E667" s="10">
        <v>680330.56430855708</v>
      </c>
      <c r="F667" s="1">
        <v>10</v>
      </c>
      <c r="G667" s="1">
        <v>823</v>
      </c>
      <c r="H667">
        <f t="shared" si="30"/>
        <v>2017</v>
      </c>
      <c r="I667">
        <f t="shared" si="31"/>
        <v>2021</v>
      </c>
      <c r="J667" s="7">
        <f t="shared" si="32"/>
        <v>709618.01697493962</v>
      </c>
      <c r="K667" s="7"/>
    </row>
    <row r="668" spans="1:11" x14ac:dyDescent="0.25">
      <c r="A668" s="1" t="s">
        <v>17</v>
      </c>
      <c r="B668" s="2">
        <v>201703</v>
      </c>
      <c r="C668" s="2">
        <v>202102</v>
      </c>
      <c r="D668" s="10">
        <v>13466.475973619661</v>
      </c>
      <c r="E668" s="10">
        <v>668703.44804183452</v>
      </c>
      <c r="F668" s="1">
        <v>14</v>
      </c>
      <c r="G668" s="1">
        <v>759</v>
      </c>
      <c r="H668">
        <f t="shared" si="30"/>
        <v>2017</v>
      </c>
      <c r="I668">
        <f t="shared" si="31"/>
        <v>2021</v>
      </c>
      <c r="J668" s="7">
        <f t="shared" si="32"/>
        <v>682169.92401545413</v>
      </c>
      <c r="K668" s="7"/>
    </row>
    <row r="669" spans="1:11" x14ac:dyDescent="0.25">
      <c r="A669" s="1" t="s">
        <v>17</v>
      </c>
      <c r="B669" s="2">
        <v>201703</v>
      </c>
      <c r="C669" s="2">
        <v>202103</v>
      </c>
      <c r="D669" s="10">
        <v>8765.0638529960888</v>
      </c>
      <c r="E669" s="10">
        <v>669060.40458424098</v>
      </c>
      <c r="F669" s="1">
        <v>11</v>
      </c>
      <c r="G669" s="1">
        <v>698</v>
      </c>
      <c r="H669">
        <f t="shared" si="30"/>
        <v>2017</v>
      </c>
      <c r="I669">
        <f t="shared" si="31"/>
        <v>2021</v>
      </c>
      <c r="J669" s="7">
        <f t="shared" si="32"/>
        <v>677825.46843723708</v>
      </c>
      <c r="K669" s="7"/>
    </row>
    <row r="670" spans="1:11" x14ac:dyDescent="0.25">
      <c r="A670" s="1" t="s">
        <v>17</v>
      </c>
      <c r="B670" s="2">
        <v>201703</v>
      </c>
      <c r="C670" s="2">
        <v>202104</v>
      </c>
      <c r="D670" s="10">
        <v>23666.759136271263</v>
      </c>
      <c r="E670" s="10">
        <v>635817.26351766824</v>
      </c>
      <c r="F670" s="1">
        <v>8</v>
      </c>
      <c r="G670" s="1">
        <v>626</v>
      </c>
      <c r="H670">
        <f t="shared" si="30"/>
        <v>2017</v>
      </c>
      <c r="I670">
        <f t="shared" si="31"/>
        <v>2021</v>
      </c>
      <c r="J670" s="7">
        <f t="shared" si="32"/>
        <v>659484.02265393955</v>
      </c>
      <c r="K670" s="7"/>
    </row>
    <row r="671" spans="1:11" x14ac:dyDescent="0.25">
      <c r="A671" s="1" t="s">
        <v>17</v>
      </c>
      <c r="B671" s="2">
        <v>201704</v>
      </c>
      <c r="C671" s="2">
        <v>201704</v>
      </c>
      <c r="D671" s="10">
        <v>60122.609636029803</v>
      </c>
      <c r="E671" s="10">
        <v>454050.71071897267</v>
      </c>
      <c r="F671" s="1">
        <v>3541</v>
      </c>
      <c r="G671" s="1">
        <v>2390</v>
      </c>
      <c r="H671">
        <f t="shared" si="30"/>
        <v>2017</v>
      </c>
      <c r="I671">
        <f t="shared" si="31"/>
        <v>2017</v>
      </c>
      <c r="J671" s="7">
        <f t="shared" si="32"/>
        <v>514173.32035500248</v>
      </c>
      <c r="K671" s="7"/>
    </row>
    <row r="672" spans="1:11" x14ac:dyDescent="0.25">
      <c r="A672" s="1" t="s">
        <v>17</v>
      </c>
      <c r="B672" s="2">
        <v>201704</v>
      </c>
      <c r="C672" s="2">
        <v>201801</v>
      </c>
      <c r="D672" s="10">
        <v>172300.19376128688</v>
      </c>
      <c r="E672" s="10">
        <v>639180.4599583447</v>
      </c>
      <c r="F672" s="1">
        <v>2669</v>
      </c>
      <c r="G672" s="1">
        <v>3044</v>
      </c>
      <c r="H672">
        <f t="shared" si="30"/>
        <v>2017</v>
      </c>
      <c r="I672">
        <f t="shared" si="31"/>
        <v>2018</v>
      </c>
      <c r="J672" s="7">
        <f t="shared" si="32"/>
        <v>811480.65371963161</v>
      </c>
      <c r="K672" s="7"/>
    </row>
    <row r="673" spans="1:11" x14ac:dyDescent="0.25">
      <c r="A673" s="1" t="s">
        <v>17</v>
      </c>
      <c r="B673" s="2">
        <v>201704</v>
      </c>
      <c r="C673" s="2">
        <v>201802</v>
      </c>
      <c r="D673" s="10">
        <v>127145.76163038306</v>
      </c>
      <c r="E673" s="10">
        <v>656811.8362924715</v>
      </c>
      <c r="F673" s="1">
        <v>571</v>
      </c>
      <c r="G673" s="1">
        <v>2819</v>
      </c>
      <c r="H673">
        <f t="shared" si="30"/>
        <v>2017</v>
      </c>
      <c r="I673">
        <f t="shared" si="31"/>
        <v>2018</v>
      </c>
      <c r="J673" s="7">
        <f t="shared" si="32"/>
        <v>783957.59792285459</v>
      </c>
      <c r="K673" s="7"/>
    </row>
    <row r="674" spans="1:11" x14ac:dyDescent="0.25">
      <c r="A674" s="1" t="s">
        <v>17</v>
      </c>
      <c r="B674" s="2">
        <v>201704</v>
      </c>
      <c r="C674" s="2">
        <v>201803</v>
      </c>
      <c r="D674" s="10">
        <v>64604.753842843646</v>
      </c>
      <c r="E674" s="10">
        <v>666559.09998249006</v>
      </c>
      <c r="F674" s="1">
        <v>249</v>
      </c>
      <c r="G674" s="1">
        <v>2683</v>
      </c>
      <c r="H674">
        <f t="shared" si="30"/>
        <v>2017</v>
      </c>
      <c r="I674">
        <f t="shared" si="31"/>
        <v>2018</v>
      </c>
      <c r="J674" s="7">
        <f t="shared" si="32"/>
        <v>731163.85382533376</v>
      </c>
      <c r="K674" s="7"/>
    </row>
    <row r="675" spans="1:11" x14ac:dyDescent="0.25">
      <c r="A675" s="1" t="s">
        <v>17</v>
      </c>
      <c r="B675" s="2">
        <v>201704</v>
      </c>
      <c r="C675" s="2">
        <v>201804</v>
      </c>
      <c r="D675" s="10">
        <v>74237.571436398837</v>
      </c>
      <c r="E675" s="10">
        <v>731637.7584329953</v>
      </c>
      <c r="F675" s="1">
        <v>158</v>
      </c>
      <c r="G675" s="1">
        <v>2419</v>
      </c>
      <c r="H675">
        <f t="shared" si="30"/>
        <v>2017</v>
      </c>
      <c r="I675">
        <f t="shared" si="31"/>
        <v>2018</v>
      </c>
      <c r="J675" s="7">
        <f t="shared" si="32"/>
        <v>805875.32986939419</v>
      </c>
      <c r="K675" s="7"/>
    </row>
    <row r="676" spans="1:11" x14ac:dyDescent="0.25">
      <c r="A676" s="1" t="s">
        <v>17</v>
      </c>
      <c r="B676" s="2">
        <v>201704</v>
      </c>
      <c r="C676" s="2">
        <v>201901</v>
      </c>
      <c r="D676" s="10">
        <v>51600.506569467383</v>
      </c>
      <c r="E676" s="10">
        <v>709812.27392741502</v>
      </c>
      <c r="F676" s="1">
        <v>91</v>
      </c>
      <c r="G676" s="1">
        <v>2186</v>
      </c>
      <c r="H676">
        <f t="shared" si="30"/>
        <v>2017</v>
      </c>
      <c r="I676">
        <f t="shared" si="31"/>
        <v>2019</v>
      </c>
      <c r="J676" s="7">
        <f t="shared" si="32"/>
        <v>761412.78049688239</v>
      </c>
      <c r="K676" s="7"/>
    </row>
    <row r="677" spans="1:11" x14ac:dyDescent="0.25">
      <c r="A677" s="1" t="s">
        <v>17</v>
      </c>
      <c r="B677" s="2">
        <v>201704</v>
      </c>
      <c r="C677" s="2">
        <v>201902</v>
      </c>
      <c r="D677" s="10">
        <v>53422.89214349792</v>
      </c>
      <c r="E677" s="10">
        <v>672596.61035255238</v>
      </c>
      <c r="F677" s="1">
        <v>67</v>
      </c>
      <c r="G677" s="1">
        <v>1935</v>
      </c>
      <c r="H677">
        <f t="shared" si="30"/>
        <v>2017</v>
      </c>
      <c r="I677">
        <f t="shared" si="31"/>
        <v>2019</v>
      </c>
      <c r="J677" s="7">
        <f t="shared" si="32"/>
        <v>726019.50249605032</v>
      </c>
      <c r="K677" s="7"/>
    </row>
    <row r="678" spans="1:11" x14ac:dyDescent="0.25">
      <c r="A678" s="1" t="s">
        <v>17</v>
      </c>
      <c r="B678" s="2">
        <v>201704</v>
      </c>
      <c r="C678" s="2">
        <v>201903</v>
      </c>
      <c r="D678" s="10">
        <v>30580.421421176434</v>
      </c>
      <c r="E678" s="10">
        <v>669528.47617912211</v>
      </c>
      <c r="F678" s="1">
        <v>45</v>
      </c>
      <c r="G678" s="1">
        <v>1815</v>
      </c>
      <c r="H678">
        <f t="shared" si="30"/>
        <v>2017</v>
      </c>
      <c r="I678">
        <f t="shared" si="31"/>
        <v>2019</v>
      </c>
      <c r="J678" s="7">
        <f t="shared" si="32"/>
        <v>700108.89760029851</v>
      </c>
      <c r="K678" s="7"/>
    </row>
    <row r="679" spans="1:11" x14ac:dyDescent="0.25">
      <c r="A679" s="1" t="s">
        <v>17</v>
      </c>
      <c r="B679" s="2">
        <v>201704</v>
      </c>
      <c r="C679" s="2">
        <v>201904</v>
      </c>
      <c r="D679" s="10">
        <v>30195.307815985838</v>
      </c>
      <c r="E679" s="10">
        <v>615569.09238111903</v>
      </c>
      <c r="F679" s="1">
        <v>40</v>
      </c>
      <c r="G679" s="1">
        <v>1689</v>
      </c>
      <c r="H679">
        <f t="shared" si="30"/>
        <v>2017</v>
      </c>
      <c r="I679">
        <f t="shared" si="31"/>
        <v>2019</v>
      </c>
      <c r="J679" s="7">
        <f t="shared" si="32"/>
        <v>645764.4001971049</v>
      </c>
      <c r="K679" s="7"/>
    </row>
    <row r="680" spans="1:11" x14ac:dyDescent="0.25">
      <c r="A680" s="1" t="s">
        <v>17</v>
      </c>
      <c r="B680" s="2">
        <v>201704</v>
      </c>
      <c r="C680" s="2">
        <v>202001</v>
      </c>
      <c r="D680" s="10">
        <v>37831.049935279581</v>
      </c>
      <c r="E680" s="10">
        <v>609453.22819645784</v>
      </c>
      <c r="F680" s="1">
        <v>35</v>
      </c>
      <c r="G680" s="1">
        <v>1397</v>
      </c>
      <c r="H680">
        <f t="shared" si="30"/>
        <v>2017</v>
      </c>
      <c r="I680">
        <f t="shared" si="31"/>
        <v>2020</v>
      </c>
      <c r="J680" s="7">
        <f t="shared" si="32"/>
        <v>647284.27813173737</v>
      </c>
      <c r="K680" s="7"/>
    </row>
    <row r="681" spans="1:11" x14ac:dyDescent="0.25">
      <c r="A681" s="1" t="s">
        <v>17</v>
      </c>
      <c r="B681" s="2">
        <v>201704</v>
      </c>
      <c r="C681" s="2">
        <v>202002</v>
      </c>
      <c r="D681" s="10">
        <v>23520.581308881683</v>
      </c>
      <c r="E681" s="10">
        <v>562331.60821860563</v>
      </c>
      <c r="F681" s="1">
        <v>24</v>
      </c>
      <c r="G681" s="1">
        <v>1268</v>
      </c>
      <c r="H681">
        <f t="shared" si="30"/>
        <v>2017</v>
      </c>
      <c r="I681">
        <f t="shared" si="31"/>
        <v>2020</v>
      </c>
      <c r="J681" s="7">
        <f t="shared" si="32"/>
        <v>585852.18952748727</v>
      </c>
      <c r="K681" s="7"/>
    </row>
    <row r="682" spans="1:11" x14ac:dyDescent="0.25">
      <c r="A682" s="1" t="s">
        <v>17</v>
      </c>
      <c r="B682" s="2">
        <v>201704</v>
      </c>
      <c r="C682" s="2">
        <v>202003</v>
      </c>
      <c r="D682" s="10">
        <v>46105.090564283819</v>
      </c>
      <c r="E682" s="10">
        <v>579179.10710033739</v>
      </c>
      <c r="F682" s="1">
        <v>28</v>
      </c>
      <c r="G682" s="1">
        <v>1148</v>
      </c>
      <c r="H682">
        <f t="shared" si="30"/>
        <v>2017</v>
      </c>
      <c r="I682">
        <f t="shared" si="31"/>
        <v>2020</v>
      </c>
      <c r="J682" s="7">
        <f t="shared" si="32"/>
        <v>625284.19766462117</v>
      </c>
      <c r="K682" s="7"/>
    </row>
    <row r="683" spans="1:11" x14ac:dyDescent="0.25">
      <c r="A683" s="1" t="s">
        <v>17</v>
      </c>
      <c r="B683" s="2">
        <v>201704</v>
      </c>
      <c r="C683" s="2">
        <v>202004</v>
      </c>
      <c r="D683" s="10">
        <v>22332.655682702512</v>
      </c>
      <c r="E683" s="10">
        <v>601077.18826734449</v>
      </c>
      <c r="F683" s="1">
        <v>34</v>
      </c>
      <c r="G683" s="1">
        <v>1045</v>
      </c>
      <c r="H683">
        <f t="shared" si="30"/>
        <v>2017</v>
      </c>
      <c r="I683">
        <f t="shared" si="31"/>
        <v>2020</v>
      </c>
      <c r="J683" s="7">
        <f t="shared" si="32"/>
        <v>623409.84395004704</v>
      </c>
      <c r="K683" s="7"/>
    </row>
    <row r="684" spans="1:11" x14ac:dyDescent="0.25">
      <c r="A684" s="1" t="s">
        <v>17</v>
      </c>
      <c r="B684" s="2">
        <v>201704</v>
      </c>
      <c r="C684" s="2">
        <v>202101</v>
      </c>
      <c r="D684" s="10">
        <v>29656.185296413383</v>
      </c>
      <c r="E684" s="10">
        <v>610184.85105371941</v>
      </c>
      <c r="F684" s="1">
        <v>17</v>
      </c>
      <c r="G684" s="1">
        <v>908</v>
      </c>
      <c r="H684">
        <f t="shared" si="30"/>
        <v>2017</v>
      </c>
      <c r="I684">
        <f t="shared" si="31"/>
        <v>2021</v>
      </c>
      <c r="J684" s="7">
        <f t="shared" si="32"/>
        <v>639841.03635013278</v>
      </c>
      <c r="K684" s="7"/>
    </row>
    <row r="685" spans="1:11" x14ac:dyDescent="0.25">
      <c r="A685" s="1" t="s">
        <v>17</v>
      </c>
      <c r="B685" s="2">
        <v>201704</v>
      </c>
      <c r="C685" s="2">
        <v>202102</v>
      </c>
      <c r="D685" s="10">
        <v>9822.4753360709601</v>
      </c>
      <c r="E685" s="10">
        <v>623635.22983295564</v>
      </c>
      <c r="F685" s="1">
        <v>8</v>
      </c>
      <c r="G685" s="1">
        <v>853</v>
      </c>
      <c r="H685">
        <f t="shared" si="30"/>
        <v>2017</v>
      </c>
      <c r="I685">
        <f t="shared" si="31"/>
        <v>2021</v>
      </c>
      <c r="J685" s="7">
        <f t="shared" si="32"/>
        <v>633457.70516902662</v>
      </c>
      <c r="K685" s="7"/>
    </row>
    <row r="686" spans="1:11" x14ac:dyDescent="0.25">
      <c r="A686" s="1" t="s">
        <v>17</v>
      </c>
      <c r="B686" s="2">
        <v>201704</v>
      </c>
      <c r="C686" s="2">
        <v>202103</v>
      </c>
      <c r="D686" s="10">
        <v>9116.773745328217</v>
      </c>
      <c r="E686" s="10">
        <v>608492.03743609495</v>
      </c>
      <c r="F686" s="1">
        <v>14</v>
      </c>
      <c r="G686" s="1">
        <v>793</v>
      </c>
      <c r="H686">
        <f t="shared" si="30"/>
        <v>2017</v>
      </c>
      <c r="I686">
        <f t="shared" si="31"/>
        <v>2021</v>
      </c>
      <c r="J686" s="7">
        <f t="shared" si="32"/>
        <v>617608.81118142314</v>
      </c>
      <c r="K686" s="7"/>
    </row>
    <row r="687" spans="1:11" x14ac:dyDescent="0.25">
      <c r="A687" s="1" t="s">
        <v>17</v>
      </c>
      <c r="B687" s="2">
        <v>201704</v>
      </c>
      <c r="C687" s="2">
        <v>202104</v>
      </c>
      <c r="D687" s="10">
        <v>24478.401814135246</v>
      </c>
      <c r="E687" s="10">
        <v>597691.82008615125</v>
      </c>
      <c r="F687" s="1">
        <v>13</v>
      </c>
      <c r="G687" s="1">
        <v>753</v>
      </c>
      <c r="H687">
        <f t="shared" si="30"/>
        <v>2017</v>
      </c>
      <c r="I687">
        <f t="shared" si="31"/>
        <v>2021</v>
      </c>
      <c r="J687" s="7">
        <f t="shared" si="32"/>
        <v>622170.2219002865</v>
      </c>
      <c r="K687" s="7"/>
    </row>
    <row r="688" spans="1:11" x14ac:dyDescent="0.25">
      <c r="A688" s="1" t="s">
        <v>17</v>
      </c>
      <c r="B688" s="2">
        <v>201801</v>
      </c>
      <c r="C688" s="2">
        <v>201801</v>
      </c>
      <c r="D688" s="10">
        <v>91712.622429566123</v>
      </c>
      <c r="E688" s="10">
        <v>592232.29666583356</v>
      </c>
      <c r="F688" s="1">
        <v>4585</v>
      </c>
      <c r="G688" s="1">
        <v>2927</v>
      </c>
      <c r="H688">
        <f t="shared" si="30"/>
        <v>2018</v>
      </c>
      <c r="I688">
        <f t="shared" si="31"/>
        <v>2018</v>
      </c>
      <c r="J688" s="7">
        <f t="shared" si="32"/>
        <v>683944.91909539967</v>
      </c>
      <c r="K688" s="7"/>
    </row>
    <row r="689" spans="1:11" x14ac:dyDescent="0.25">
      <c r="A689" s="1" t="s">
        <v>17</v>
      </c>
      <c r="B689" s="2">
        <v>201801</v>
      </c>
      <c r="C689" s="2">
        <v>201802</v>
      </c>
      <c r="D689" s="10">
        <v>167329.06973959415</v>
      </c>
      <c r="E689" s="10">
        <v>906970.70548985805</v>
      </c>
      <c r="F689" s="1">
        <v>2750</v>
      </c>
      <c r="G689" s="1">
        <v>3710</v>
      </c>
      <c r="H689">
        <f t="shared" si="30"/>
        <v>2018</v>
      </c>
      <c r="I689">
        <f t="shared" si="31"/>
        <v>2018</v>
      </c>
      <c r="J689" s="7">
        <f t="shared" si="32"/>
        <v>1074299.7752294522</v>
      </c>
      <c r="K689" s="7"/>
    </row>
    <row r="690" spans="1:11" x14ac:dyDescent="0.25">
      <c r="A690" s="1" t="s">
        <v>17</v>
      </c>
      <c r="B690" s="2">
        <v>201801</v>
      </c>
      <c r="C690" s="2">
        <v>201803</v>
      </c>
      <c r="D690" s="10">
        <v>129777.70223623115</v>
      </c>
      <c r="E690" s="10">
        <v>1029124.8604446468</v>
      </c>
      <c r="F690" s="1">
        <v>619</v>
      </c>
      <c r="G690" s="1">
        <v>3596</v>
      </c>
      <c r="H690">
        <f t="shared" si="30"/>
        <v>2018</v>
      </c>
      <c r="I690">
        <f t="shared" si="31"/>
        <v>2018</v>
      </c>
      <c r="J690" s="7">
        <f t="shared" si="32"/>
        <v>1158902.562680878</v>
      </c>
      <c r="K690" s="7"/>
    </row>
    <row r="691" spans="1:11" x14ac:dyDescent="0.25">
      <c r="A691" s="1" t="s">
        <v>17</v>
      </c>
      <c r="B691" s="2">
        <v>201801</v>
      </c>
      <c r="C691" s="2">
        <v>201804</v>
      </c>
      <c r="D691" s="10">
        <v>122965.28970323979</v>
      </c>
      <c r="E691" s="10">
        <v>1066281.6503532743</v>
      </c>
      <c r="F691" s="1">
        <v>385</v>
      </c>
      <c r="G691" s="1">
        <v>3422</v>
      </c>
      <c r="H691">
        <f t="shared" si="30"/>
        <v>2018</v>
      </c>
      <c r="I691">
        <f t="shared" si="31"/>
        <v>2018</v>
      </c>
      <c r="J691" s="7">
        <f t="shared" si="32"/>
        <v>1189246.940056514</v>
      </c>
      <c r="K691" s="7"/>
    </row>
    <row r="692" spans="1:11" x14ac:dyDescent="0.25">
      <c r="A692" s="1" t="s">
        <v>17</v>
      </c>
      <c r="B692" s="2">
        <v>201801</v>
      </c>
      <c r="C692" s="2">
        <v>201901</v>
      </c>
      <c r="D692" s="10">
        <v>125429.61852321403</v>
      </c>
      <c r="E692" s="10">
        <v>1004941.4848920843</v>
      </c>
      <c r="F692" s="1">
        <v>270</v>
      </c>
      <c r="G692" s="1">
        <v>3109</v>
      </c>
      <c r="H692">
        <f t="shared" si="30"/>
        <v>2018</v>
      </c>
      <c r="I692">
        <f t="shared" si="31"/>
        <v>2019</v>
      </c>
      <c r="J692" s="7">
        <f t="shared" si="32"/>
        <v>1130371.1034152983</v>
      </c>
      <c r="K692" s="7"/>
    </row>
    <row r="693" spans="1:11" x14ac:dyDescent="0.25">
      <c r="A693" s="1" t="s">
        <v>17</v>
      </c>
      <c r="B693" s="2">
        <v>201801</v>
      </c>
      <c r="C693" s="2">
        <v>201902</v>
      </c>
      <c r="D693" s="10">
        <v>173822.08595105575</v>
      </c>
      <c r="E693" s="10">
        <v>999269.44339429541</v>
      </c>
      <c r="F693" s="1">
        <v>162</v>
      </c>
      <c r="G693" s="1">
        <v>2826</v>
      </c>
      <c r="H693">
        <f t="shared" si="30"/>
        <v>2018</v>
      </c>
      <c r="I693">
        <f t="shared" si="31"/>
        <v>2019</v>
      </c>
      <c r="J693" s="7">
        <f t="shared" si="32"/>
        <v>1173091.5293453513</v>
      </c>
      <c r="K693" s="7"/>
    </row>
    <row r="694" spans="1:11" x14ac:dyDescent="0.25">
      <c r="A694" s="1" t="s">
        <v>17</v>
      </c>
      <c r="B694" s="2">
        <v>201801</v>
      </c>
      <c r="C694" s="2">
        <v>201903</v>
      </c>
      <c r="D694" s="10">
        <v>87925.486456632978</v>
      </c>
      <c r="E694" s="10">
        <v>971844.18864077935</v>
      </c>
      <c r="F694" s="1">
        <v>92</v>
      </c>
      <c r="G694" s="1">
        <v>2624</v>
      </c>
      <c r="H694">
        <f t="shared" si="30"/>
        <v>2018</v>
      </c>
      <c r="I694">
        <f t="shared" si="31"/>
        <v>2019</v>
      </c>
      <c r="J694" s="7">
        <f t="shared" si="32"/>
        <v>1059769.6750974124</v>
      </c>
      <c r="K694" s="7"/>
    </row>
    <row r="695" spans="1:11" x14ac:dyDescent="0.25">
      <c r="A695" s="1" t="s">
        <v>17</v>
      </c>
      <c r="B695" s="2">
        <v>201801</v>
      </c>
      <c r="C695" s="2">
        <v>201904</v>
      </c>
      <c r="D695" s="10">
        <v>50354.488479379557</v>
      </c>
      <c r="E695" s="10">
        <v>982647.47524616518</v>
      </c>
      <c r="F695" s="1">
        <v>87</v>
      </c>
      <c r="G695" s="1">
        <v>2512</v>
      </c>
      <c r="H695">
        <f t="shared" si="30"/>
        <v>2018</v>
      </c>
      <c r="I695">
        <f t="shared" si="31"/>
        <v>2019</v>
      </c>
      <c r="J695" s="7">
        <f t="shared" si="32"/>
        <v>1033001.9637255447</v>
      </c>
      <c r="K695" s="7"/>
    </row>
    <row r="696" spans="1:11" x14ac:dyDescent="0.25">
      <c r="A696" s="1" t="s">
        <v>17</v>
      </c>
      <c r="B696" s="2">
        <v>201801</v>
      </c>
      <c r="C696" s="2">
        <v>202001</v>
      </c>
      <c r="D696" s="10">
        <v>38353.266800824393</v>
      </c>
      <c r="E696" s="10">
        <v>924726.26630960777</v>
      </c>
      <c r="F696" s="1">
        <v>62</v>
      </c>
      <c r="G696" s="1">
        <v>1979</v>
      </c>
      <c r="H696">
        <f t="shared" si="30"/>
        <v>2018</v>
      </c>
      <c r="I696">
        <f t="shared" si="31"/>
        <v>2020</v>
      </c>
      <c r="J696" s="7">
        <f t="shared" si="32"/>
        <v>963079.53311043221</v>
      </c>
      <c r="K696" s="7"/>
    </row>
    <row r="697" spans="1:11" x14ac:dyDescent="0.25">
      <c r="A697" s="1" t="s">
        <v>17</v>
      </c>
      <c r="B697" s="2">
        <v>201801</v>
      </c>
      <c r="C697" s="2">
        <v>202002</v>
      </c>
      <c r="D697" s="10">
        <v>55263.162148372612</v>
      </c>
      <c r="E697" s="10">
        <v>1010113.4285271601</v>
      </c>
      <c r="F697" s="1">
        <v>45</v>
      </c>
      <c r="G697" s="1">
        <v>1805</v>
      </c>
      <c r="H697">
        <f t="shared" si="30"/>
        <v>2018</v>
      </c>
      <c r="I697">
        <f t="shared" si="31"/>
        <v>2020</v>
      </c>
      <c r="J697" s="7">
        <f t="shared" si="32"/>
        <v>1065376.5906755326</v>
      </c>
      <c r="K697" s="7"/>
    </row>
    <row r="698" spans="1:11" x14ac:dyDescent="0.25">
      <c r="A698" s="1" t="s">
        <v>17</v>
      </c>
      <c r="B698" s="2">
        <v>201801</v>
      </c>
      <c r="C698" s="2">
        <v>202003</v>
      </c>
      <c r="D698" s="10">
        <v>60579.893835834664</v>
      </c>
      <c r="E698" s="10">
        <v>934892.9306827297</v>
      </c>
      <c r="F698" s="1">
        <v>44</v>
      </c>
      <c r="G698" s="1">
        <v>1669</v>
      </c>
      <c r="H698">
        <f t="shared" si="30"/>
        <v>2018</v>
      </c>
      <c r="I698">
        <f t="shared" si="31"/>
        <v>2020</v>
      </c>
      <c r="J698" s="7">
        <f t="shared" si="32"/>
        <v>995472.82451856439</v>
      </c>
      <c r="K698" s="7"/>
    </row>
    <row r="699" spans="1:11" x14ac:dyDescent="0.25">
      <c r="A699" s="1" t="s">
        <v>17</v>
      </c>
      <c r="B699" s="2">
        <v>201801</v>
      </c>
      <c r="C699" s="2">
        <v>202004</v>
      </c>
      <c r="D699" s="10">
        <v>45386.214144948419</v>
      </c>
      <c r="E699" s="10">
        <v>955927.53742794343</v>
      </c>
      <c r="F699" s="1">
        <v>49</v>
      </c>
      <c r="G699" s="1">
        <v>1515</v>
      </c>
      <c r="H699">
        <f t="shared" si="30"/>
        <v>2018</v>
      </c>
      <c r="I699">
        <f t="shared" si="31"/>
        <v>2020</v>
      </c>
      <c r="J699" s="7">
        <f t="shared" si="32"/>
        <v>1001313.7515728918</v>
      </c>
      <c r="K699" s="7"/>
    </row>
    <row r="700" spans="1:11" x14ac:dyDescent="0.25">
      <c r="A700" s="1" t="s">
        <v>17</v>
      </c>
      <c r="B700" s="2">
        <v>201801</v>
      </c>
      <c r="C700" s="2">
        <v>202101</v>
      </c>
      <c r="D700" s="10">
        <v>42787.007524183631</v>
      </c>
      <c r="E700" s="10">
        <v>966013.84613477951</v>
      </c>
      <c r="F700" s="1">
        <v>35</v>
      </c>
      <c r="G700" s="1">
        <v>1391</v>
      </c>
      <c r="H700">
        <f t="shared" si="30"/>
        <v>2018</v>
      </c>
      <c r="I700">
        <f t="shared" si="31"/>
        <v>2021</v>
      </c>
      <c r="J700" s="7">
        <f t="shared" si="32"/>
        <v>1008800.8536589631</v>
      </c>
      <c r="K700" s="7"/>
    </row>
    <row r="701" spans="1:11" x14ac:dyDescent="0.25">
      <c r="A701" s="1" t="s">
        <v>17</v>
      </c>
      <c r="B701" s="2">
        <v>201801</v>
      </c>
      <c r="C701" s="2">
        <v>202102</v>
      </c>
      <c r="D701" s="10">
        <v>26549.032754629457</v>
      </c>
      <c r="E701" s="10">
        <v>956667.67411239876</v>
      </c>
      <c r="F701" s="1">
        <v>25</v>
      </c>
      <c r="G701" s="1">
        <v>1248</v>
      </c>
      <c r="H701">
        <f t="shared" si="30"/>
        <v>2018</v>
      </c>
      <c r="I701">
        <f t="shared" si="31"/>
        <v>2021</v>
      </c>
      <c r="J701" s="7">
        <f t="shared" si="32"/>
        <v>983216.70686702826</v>
      </c>
      <c r="K701" s="7"/>
    </row>
    <row r="702" spans="1:11" x14ac:dyDescent="0.25">
      <c r="A702" s="1" t="s">
        <v>17</v>
      </c>
      <c r="B702" s="2">
        <v>201801</v>
      </c>
      <c r="C702" s="2">
        <v>202103</v>
      </c>
      <c r="D702" s="10">
        <v>10346.645840376237</v>
      </c>
      <c r="E702" s="10">
        <v>961110.01971604291</v>
      </c>
      <c r="F702" s="1">
        <v>21</v>
      </c>
      <c r="G702" s="1">
        <v>1175</v>
      </c>
      <c r="H702">
        <f t="shared" si="30"/>
        <v>2018</v>
      </c>
      <c r="I702">
        <f t="shared" si="31"/>
        <v>2021</v>
      </c>
      <c r="J702" s="7">
        <f t="shared" si="32"/>
        <v>971456.66555641918</v>
      </c>
      <c r="K702" s="7"/>
    </row>
    <row r="703" spans="1:11" x14ac:dyDescent="0.25">
      <c r="A703" s="1" t="s">
        <v>17</v>
      </c>
      <c r="B703" s="2">
        <v>201801</v>
      </c>
      <c r="C703" s="2">
        <v>202104</v>
      </c>
      <c r="D703" s="10">
        <v>23334.475820917924</v>
      </c>
      <c r="E703" s="10">
        <v>807790.2939117091</v>
      </c>
      <c r="F703" s="1">
        <v>16</v>
      </c>
      <c r="G703" s="1">
        <v>1018</v>
      </c>
      <c r="H703">
        <f t="shared" si="30"/>
        <v>2018</v>
      </c>
      <c r="I703">
        <f t="shared" si="31"/>
        <v>2021</v>
      </c>
      <c r="J703" s="7">
        <f t="shared" si="32"/>
        <v>831124.76973262697</v>
      </c>
      <c r="K703" s="7"/>
    </row>
    <row r="704" spans="1:11" x14ac:dyDescent="0.25">
      <c r="A704" s="1" t="s">
        <v>17</v>
      </c>
      <c r="B704" s="2">
        <v>201802</v>
      </c>
      <c r="C704" s="2">
        <v>201802</v>
      </c>
      <c r="D704" s="10">
        <v>91244.105081731046</v>
      </c>
      <c r="E704" s="10">
        <v>764401.41908251657</v>
      </c>
      <c r="F704" s="1">
        <v>4561</v>
      </c>
      <c r="G704" s="1">
        <v>3034</v>
      </c>
      <c r="H704">
        <f t="shared" si="30"/>
        <v>2018</v>
      </c>
      <c r="I704">
        <f t="shared" si="31"/>
        <v>2018</v>
      </c>
      <c r="J704" s="7">
        <f t="shared" si="32"/>
        <v>855645.52416424756</v>
      </c>
      <c r="K704" s="7"/>
    </row>
    <row r="705" spans="1:11" x14ac:dyDescent="0.25">
      <c r="A705" s="1" t="s">
        <v>17</v>
      </c>
      <c r="B705" s="2">
        <v>201802</v>
      </c>
      <c r="C705" s="2">
        <v>201803</v>
      </c>
      <c r="D705" s="10">
        <v>225268.71135227309</v>
      </c>
      <c r="E705" s="10">
        <v>931680.99977209256</v>
      </c>
      <c r="F705" s="1">
        <v>2833</v>
      </c>
      <c r="G705" s="1">
        <v>3737</v>
      </c>
      <c r="H705">
        <f t="shared" si="30"/>
        <v>2018</v>
      </c>
      <c r="I705">
        <f t="shared" si="31"/>
        <v>2018</v>
      </c>
      <c r="J705" s="7">
        <f t="shared" si="32"/>
        <v>1156949.7111243657</v>
      </c>
      <c r="K705" s="7"/>
    </row>
    <row r="706" spans="1:11" x14ac:dyDescent="0.25">
      <c r="A706" s="1" t="s">
        <v>17</v>
      </c>
      <c r="B706" s="2">
        <v>201802</v>
      </c>
      <c r="C706" s="2">
        <v>201804</v>
      </c>
      <c r="D706" s="10">
        <v>128033.40991427108</v>
      </c>
      <c r="E706" s="10">
        <v>990988.30649945349</v>
      </c>
      <c r="F706" s="1">
        <v>695</v>
      </c>
      <c r="G706" s="1">
        <v>3498</v>
      </c>
      <c r="H706">
        <f t="shared" si="30"/>
        <v>2018</v>
      </c>
      <c r="I706">
        <f t="shared" si="31"/>
        <v>2018</v>
      </c>
      <c r="J706" s="7">
        <f t="shared" si="32"/>
        <v>1119021.7164137245</v>
      </c>
      <c r="K706" s="7"/>
    </row>
    <row r="707" spans="1:11" x14ac:dyDescent="0.25">
      <c r="A707" s="1" t="s">
        <v>17</v>
      </c>
      <c r="B707" s="2">
        <v>201802</v>
      </c>
      <c r="C707" s="2">
        <v>201901</v>
      </c>
      <c r="D707" s="10">
        <v>124955.7732084403</v>
      </c>
      <c r="E707" s="10">
        <v>907412.74274746154</v>
      </c>
      <c r="F707" s="1">
        <v>302</v>
      </c>
      <c r="G707" s="1">
        <v>3168</v>
      </c>
      <c r="H707">
        <f t="shared" si="30"/>
        <v>2018</v>
      </c>
      <c r="I707">
        <f t="shared" si="31"/>
        <v>2019</v>
      </c>
      <c r="J707" s="7">
        <f t="shared" si="32"/>
        <v>1032368.5159559018</v>
      </c>
      <c r="K707" s="7"/>
    </row>
    <row r="708" spans="1:11" x14ac:dyDescent="0.25">
      <c r="A708" s="1" t="s">
        <v>17</v>
      </c>
      <c r="B708" s="2">
        <v>201802</v>
      </c>
      <c r="C708" s="2">
        <v>201902</v>
      </c>
      <c r="D708" s="10">
        <v>126516.29735606292</v>
      </c>
      <c r="E708" s="10">
        <v>785227.83956478781</v>
      </c>
      <c r="F708" s="1">
        <v>159</v>
      </c>
      <c r="G708" s="1">
        <v>2833</v>
      </c>
      <c r="H708">
        <f t="shared" ref="H708:H771" si="33">VALUE(LEFT(B708,4))</f>
        <v>2018</v>
      </c>
      <c r="I708">
        <f t="shared" ref="I708:I771" si="34">VALUE(LEFT(C708,4))</f>
        <v>2019</v>
      </c>
      <c r="J708" s="7">
        <f t="shared" si="32"/>
        <v>911744.13692085072</v>
      </c>
      <c r="K708" s="7"/>
    </row>
    <row r="709" spans="1:11" x14ac:dyDescent="0.25">
      <c r="A709" s="1" t="s">
        <v>17</v>
      </c>
      <c r="B709" s="2">
        <v>201802</v>
      </c>
      <c r="C709" s="2">
        <v>201903</v>
      </c>
      <c r="D709" s="10">
        <v>71414.868279932009</v>
      </c>
      <c r="E709" s="10">
        <v>781606.45105215267</v>
      </c>
      <c r="F709" s="1">
        <v>94</v>
      </c>
      <c r="G709" s="1">
        <v>2716</v>
      </c>
      <c r="H709">
        <f t="shared" si="33"/>
        <v>2018</v>
      </c>
      <c r="I709">
        <f t="shared" si="34"/>
        <v>2019</v>
      </c>
      <c r="J709" s="7">
        <f t="shared" ref="J709:J772" si="35">D709+E709</f>
        <v>853021.31933208462</v>
      </c>
      <c r="K709" s="7"/>
    </row>
    <row r="710" spans="1:11" x14ac:dyDescent="0.25">
      <c r="A710" s="1" t="s">
        <v>17</v>
      </c>
      <c r="B710" s="2">
        <v>201802</v>
      </c>
      <c r="C710" s="2">
        <v>201904</v>
      </c>
      <c r="D710" s="10">
        <v>56887.176863436682</v>
      </c>
      <c r="E710" s="10">
        <v>772079.04571254144</v>
      </c>
      <c r="F710" s="1">
        <v>77</v>
      </c>
      <c r="G710" s="1">
        <v>2453</v>
      </c>
      <c r="H710">
        <f t="shared" si="33"/>
        <v>2018</v>
      </c>
      <c r="I710">
        <f t="shared" si="34"/>
        <v>2019</v>
      </c>
      <c r="J710" s="7">
        <f t="shared" si="35"/>
        <v>828966.22257597814</v>
      </c>
      <c r="K710" s="7"/>
    </row>
    <row r="711" spans="1:11" x14ac:dyDescent="0.25">
      <c r="A711" s="1" t="s">
        <v>17</v>
      </c>
      <c r="B711" s="2">
        <v>201802</v>
      </c>
      <c r="C711" s="2">
        <v>202001</v>
      </c>
      <c r="D711" s="10">
        <v>53094.517833985046</v>
      </c>
      <c r="E711" s="10">
        <v>728234.79811197275</v>
      </c>
      <c r="F711" s="1">
        <v>55</v>
      </c>
      <c r="G711" s="1">
        <v>2121</v>
      </c>
      <c r="H711">
        <f t="shared" si="33"/>
        <v>2018</v>
      </c>
      <c r="I711">
        <f t="shared" si="34"/>
        <v>2020</v>
      </c>
      <c r="J711" s="7">
        <f t="shared" si="35"/>
        <v>781329.31594595779</v>
      </c>
      <c r="K711" s="7"/>
    </row>
    <row r="712" spans="1:11" x14ac:dyDescent="0.25">
      <c r="A712" s="1" t="s">
        <v>17</v>
      </c>
      <c r="B712" s="2">
        <v>201802</v>
      </c>
      <c r="C712" s="2">
        <v>202002</v>
      </c>
      <c r="D712" s="10">
        <v>40066.927759204438</v>
      </c>
      <c r="E712" s="10">
        <v>729997.61832647061</v>
      </c>
      <c r="F712" s="1">
        <v>41</v>
      </c>
      <c r="G712" s="1">
        <v>1830</v>
      </c>
      <c r="H712">
        <f t="shared" si="33"/>
        <v>2018</v>
      </c>
      <c r="I712">
        <f t="shared" si="34"/>
        <v>2020</v>
      </c>
      <c r="J712" s="7">
        <f t="shared" si="35"/>
        <v>770064.54608567501</v>
      </c>
      <c r="K712" s="7"/>
    </row>
    <row r="713" spans="1:11" x14ac:dyDescent="0.25">
      <c r="A713" s="1" t="s">
        <v>17</v>
      </c>
      <c r="B713" s="2">
        <v>201802</v>
      </c>
      <c r="C713" s="2">
        <v>202003</v>
      </c>
      <c r="D713" s="10">
        <v>22855.698837500247</v>
      </c>
      <c r="E713" s="10">
        <v>661292.71593141451</v>
      </c>
      <c r="F713" s="1">
        <v>29</v>
      </c>
      <c r="G713" s="1">
        <v>1731</v>
      </c>
      <c r="H713">
        <f t="shared" si="33"/>
        <v>2018</v>
      </c>
      <c r="I713">
        <f t="shared" si="34"/>
        <v>2020</v>
      </c>
      <c r="J713" s="7">
        <f t="shared" si="35"/>
        <v>684148.41476891481</v>
      </c>
      <c r="K713" s="7"/>
    </row>
    <row r="714" spans="1:11" x14ac:dyDescent="0.25">
      <c r="A714" s="1" t="s">
        <v>17</v>
      </c>
      <c r="B714" s="2">
        <v>201802</v>
      </c>
      <c r="C714" s="2">
        <v>202004</v>
      </c>
      <c r="D714" s="10">
        <v>24165.984207509733</v>
      </c>
      <c r="E714" s="10">
        <v>702485.32969892165</v>
      </c>
      <c r="F714" s="1">
        <v>30</v>
      </c>
      <c r="G714" s="1">
        <v>1505</v>
      </c>
      <c r="H714">
        <f t="shared" si="33"/>
        <v>2018</v>
      </c>
      <c r="I714">
        <f t="shared" si="34"/>
        <v>2020</v>
      </c>
      <c r="J714" s="7">
        <f t="shared" si="35"/>
        <v>726651.31390643143</v>
      </c>
      <c r="K714" s="7"/>
    </row>
    <row r="715" spans="1:11" x14ac:dyDescent="0.25">
      <c r="A715" s="1" t="s">
        <v>17</v>
      </c>
      <c r="B715" s="2">
        <v>201802</v>
      </c>
      <c r="C715" s="2">
        <v>202101</v>
      </c>
      <c r="D715" s="10">
        <v>29473.166664962017</v>
      </c>
      <c r="E715" s="10">
        <v>700713.28571577836</v>
      </c>
      <c r="F715" s="1">
        <v>29</v>
      </c>
      <c r="G715" s="1">
        <v>1374</v>
      </c>
      <c r="H715">
        <f t="shared" si="33"/>
        <v>2018</v>
      </c>
      <c r="I715">
        <f t="shared" si="34"/>
        <v>2021</v>
      </c>
      <c r="J715" s="7">
        <f t="shared" si="35"/>
        <v>730186.45238074032</v>
      </c>
      <c r="K715" s="7"/>
    </row>
    <row r="716" spans="1:11" x14ac:dyDescent="0.25">
      <c r="A716" s="1" t="s">
        <v>17</v>
      </c>
      <c r="B716" s="2">
        <v>201802</v>
      </c>
      <c r="C716" s="2">
        <v>202102</v>
      </c>
      <c r="D716" s="10">
        <v>141219.20171714976</v>
      </c>
      <c r="E716" s="10">
        <v>710237.09194490302</v>
      </c>
      <c r="F716" s="1">
        <v>21</v>
      </c>
      <c r="G716" s="1">
        <v>1217</v>
      </c>
      <c r="H716">
        <f t="shared" si="33"/>
        <v>2018</v>
      </c>
      <c r="I716">
        <f t="shared" si="34"/>
        <v>2021</v>
      </c>
      <c r="J716" s="7">
        <f t="shared" si="35"/>
        <v>851456.29366205283</v>
      </c>
      <c r="K716" s="7"/>
    </row>
    <row r="717" spans="1:11" x14ac:dyDescent="0.25">
      <c r="A717" s="1" t="s">
        <v>17</v>
      </c>
      <c r="B717" s="2">
        <v>201802</v>
      </c>
      <c r="C717" s="2">
        <v>202103</v>
      </c>
      <c r="D717" s="10">
        <v>25877.096580526504</v>
      </c>
      <c r="E717" s="10">
        <v>687580.77389271453</v>
      </c>
      <c r="F717" s="1">
        <v>16</v>
      </c>
      <c r="G717" s="1">
        <v>1136</v>
      </c>
      <c r="H717">
        <f t="shared" si="33"/>
        <v>2018</v>
      </c>
      <c r="I717">
        <f t="shared" si="34"/>
        <v>2021</v>
      </c>
      <c r="J717" s="7">
        <f t="shared" si="35"/>
        <v>713457.87047324108</v>
      </c>
      <c r="K717" s="7"/>
    </row>
    <row r="718" spans="1:11" x14ac:dyDescent="0.25">
      <c r="A718" s="1" t="s">
        <v>17</v>
      </c>
      <c r="B718" s="2">
        <v>201802</v>
      </c>
      <c r="C718" s="2">
        <v>202104</v>
      </c>
      <c r="D718" s="10">
        <v>32343.493189002515</v>
      </c>
      <c r="E718" s="10">
        <v>684783.95203416317</v>
      </c>
      <c r="F718" s="1">
        <v>13</v>
      </c>
      <c r="G718" s="1">
        <v>1033</v>
      </c>
      <c r="H718">
        <f t="shared" si="33"/>
        <v>2018</v>
      </c>
      <c r="I718">
        <f t="shared" si="34"/>
        <v>2021</v>
      </c>
      <c r="J718" s="7">
        <f t="shared" si="35"/>
        <v>717127.44522316568</v>
      </c>
      <c r="K718" s="7"/>
    </row>
    <row r="719" spans="1:11" x14ac:dyDescent="0.25">
      <c r="A719" s="1" t="s">
        <v>17</v>
      </c>
      <c r="B719" s="2">
        <v>201803</v>
      </c>
      <c r="C719" s="2">
        <v>201803</v>
      </c>
      <c r="D719" s="10">
        <v>97356.174620745907</v>
      </c>
      <c r="E719" s="10">
        <v>653416.0634803971</v>
      </c>
      <c r="F719" s="1">
        <v>4917</v>
      </c>
      <c r="G719" s="1">
        <v>3393</v>
      </c>
      <c r="H719">
        <f t="shared" si="33"/>
        <v>2018</v>
      </c>
      <c r="I719">
        <f t="shared" si="34"/>
        <v>2018</v>
      </c>
      <c r="J719" s="7">
        <f t="shared" si="35"/>
        <v>750772.23810114304</v>
      </c>
      <c r="K719" s="7"/>
    </row>
    <row r="720" spans="1:11" x14ac:dyDescent="0.25">
      <c r="A720" s="1" t="s">
        <v>17</v>
      </c>
      <c r="B720" s="2">
        <v>201803</v>
      </c>
      <c r="C720" s="2">
        <v>201804</v>
      </c>
      <c r="D720" s="10">
        <v>269549.79152864486</v>
      </c>
      <c r="E720" s="10">
        <v>887600.63505055371</v>
      </c>
      <c r="F720" s="1">
        <v>2919</v>
      </c>
      <c r="G720" s="1">
        <v>3930</v>
      </c>
      <c r="H720">
        <f t="shared" si="33"/>
        <v>2018</v>
      </c>
      <c r="I720">
        <f t="shared" si="34"/>
        <v>2018</v>
      </c>
      <c r="J720" s="7">
        <f t="shared" si="35"/>
        <v>1157150.4265791986</v>
      </c>
      <c r="K720" s="7"/>
    </row>
    <row r="721" spans="1:11" x14ac:dyDescent="0.25">
      <c r="A721" s="1" t="s">
        <v>17</v>
      </c>
      <c r="B721" s="2">
        <v>201803</v>
      </c>
      <c r="C721" s="2">
        <v>201901</v>
      </c>
      <c r="D721" s="10">
        <v>152892.90497360827</v>
      </c>
      <c r="E721" s="10">
        <v>836097.282523692</v>
      </c>
      <c r="F721" s="1">
        <v>593</v>
      </c>
      <c r="G721" s="1">
        <v>3462</v>
      </c>
      <c r="H721">
        <f t="shared" si="33"/>
        <v>2018</v>
      </c>
      <c r="I721">
        <f t="shared" si="34"/>
        <v>2019</v>
      </c>
      <c r="J721" s="7">
        <f t="shared" si="35"/>
        <v>988990.18749730033</v>
      </c>
      <c r="K721" s="7"/>
    </row>
    <row r="722" spans="1:11" x14ac:dyDescent="0.25">
      <c r="A722" s="1" t="s">
        <v>17</v>
      </c>
      <c r="B722" s="2">
        <v>201803</v>
      </c>
      <c r="C722" s="2">
        <v>201902</v>
      </c>
      <c r="D722" s="10">
        <v>95915.601828168845</v>
      </c>
      <c r="E722" s="10">
        <v>882742.11438876798</v>
      </c>
      <c r="F722" s="1">
        <v>304</v>
      </c>
      <c r="G722" s="1">
        <v>3213</v>
      </c>
      <c r="H722">
        <f t="shared" si="33"/>
        <v>2018</v>
      </c>
      <c r="I722">
        <f t="shared" si="34"/>
        <v>2019</v>
      </c>
      <c r="J722" s="7">
        <f t="shared" si="35"/>
        <v>978657.71621693682</v>
      </c>
      <c r="K722" s="7"/>
    </row>
    <row r="723" spans="1:11" x14ac:dyDescent="0.25">
      <c r="A723" s="1" t="s">
        <v>17</v>
      </c>
      <c r="B723" s="2">
        <v>201803</v>
      </c>
      <c r="C723" s="2">
        <v>201903</v>
      </c>
      <c r="D723" s="10">
        <v>79832.522055472291</v>
      </c>
      <c r="E723" s="10">
        <v>957007.61094222928</v>
      </c>
      <c r="F723" s="1">
        <v>153</v>
      </c>
      <c r="G723" s="1">
        <v>3086</v>
      </c>
      <c r="H723">
        <f t="shared" si="33"/>
        <v>2018</v>
      </c>
      <c r="I723">
        <f t="shared" si="34"/>
        <v>2019</v>
      </c>
      <c r="J723" s="7">
        <f t="shared" si="35"/>
        <v>1036840.1329977015</v>
      </c>
      <c r="K723" s="7"/>
    </row>
    <row r="724" spans="1:11" x14ac:dyDescent="0.25">
      <c r="A724" s="1" t="s">
        <v>17</v>
      </c>
      <c r="B724" s="2">
        <v>201803</v>
      </c>
      <c r="C724" s="2">
        <v>201904</v>
      </c>
      <c r="D724" s="10">
        <v>155815.21232152256</v>
      </c>
      <c r="E724" s="10">
        <v>874134.13999016827</v>
      </c>
      <c r="F724" s="1">
        <v>102</v>
      </c>
      <c r="G724" s="1">
        <v>2785</v>
      </c>
      <c r="H724">
        <f t="shared" si="33"/>
        <v>2018</v>
      </c>
      <c r="I724">
        <f t="shared" si="34"/>
        <v>2019</v>
      </c>
      <c r="J724" s="7">
        <f t="shared" si="35"/>
        <v>1029949.3523116908</v>
      </c>
      <c r="K724" s="7"/>
    </row>
    <row r="725" spans="1:11" x14ac:dyDescent="0.25">
      <c r="A725" s="1" t="s">
        <v>17</v>
      </c>
      <c r="B725" s="2">
        <v>201803</v>
      </c>
      <c r="C725" s="2">
        <v>202001</v>
      </c>
      <c r="D725" s="10">
        <v>88436.394079649486</v>
      </c>
      <c r="E725" s="10">
        <v>802815.82299663662</v>
      </c>
      <c r="F725" s="1">
        <v>69</v>
      </c>
      <c r="G725" s="1">
        <v>2424</v>
      </c>
      <c r="H725">
        <f t="shared" si="33"/>
        <v>2018</v>
      </c>
      <c r="I725">
        <f t="shared" si="34"/>
        <v>2020</v>
      </c>
      <c r="J725" s="7">
        <f t="shared" si="35"/>
        <v>891252.21707628609</v>
      </c>
      <c r="K725" s="7"/>
    </row>
    <row r="726" spans="1:11" x14ac:dyDescent="0.25">
      <c r="A726" s="1" t="s">
        <v>17</v>
      </c>
      <c r="B726" s="2">
        <v>201803</v>
      </c>
      <c r="C726" s="2">
        <v>202002</v>
      </c>
      <c r="D726" s="10">
        <v>31916.427795603369</v>
      </c>
      <c r="E726" s="10">
        <v>870700.63736993645</v>
      </c>
      <c r="F726" s="1">
        <v>36</v>
      </c>
      <c r="G726" s="1">
        <v>2083</v>
      </c>
      <c r="H726">
        <f t="shared" si="33"/>
        <v>2018</v>
      </c>
      <c r="I726">
        <f t="shared" si="34"/>
        <v>2020</v>
      </c>
      <c r="J726" s="7">
        <f t="shared" si="35"/>
        <v>902617.06516553985</v>
      </c>
      <c r="K726" s="7"/>
    </row>
    <row r="727" spans="1:11" x14ac:dyDescent="0.25">
      <c r="A727" s="1" t="s">
        <v>17</v>
      </c>
      <c r="B727" s="2">
        <v>201803</v>
      </c>
      <c r="C727" s="2">
        <v>202003</v>
      </c>
      <c r="D727" s="10">
        <v>38996.740562057908</v>
      </c>
      <c r="E727" s="10">
        <v>840185.86221038981</v>
      </c>
      <c r="F727" s="1">
        <v>27</v>
      </c>
      <c r="G727" s="1">
        <v>1955</v>
      </c>
      <c r="H727">
        <f t="shared" si="33"/>
        <v>2018</v>
      </c>
      <c r="I727">
        <f t="shared" si="34"/>
        <v>2020</v>
      </c>
      <c r="J727" s="7">
        <f t="shared" si="35"/>
        <v>879182.60277244775</v>
      </c>
      <c r="K727" s="7"/>
    </row>
    <row r="728" spans="1:11" x14ac:dyDescent="0.25">
      <c r="A728" s="1" t="s">
        <v>17</v>
      </c>
      <c r="B728" s="2">
        <v>201803</v>
      </c>
      <c r="C728" s="2">
        <v>202004</v>
      </c>
      <c r="D728" s="10">
        <v>38032.267644946754</v>
      </c>
      <c r="E728" s="10">
        <v>787231.60372938588</v>
      </c>
      <c r="F728" s="1">
        <v>36</v>
      </c>
      <c r="G728" s="1">
        <v>1768</v>
      </c>
      <c r="H728">
        <f t="shared" si="33"/>
        <v>2018</v>
      </c>
      <c r="I728">
        <f t="shared" si="34"/>
        <v>2020</v>
      </c>
      <c r="J728" s="7">
        <f t="shared" si="35"/>
        <v>825263.87137433258</v>
      </c>
      <c r="K728" s="7"/>
    </row>
    <row r="729" spans="1:11" x14ac:dyDescent="0.25">
      <c r="A729" s="1" t="s">
        <v>17</v>
      </c>
      <c r="B729" s="2">
        <v>201803</v>
      </c>
      <c r="C729" s="2">
        <v>202101</v>
      </c>
      <c r="D729" s="10">
        <v>30475.121301344054</v>
      </c>
      <c r="E729" s="10">
        <v>809396.7647055561</v>
      </c>
      <c r="F729" s="1">
        <v>30</v>
      </c>
      <c r="G729" s="1">
        <v>1513</v>
      </c>
      <c r="H729">
        <f t="shared" si="33"/>
        <v>2018</v>
      </c>
      <c r="I729">
        <f t="shared" si="34"/>
        <v>2021</v>
      </c>
      <c r="J729" s="7">
        <f t="shared" si="35"/>
        <v>839871.88600690011</v>
      </c>
      <c r="K729" s="7"/>
    </row>
    <row r="730" spans="1:11" x14ac:dyDescent="0.25">
      <c r="A730" s="1" t="s">
        <v>17</v>
      </c>
      <c r="B730" s="2">
        <v>201803</v>
      </c>
      <c r="C730" s="2">
        <v>202102</v>
      </c>
      <c r="D730" s="10">
        <v>23826.131471689521</v>
      </c>
      <c r="E730" s="10">
        <v>805330.4951326634</v>
      </c>
      <c r="F730" s="1">
        <v>25</v>
      </c>
      <c r="G730" s="1">
        <v>1353</v>
      </c>
      <c r="H730">
        <f t="shared" si="33"/>
        <v>2018</v>
      </c>
      <c r="I730">
        <f t="shared" si="34"/>
        <v>2021</v>
      </c>
      <c r="J730" s="7">
        <f t="shared" si="35"/>
        <v>829156.62660435296</v>
      </c>
      <c r="K730" s="7"/>
    </row>
    <row r="731" spans="1:11" x14ac:dyDescent="0.25">
      <c r="A731" s="1" t="s">
        <v>17</v>
      </c>
      <c r="B731" s="2">
        <v>201803</v>
      </c>
      <c r="C731" s="2">
        <v>202103</v>
      </c>
      <c r="D731" s="10">
        <v>27715.917250525745</v>
      </c>
      <c r="E731" s="10">
        <v>795218.05782749853</v>
      </c>
      <c r="F731" s="1">
        <v>34</v>
      </c>
      <c r="G731" s="1">
        <v>1279</v>
      </c>
      <c r="H731">
        <f t="shared" si="33"/>
        <v>2018</v>
      </c>
      <c r="I731">
        <f t="shared" si="34"/>
        <v>2021</v>
      </c>
      <c r="J731" s="7">
        <f t="shared" si="35"/>
        <v>822933.97507802432</v>
      </c>
      <c r="K731" s="7"/>
    </row>
    <row r="732" spans="1:11" x14ac:dyDescent="0.25">
      <c r="A732" s="1" t="s">
        <v>17</v>
      </c>
      <c r="B732" s="2">
        <v>201803</v>
      </c>
      <c r="C732" s="2">
        <v>202104</v>
      </c>
      <c r="D732" s="10">
        <v>32127.151765247978</v>
      </c>
      <c r="E732" s="10">
        <v>660612.87969538174</v>
      </c>
      <c r="F732" s="1">
        <v>12</v>
      </c>
      <c r="G732" s="1">
        <v>1139</v>
      </c>
      <c r="H732">
        <f t="shared" si="33"/>
        <v>2018</v>
      </c>
      <c r="I732">
        <f t="shared" si="34"/>
        <v>2021</v>
      </c>
      <c r="J732" s="7">
        <f t="shared" si="35"/>
        <v>692740.03146062966</v>
      </c>
      <c r="K732" s="7"/>
    </row>
    <row r="733" spans="1:11" x14ac:dyDescent="0.25">
      <c r="A733" s="1" t="s">
        <v>17</v>
      </c>
      <c r="B733" s="2">
        <v>201804</v>
      </c>
      <c r="C733" s="2">
        <v>201804</v>
      </c>
      <c r="D733" s="10">
        <v>74131.216066624867</v>
      </c>
      <c r="E733" s="10">
        <v>555739.72211589897</v>
      </c>
      <c r="F733" s="1">
        <v>4390</v>
      </c>
      <c r="G733" s="1">
        <v>3059</v>
      </c>
      <c r="H733">
        <f t="shared" si="33"/>
        <v>2018</v>
      </c>
      <c r="I733">
        <f t="shared" si="34"/>
        <v>2018</v>
      </c>
      <c r="J733" s="7">
        <f t="shared" si="35"/>
        <v>629870.93818252382</v>
      </c>
      <c r="K733" s="7"/>
    </row>
    <row r="734" spans="1:11" x14ac:dyDescent="0.25">
      <c r="A734" s="1" t="s">
        <v>17</v>
      </c>
      <c r="B734" s="2">
        <v>201804</v>
      </c>
      <c r="C734" s="2">
        <v>201901</v>
      </c>
      <c r="D734" s="10">
        <v>205884.17067244748</v>
      </c>
      <c r="E734" s="10">
        <v>898821.22862282093</v>
      </c>
      <c r="F734" s="1">
        <v>3674</v>
      </c>
      <c r="G734" s="1">
        <v>4578</v>
      </c>
      <c r="H734">
        <f t="shared" si="33"/>
        <v>2018</v>
      </c>
      <c r="I734">
        <f t="shared" si="34"/>
        <v>2019</v>
      </c>
      <c r="J734" s="7">
        <f t="shared" si="35"/>
        <v>1104705.3992952683</v>
      </c>
      <c r="K734" s="7"/>
    </row>
    <row r="735" spans="1:11" x14ac:dyDescent="0.25">
      <c r="A735" s="1" t="s">
        <v>17</v>
      </c>
      <c r="B735" s="2">
        <v>201804</v>
      </c>
      <c r="C735" s="2">
        <v>201902</v>
      </c>
      <c r="D735" s="10">
        <v>163950.06719611824</v>
      </c>
      <c r="E735" s="10">
        <v>855994.68411346152</v>
      </c>
      <c r="F735" s="1">
        <v>897</v>
      </c>
      <c r="G735" s="1">
        <v>4584</v>
      </c>
      <c r="H735">
        <f t="shared" si="33"/>
        <v>2018</v>
      </c>
      <c r="I735">
        <f t="shared" si="34"/>
        <v>2019</v>
      </c>
      <c r="J735" s="7">
        <f t="shared" si="35"/>
        <v>1019944.7513095797</v>
      </c>
      <c r="K735" s="7"/>
    </row>
    <row r="736" spans="1:11" x14ac:dyDescent="0.25">
      <c r="A736" s="1" t="s">
        <v>17</v>
      </c>
      <c r="B736" s="2">
        <v>201804</v>
      </c>
      <c r="C736" s="2">
        <v>201903</v>
      </c>
      <c r="D736" s="10">
        <v>101501.70902643791</v>
      </c>
      <c r="E736" s="10">
        <v>846511.3328149236</v>
      </c>
      <c r="F736" s="1">
        <v>300</v>
      </c>
      <c r="G736" s="1">
        <v>4361</v>
      </c>
      <c r="H736">
        <f t="shared" si="33"/>
        <v>2018</v>
      </c>
      <c r="I736">
        <f t="shared" si="34"/>
        <v>2019</v>
      </c>
      <c r="J736" s="7">
        <f t="shared" si="35"/>
        <v>948013.04184136156</v>
      </c>
      <c r="K736" s="7"/>
    </row>
    <row r="737" spans="1:11" x14ac:dyDescent="0.25">
      <c r="A737" s="1" t="s">
        <v>17</v>
      </c>
      <c r="B737" s="2">
        <v>201804</v>
      </c>
      <c r="C737" s="2">
        <v>201904</v>
      </c>
      <c r="D737" s="10">
        <v>73023.997047316952</v>
      </c>
      <c r="E737" s="10">
        <v>835656.0139187749</v>
      </c>
      <c r="F737" s="1">
        <v>168</v>
      </c>
      <c r="G737" s="1">
        <v>3976</v>
      </c>
      <c r="H737">
        <f t="shared" si="33"/>
        <v>2018</v>
      </c>
      <c r="I737">
        <f t="shared" si="34"/>
        <v>2019</v>
      </c>
      <c r="J737" s="7">
        <f t="shared" si="35"/>
        <v>908680.01096609188</v>
      </c>
      <c r="K737" s="7"/>
    </row>
    <row r="738" spans="1:11" x14ac:dyDescent="0.25">
      <c r="A738" s="1" t="s">
        <v>17</v>
      </c>
      <c r="B738" s="2">
        <v>201804</v>
      </c>
      <c r="C738" s="2">
        <v>202001</v>
      </c>
      <c r="D738" s="10">
        <v>58451.854655368385</v>
      </c>
      <c r="E738" s="10">
        <v>826022.39048039354</v>
      </c>
      <c r="F738" s="1">
        <v>132</v>
      </c>
      <c r="G738" s="1">
        <v>3447</v>
      </c>
      <c r="H738">
        <f t="shared" si="33"/>
        <v>2018</v>
      </c>
      <c r="I738">
        <f t="shared" si="34"/>
        <v>2020</v>
      </c>
      <c r="J738" s="7">
        <f t="shared" si="35"/>
        <v>884474.24513576191</v>
      </c>
      <c r="K738" s="7"/>
    </row>
    <row r="739" spans="1:11" x14ac:dyDescent="0.25">
      <c r="A739" s="1" t="s">
        <v>17</v>
      </c>
      <c r="B739" s="2">
        <v>201804</v>
      </c>
      <c r="C739" s="2">
        <v>202002</v>
      </c>
      <c r="D739" s="10">
        <v>41999.220954050834</v>
      </c>
      <c r="E739" s="10">
        <v>775655.73036814795</v>
      </c>
      <c r="F739" s="1">
        <v>66</v>
      </c>
      <c r="G739" s="1">
        <v>3138</v>
      </c>
      <c r="H739">
        <f t="shared" si="33"/>
        <v>2018</v>
      </c>
      <c r="I739">
        <f t="shared" si="34"/>
        <v>2020</v>
      </c>
      <c r="J739" s="7">
        <f t="shared" si="35"/>
        <v>817654.95132219885</v>
      </c>
      <c r="K739" s="7"/>
    </row>
    <row r="740" spans="1:11" x14ac:dyDescent="0.25">
      <c r="A740" s="1" t="s">
        <v>17</v>
      </c>
      <c r="B740" s="2">
        <v>201804</v>
      </c>
      <c r="C740" s="2">
        <v>202003</v>
      </c>
      <c r="D740" s="10">
        <v>42418.816157385663</v>
      </c>
      <c r="E740" s="10">
        <v>756230.80015026289</v>
      </c>
      <c r="F740" s="1">
        <v>54</v>
      </c>
      <c r="G740" s="1">
        <v>2938</v>
      </c>
      <c r="H740">
        <f t="shared" si="33"/>
        <v>2018</v>
      </c>
      <c r="I740">
        <f t="shared" si="34"/>
        <v>2020</v>
      </c>
      <c r="J740" s="7">
        <f t="shared" si="35"/>
        <v>798649.6163076486</v>
      </c>
      <c r="K740" s="7"/>
    </row>
    <row r="741" spans="1:11" x14ac:dyDescent="0.25">
      <c r="A741" s="1" t="s">
        <v>17</v>
      </c>
      <c r="B741" s="2">
        <v>201804</v>
      </c>
      <c r="C741" s="2">
        <v>202004</v>
      </c>
      <c r="D741" s="10">
        <v>41011.354726379162</v>
      </c>
      <c r="E741" s="10">
        <v>723843.96635336441</v>
      </c>
      <c r="F741" s="1">
        <v>32</v>
      </c>
      <c r="G741" s="1">
        <v>2523</v>
      </c>
      <c r="H741">
        <f t="shared" si="33"/>
        <v>2018</v>
      </c>
      <c r="I741">
        <f t="shared" si="34"/>
        <v>2020</v>
      </c>
      <c r="J741" s="7">
        <f t="shared" si="35"/>
        <v>764855.32107974356</v>
      </c>
      <c r="K741" s="7"/>
    </row>
    <row r="742" spans="1:11" x14ac:dyDescent="0.25">
      <c r="A742" s="1" t="s">
        <v>17</v>
      </c>
      <c r="B742" s="2">
        <v>201804</v>
      </c>
      <c r="C742" s="2">
        <v>202101</v>
      </c>
      <c r="D742" s="10">
        <v>33608.497021127689</v>
      </c>
      <c r="E742" s="10">
        <v>712851.59379624086</v>
      </c>
      <c r="F742" s="1">
        <v>38</v>
      </c>
      <c r="G742" s="1">
        <v>2212</v>
      </c>
      <c r="H742">
        <f t="shared" si="33"/>
        <v>2018</v>
      </c>
      <c r="I742">
        <f t="shared" si="34"/>
        <v>2021</v>
      </c>
      <c r="J742" s="7">
        <f t="shared" si="35"/>
        <v>746460.09081736859</v>
      </c>
      <c r="K742" s="7"/>
    </row>
    <row r="743" spans="1:11" x14ac:dyDescent="0.25">
      <c r="A743" s="1" t="s">
        <v>17</v>
      </c>
      <c r="B743" s="2">
        <v>201804</v>
      </c>
      <c r="C743" s="2">
        <v>202102</v>
      </c>
      <c r="D743" s="10">
        <v>17522.963700159544</v>
      </c>
      <c r="E743" s="10">
        <v>736495.85499183252</v>
      </c>
      <c r="F743" s="1">
        <v>18</v>
      </c>
      <c r="G743" s="1">
        <v>2028</v>
      </c>
      <c r="H743">
        <f t="shared" si="33"/>
        <v>2018</v>
      </c>
      <c r="I743">
        <f t="shared" si="34"/>
        <v>2021</v>
      </c>
      <c r="J743" s="7">
        <f t="shared" si="35"/>
        <v>754018.81869199208</v>
      </c>
      <c r="K743" s="7"/>
    </row>
    <row r="744" spans="1:11" x14ac:dyDescent="0.25">
      <c r="A744" s="1" t="s">
        <v>17</v>
      </c>
      <c r="B744" s="2">
        <v>201804</v>
      </c>
      <c r="C744" s="2">
        <v>202103</v>
      </c>
      <c r="D744" s="10">
        <v>19813.970874058225</v>
      </c>
      <c r="E744" s="10">
        <v>730383.4736387888</v>
      </c>
      <c r="F744" s="1">
        <v>35</v>
      </c>
      <c r="G744" s="1">
        <v>1864</v>
      </c>
      <c r="H744">
        <f t="shared" si="33"/>
        <v>2018</v>
      </c>
      <c r="I744">
        <f t="shared" si="34"/>
        <v>2021</v>
      </c>
      <c r="J744" s="7">
        <f t="shared" si="35"/>
        <v>750197.444512847</v>
      </c>
      <c r="K744" s="7"/>
    </row>
    <row r="745" spans="1:11" x14ac:dyDescent="0.25">
      <c r="A745" s="1" t="s">
        <v>17</v>
      </c>
      <c r="B745" s="2">
        <v>201804</v>
      </c>
      <c r="C745" s="2">
        <v>202104</v>
      </c>
      <c r="D745" s="10">
        <v>180166.64620354553</v>
      </c>
      <c r="E745" s="10">
        <v>633846.17236315715</v>
      </c>
      <c r="F745" s="1">
        <v>31</v>
      </c>
      <c r="G745" s="1">
        <v>1673</v>
      </c>
      <c r="H745">
        <f t="shared" si="33"/>
        <v>2018</v>
      </c>
      <c r="I745">
        <f t="shared" si="34"/>
        <v>2021</v>
      </c>
      <c r="J745" s="7">
        <f t="shared" si="35"/>
        <v>814012.81856670266</v>
      </c>
      <c r="K745" s="7"/>
    </row>
    <row r="746" spans="1:11" x14ac:dyDescent="0.25">
      <c r="A746" s="1" t="s">
        <v>17</v>
      </c>
      <c r="B746" s="2">
        <v>201901</v>
      </c>
      <c r="C746" s="2">
        <v>201901</v>
      </c>
      <c r="D746" s="10">
        <v>93531.774784113644</v>
      </c>
      <c r="E746" s="10">
        <v>583864.8357380348</v>
      </c>
      <c r="F746" s="1">
        <v>4242</v>
      </c>
      <c r="G746" s="1">
        <v>2768</v>
      </c>
      <c r="H746">
        <f t="shared" si="33"/>
        <v>2019</v>
      </c>
      <c r="I746">
        <f t="shared" si="34"/>
        <v>2019</v>
      </c>
      <c r="J746" s="7">
        <f t="shared" si="35"/>
        <v>677396.61052214843</v>
      </c>
      <c r="K746" s="7"/>
    </row>
    <row r="747" spans="1:11" x14ac:dyDescent="0.25">
      <c r="A747" s="1" t="s">
        <v>17</v>
      </c>
      <c r="B747" s="2">
        <v>201901</v>
      </c>
      <c r="C747" s="2">
        <v>201902</v>
      </c>
      <c r="D747" s="10">
        <v>214626.18166789936</v>
      </c>
      <c r="E747" s="10">
        <v>833970.8169188539</v>
      </c>
      <c r="F747" s="1">
        <v>2946</v>
      </c>
      <c r="G747" s="1">
        <v>4025</v>
      </c>
      <c r="H747">
        <f t="shared" si="33"/>
        <v>2019</v>
      </c>
      <c r="I747">
        <f t="shared" si="34"/>
        <v>2019</v>
      </c>
      <c r="J747" s="7">
        <f t="shared" si="35"/>
        <v>1048596.9985867534</v>
      </c>
      <c r="K747" s="7"/>
    </row>
    <row r="748" spans="1:11" x14ac:dyDescent="0.25">
      <c r="A748" s="1" t="s">
        <v>17</v>
      </c>
      <c r="B748" s="2">
        <v>201901</v>
      </c>
      <c r="C748" s="2">
        <v>201903</v>
      </c>
      <c r="D748" s="10">
        <v>131792.74085338652</v>
      </c>
      <c r="E748" s="10">
        <v>893663.49964088632</v>
      </c>
      <c r="F748" s="1">
        <v>643</v>
      </c>
      <c r="G748" s="1">
        <v>3815</v>
      </c>
      <c r="H748">
        <f t="shared" si="33"/>
        <v>2019</v>
      </c>
      <c r="I748">
        <f t="shared" si="34"/>
        <v>2019</v>
      </c>
      <c r="J748" s="7">
        <f t="shared" si="35"/>
        <v>1025456.2404942729</v>
      </c>
      <c r="K748" s="7"/>
    </row>
    <row r="749" spans="1:11" x14ac:dyDescent="0.25">
      <c r="A749" s="1" t="s">
        <v>17</v>
      </c>
      <c r="B749" s="2">
        <v>201901</v>
      </c>
      <c r="C749" s="2">
        <v>201904</v>
      </c>
      <c r="D749" s="10">
        <v>160678.41857198623</v>
      </c>
      <c r="E749" s="10">
        <v>934572.62134325155</v>
      </c>
      <c r="F749" s="1">
        <v>344</v>
      </c>
      <c r="G749" s="1">
        <v>3587</v>
      </c>
      <c r="H749">
        <f t="shared" si="33"/>
        <v>2019</v>
      </c>
      <c r="I749">
        <f t="shared" si="34"/>
        <v>2019</v>
      </c>
      <c r="J749" s="7">
        <f t="shared" si="35"/>
        <v>1095251.0399152378</v>
      </c>
      <c r="K749" s="7"/>
    </row>
    <row r="750" spans="1:11" x14ac:dyDescent="0.25">
      <c r="A750" s="1" t="s">
        <v>17</v>
      </c>
      <c r="B750" s="2">
        <v>201901</v>
      </c>
      <c r="C750" s="2">
        <v>202001</v>
      </c>
      <c r="D750" s="10">
        <v>117289.57037639037</v>
      </c>
      <c r="E750" s="10">
        <v>958358.29592888756</v>
      </c>
      <c r="F750" s="1">
        <v>254</v>
      </c>
      <c r="G750" s="1">
        <v>3139</v>
      </c>
      <c r="H750">
        <f t="shared" si="33"/>
        <v>2019</v>
      </c>
      <c r="I750">
        <f t="shared" si="34"/>
        <v>2020</v>
      </c>
      <c r="J750" s="7">
        <f t="shared" si="35"/>
        <v>1075647.8663052779</v>
      </c>
      <c r="K750" s="7"/>
    </row>
    <row r="751" spans="1:11" x14ac:dyDescent="0.25">
      <c r="A751" s="1" t="s">
        <v>17</v>
      </c>
      <c r="B751" s="2">
        <v>201901</v>
      </c>
      <c r="C751" s="2">
        <v>202002</v>
      </c>
      <c r="D751" s="10">
        <v>71447.390872082105</v>
      </c>
      <c r="E751" s="10">
        <v>989225.14457293961</v>
      </c>
      <c r="F751" s="1">
        <v>128</v>
      </c>
      <c r="G751" s="1">
        <v>2871</v>
      </c>
      <c r="H751">
        <f t="shared" si="33"/>
        <v>2019</v>
      </c>
      <c r="I751">
        <f t="shared" si="34"/>
        <v>2020</v>
      </c>
      <c r="J751" s="7">
        <f t="shared" si="35"/>
        <v>1060672.5354450217</v>
      </c>
      <c r="K751" s="7"/>
    </row>
    <row r="752" spans="1:11" x14ac:dyDescent="0.25">
      <c r="A752" s="1" t="s">
        <v>17</v>
      </c>
      <c r="B752" s="2">
        <v>201901</v>
      </c>
      <c r="C752" s="2">
        <v>202003</v>
      </c>
      <c r="D752" s="10">
        <v>171717.73765884529</v>
      </c>
      <c r="E752" s="10">
        <v>1043169.1477209529</v>
      </c>
      <c r="F752" s="1">
        <v>76</v>
      </c>
      <c r="G752" s="1">
        <v>2720</v>
      </c>
      <c r="H752">
        <f t="shared" si="33"/>
        <v>2019</v>
      </c>
      <c r="I752">
        <f t="shared" si="34"/>
        <v>2020</v>
      </c>
      <c r="J752" s="7">
        <f t="shared" si="35"/>
        <v>1214886.8853797982</v>
      </c>
      <c r="K752" s="7"/>
    </row>
    <row r="753" spans="1:11" x14ac:dyDescent="0.25">
      <c r="A753" s="1" t="s">
        <v>17</v>
      </c>
      <c r="B753" s="2">
        <v>201901</v>
      </c>
      <c r="C753" s="2">
        <v>202004</v>
      </c>
      <c r="D753" s="10">
        <v>39219.058604304526</v>
      </c>
      <c r="E753" s="10">
        <v>1067286.3900826571</v>
      </c>
      <c r="F753" s="1">
        <v>62</v>
      </c>
      <c r="G753" s="1">
        <v>2344</v>
      </c>
      <c r="H753">
        <f t="shared" si="33"/>
        <v>2019</v>
      </c>
      <c r="I753">
        <f t="shared" si="34"/>
        <v>2020</v>
      </c>
      <c r="J753" s="7">
        <f t="shared" si="35"/>
        <v>1106505.4486869616</v>
      </c>
      <c r="K753" s="7"/>
    </row>
    <row r="754" spans="1:11" x14ac:dyDescent="0.25">
      <c r="A754" s="1" t="s">
        <v>17</v>
      </c>
      <c r="B754" s="2">
        <v>201901</v>
      </c>
      <c r="C754" s="2">
        <v>202101</v>
      </c>
      <c r="D754" s="10">
        <v>47399.317129665949</v>
      </c>
      <c r="E754" s="10">
        <v>1095779.362062013</v>
      </c>
      <c r="F754" s="1">
        <v>64</v>
      </c>
      <c r="G754" s="1">
        <v>2023</v>
      </c>
      <c r="H754">
        <f t="shared" si="33"/>
        <v>2019</v>
      </c>
      <c r="I754">
        <f t="shared" si="34"/>
        <v>2021</v>
      </c>
      <c r="J754" s="7">
        <f t="shared" si="35"/>
        <v>1143178.679191679</v>
      </c>
      <c r="K754" s="7"/>
    </row>
    <row r="755" spans="1:11" x14ac:dyDescent="0.25">
      <c r="A755" s="1" t="s">
        <v>17</v>
      </c>
      <c r="B755" s="2">
        <v>201901</v>
      </c>
      <c r="C755" s="2">
        <v>202102</v>
      </c>
      <c r="D755" s="10">
        <v>50483.240409003054</v>
      </c>
      <c r="E755" s="10">
        <v>1106963.3372872237</v>
      </c>
      <c r="F755" s="1">
        <v>53</v>
      </c>
      <c r="G755" s="1">
        <v>1895</v>
      </c>
      <c r="H755">
        <f t="shared" si="33"/>
        <v>2019</v>
      </c>
      <c r="I755">
        <f t="shared" si="34"/>
        <v>2021</v>
      </c>
      <c r="J755" s="7">
        <f t="shared" si="35"/>
        <v>1157446.5776962268</v>
      </c>
      <c r="K755" s="7"/>
    </row>
    <row r="756" spans="1:11" x14ac:dyDescent="0.25">
      <c r="A756" s="1" t="s">
        <v>17</v>
      </c>
      <c r="B756" s="2">
        <v>201901</v>
      </c>
      <c r="C756" s="2">
        <v>202103</v>
      </c>
      <c r="D756" s="10">
        <v>81343.327687283905</v>
      </c>
      <c r="E756" s="10">
        <v>1097853.8791175466</v>
      </c>
      <c r="F756" s="1">
        <v>35</v>
      </c>
      <c r="G756" s="1">
        <v>1707</v>
      </c>
      <c r="H756">
        <f t="shared" si="33"/>
        <v>2019</v>
      </c>
      <c r="I756">
        <f t="shared" si="34"/>
        <v>2021</v>
      </c>
      <c r="J756" s="7">
        <f t="shared" si="35"/>
        <v>1179197.2068048306</v>
      </c>
      <c r="K756" s="7"/>
    </row>
    <row r="757" spans="1:11" x14ac:dyDescent="0.25">
      <c r="A757" s="1" t="s">
        <v>17</v>
      </c>
      <c r="B757" s="2">
        <v>201901</v>
      </c>
      <c r="C757" s="2">
        <v>202104</v>
      </c>
      <c r="D757" s="10">
        <v>35974.0171988004</v>
      </c>
      <c r="E757" s="10">
        <v>961066.67022190837</v>
      </c>
      <c r="F757" s="1">
        <v>35</v>
      </c>
      <c r="G757" s="1">
        <v>1494</v>
      </c>
      <c r="H757">
        <f t="shared" si="33"/>
        <v>2019</v>
      </c>
      <c r="I757">
        <f t="shared" si="34"/>
        <v>2021</v>
      </c>
      <c r="J757" s="7">
        <f t="shared" si="35"/>
        <v>997040.68742070883</v>
      </c>
      <c r="K757" s="7"/>
    </row>
    <row r="758" spans="1:11" x14ac:dyDescent="0.25">
      <c r="A758" s="1" t="s">
        <v>17</v>
      </c>
      <c r="B758" s="2">
        <v>201902</v>
      </c>
      <c r="C758" s="2">
        <v>201902</v>
      </c>
      <c r="D758" s="10">
        <v>88678.108037919286</v>
      </c>
      <c r="E758" s="10">
        <v>509091.04708286666</v>
      </c>
      <c r="F758" s="1">
        <v>4545</v>
      </c>
      <c r="G758" s="1">
        <v>2949</v>
      </c>
      <c r="H758">
        <f t="shared" si="33"/>
        <v>2019</v>
      </c>
      <c r="I758">
        <f t="shared" si="34"/>
        <v>2019</v>
      </c>
      <c r="J758" s="7">
        <f t="shared" si="35"/>
        <v>597769.15512078593</v>
      </c>
      <c r="K758" s="7"/>
    </row>
    <row r="759" spans="1:11" x14ac:dyDescent="0.25">
      <c r="A759" s="1" t="s">
        <v>17</v>
      </c>
      <c r="B759" s="2">
        <v>201902</v>
      </c>
      <c r="C759" s="2">
        <v>201903</v>
      </c>
      <c r="D759" s="10">
        <v>224120.24162952453</v>
      </c>
      <c r="E759" s="10">
        <v>844247.0532731585</v>
      </c>
      <c r="F759" s="1">
        <v>2778</v>
      </c>
      <c r="G759" s="1">
        <v>3754</v>
      </c>
      <c r="H759">
        <f t="shared" si="33"/>
        <v>2019</v>
      </c>
      <c r="I759">
        <f t="shared" si="34"/>
        <v>2019</v>
      </c>
      <c r="J759" s="7">
        <f t="shared" si="35"/>
        <v>1068367.294902683</v>
      </c>
      <c r="K759" s="7"/>
    </row>
    <row r="760" spans="1:11" x14ac:dyDescent="0.25">
      <c r="A760" s="1" t="s">
        <v>17</v>
      </c>
      <c r="B760" s="2">
        <v>201902</v>
      </c>
      <c r="C760" s="2">
        <v>201904</v>
      </c>
      <c r="D760" s="10">
        <v>212905.30783583311</v>
      </c>
      <c r="E760" s="10">
        <v>854537.33210250014</v>
      </c>
      <c r="F760" s="1">
        <v>611</v>
      </c>
      <c r="G760" s="1">
        <v>3345</v>
      </c>
      <c r="H760">
        <f t="shared" si="33"/>
        <v>2019</v>
      </c>
      <c r="I760">
        <f t="shared" si="34"/>
        <v>2019</v>
      </c>
      <c r="J760" s="7">
        <f t="shared" si="35"/>
        <v>1067442.6399383333</v>
      </c>
      <c r="K760" s="7"/>
    </row>
    <row r="761" spans="1:11" x14ac:dyDescent="0.25">
      <c r="A761" s="1" t="s">
        <v>17</v>
      </c>
      <c r="B761" s="2">
        <v>201902</v>
      </c>
      <c r="C761" s="2">
        <v>202001</v>
      </c>
      <c r="D761" s="10">
        <v>120984.78432660308</v>
      </c>
      <c r="E761" s="10">
        <v>727351.50920665194</v>
      </c>
      <c r="F761" s="1">
        <v>256</v>
      </c>
      <c r="G761" s="1">
        <v>2845</v>
      </c>
      <c r="H761">
        <f t="shared" si="33"/>
        <v>2019</v>
      </c>
      <c r="I761">
        <f t="shared" si="34"/>
        <v>2020</v>
      </c>
      <c r="J761" s="7">
        <f t="shared" si="35"/>
        <v>848336.293533255</v>
      </c>
      <c r="K761" s="7"/>
    </row>
    <row r="762" spans="1:11" x14ac:dyDescent="0.25">
      <c r="A762" s="1" t="s">
        <v>17</v>
      </c>
      <c r="B762" s="2">
        <v>201902</v>
      </c>
      <c r="C762" s="2">
        <v>202002</v>
      </c>
      <c r="D762" s="10">
        <v>73485.852395792506</v>
      </c>
      <c r="E762" s="10">
        <v>660529.56153150741</v>
      </c>
      <c r="F762" s="1">
        <v>134</v>
      </c>
      <c r="G762" s="1">
        <v>2550</v>
      </c>
      <c r="H762">
        <f t="shared" si="33"/>
        <v>2019</v>
      </c>
      <c r="I762">
        <f t="shared" si="34"/>
        <v>2020</v>
      </c>
      <c r="J762" s="7">
        <f t="shared" si="35"/>
        <v>734015.4139272999</v>
      </c>
      <c r="K762" s="7"/>
    </row>
    <row r="763" spans="1:11" x14ac:dyDescent="0.25">
      <c r="A763" s="1" t="s">
        <v>17</v>
      </c>
      <c r="B763" s="2">
        <v>201902</v>
      </c>
      <c r="C763" s="2">
        <v>202003</v>
      </c>
      <c r="D763" s="10">
        <v>52406.088044928561</v>
      </c>
      <c r="E763" s="10">
        <v>658309.19369247789</v>
      </c>
      <c r="F763" s="1">
        <v>82</v>
      </c>
      <c r="G763" s="1">
        <v>2423</v>
      </c>
      <c r="H763">
        <f t="shared" si="33"/>
        <v>2019</v>
      </c>
      <c r="I763">
        <f t="shared" si="34"/>
        <v>2020</v>
      </c>
      <c r="J763" s="7">
        <f t="shared" si="35"/>
        <v>710715.28173740651</v>
      </c>
      <c r="K763" s="7"/>
    </row>
    <row r="764" spans="1:11" x14ac:dyDescent="0.25">
      <c r="A764" s="1" t="s">
        <v>17</v>
      </c>
      <c r="B764" s="2">
        <v>201902</v>
      </c>
      <c r="C764" s="2">
        <v>202004</v>
      </c>
      <c r="D764" s="10">
        <v>42610.015530844939</v>
      </c>
      <c r="E764" s="10">
        <v>582363.03512739821</v>
      </c>
      <c r="F764" s="1">
        <v>57</v>
      </c>
      <c r="G764" s="1">
        <v>2174</v>
      </c>
      <c r="H764">
        <f t="shared" si="33"/>
        <v>2019</v>
      </c>
      <c r="I764">
        <f t="shared" si="34"/>
        <v>2020</v>
      </c>
      <c r="J764" s="7">
        <f t="shared" si="35"/>
        <v>624973.05065824313</v>
      </c>
      <c r="K764" s="7"/>
    </row>
    <row r="765" spans="1:11" x14ac:dyDescent="0.25">
      <c r="A765" s="1" t="s">
        <v>17</v>
      </c>
      <c r="B765" s="2">
        <v>201902</v>
      </c>
      <c r="C765" s="2">
        <v>202101</v>
      </c>
      <c r="D765" s="10">
        <v>37568.259515639053</v>
      </c>
      <c r="E765" s="10">
        <v>572982.21826675255</v>
      </c>
      <c r="F765" s="1">
        <v>67</v>
      </c>
      <c r="G765" s="1">
        <v>1900</v>
      </c>
      <c r="H765">
        <f t="shared" si="33"/>
        <v>2019</v>
      </c>
      <c r="I765">
        <f t="shared" si="34"/>
        <v>2021</v>
      </c>
      <c r="J765" s="7">
        <f t="shared" si="35"/>
        <v>610550.47778239159</v>
      </c>
      <c r="K765" s="7"/>
    </row>
    <row r="766" spans="1:11" x14ac:dyDescent="0.25">
      <c r="A766" s="1" t="s">
        <v>17</v>
      </c>
      <c r="B766" s="2">
        <v>201902</v>
      </c>
      <c r="C766" s="2">
        <v>202102</v>
      </c>
      <c r="D766" s="10">
        <v>32799.427092411053</v>
      </c>
      <c r="E766" s="10">
        <v>570470.13034789602</v>
      </c>
      <c r="F766" s="1">
        <v>42</v>
      </c>
      <c r="G766" s="1">
        <v>1715</v>
      </c>
      <c r="H766">
        <f t="shared" si="33"/>
        <v>2019</v>
      </c>
      <c r="I766">
        <f t="shared" si="34"/>
        <v>2021</v>
      </c>
      <c r="J766" s="7">
        <f t="shared" si="35"/>
        <v>603269.55744030711</v>
      </c>
      <c r="K766" s="7"/>
    </row>
    <row r="767" spans="1:11" x14ac:dyDescent="0.25">
      <c r="A767" s="1" t="s">
        <v>17</v>
      </c>
      <c r="B767" s="2">
        <v>201902</v>
      </c>
      <c r="C767" s="2">
        <v>202103</v>
      </c>
      <c r="D767" s="10">
        <v>35697.520254240735</v>
      </c>
      <c r="E767" s="10">
        <v>575838.55709936132</v>
      </c>
      <c r="F767" s="1">
        <v>42</v>
      </c>
      <c r="G767" s="1">
        <v>1622</v>
      </c>
      <c r="H767">
        <f t="shared" si="33"/>
        <v>2019</v>
      </c>
      <c r="I767">
        <f t="shared" si="34"/>
        <v>2021</v>
      </c>
      <c r="J767" s="7">
        <f t="shared" si="35"/>
        <v>611536.07735360204</v>
      </c>
      <c r="K767" s="7"/>
    </row>
    <row r="768" spans="1:11" x14ac:dyDescent="0.25">
      <c r="A768" s="1" t="s">
        <v>17</v>
      </c>
      <c r="B768" s="2">
        <v>201902</v>
      </c>
      <c r="C768" s="2">
        <v>202104</v>
      </c>
      <c r="D768" s="10">
        <v>43547.655476352964</v>
      </c>
      <c r="E768" s="10">
        <v>651459.19461587619</v>
      </c>
      <c r="F768" s="1">
        <v>37</v>
      </c>
      <c r="G768" s="1">
        <v>1397</v>
      </c>
      <c r="H768">
        <f t="shared" si="33"/>
        <v>2019</v>
      </c>
      <c r="I768">
        <f t="shared" si="34"/>
        <v>2021</v>
      </c>
      <c r="J768" s="7">
        <f t="shared" si="35"/>
        <v>695006.8500922292</v>
      </c>
      <c r="K768" s="7"/>
    </row>
    <row r="769" spans="1:11" x14ac:dyDescent="0.25">
      <c r="A769" s="1" t="s">
        <v>17</v>
      </c>
      <c r="B769" s="2">
        <v>201903</v>
      </c>
      <c r="C769" s="2">
        <v>201903</v>
      </c>
      <c r="D769" s="10">
        <v>100897.77497505669</v>
      </c>
      <c r="E769" s="10">
        <v>683930.32616058923</v>
      </c>
      <c r="F769" s="1">
        <v>4641</v>
      </c>
      <c r="G769" s="1">
        <v>3005</v>
      </c>
      <c r="H769">
        <f t="shared" si="33"/>
        <v>2019</v>
      </c>
      <c r="I769">
        <f t="shared" si="34"/>
        <v>2019</v>
      </c>
      <c r="J769" s="7">
        <f t="shared" si="35"/>
        <v>784828.10113564588</v>
      </c>
      <c r="K769" s="7"/>
    </row>
    <row r="770" spans="1:11" x14ac:dyDescent="0.25">
      <c r="A770" s="1" t="s">
        <v>17</v>
      </c>
      <c r="B770" s="2">
        <v>201903</v>
      </c>
      <c r="C770" s="2">
        <v>201904</v>
      </c>
      <c r="D770" s="10">
        <v>267218.16573501698</v>
      </c>
      <c r="E770" s="10">
        <v>895605.47245832009</v>
      </c>
      <c r="F770" s="1">
        <v>2564</v>
      </c>
      <c r="G770" s="1">
        <v>3551</v>
      </c>
      <c r="H770">
        <f t="shared" si="33"/>
        <v>2019</v>
      </c>
      <c r="I770">
        <f t="shared" si="34"/>
        <v>2019</v>
      </c>
      <c r="J770" s="7">
        <f t="shared" si="35"/>
        <v>1162823.638193337</v>
      </c>
      <c r="K770" s="7"/>
    </row>
    <row r="771" spans="1:11" x14ac:dyDescent="0.25">
      <c r="A771" s="1" t="s">
        <v>17</v>
      </c>
      <c r="B771" s="2">
        <v>201903</v>
      </c>
      <c r="C771" s="2">
        <v>202001</v>
      </c>
      <c r="D771" s="10">
        <v>151190.48997127489</v>
      </c>
      <c r="E771" s="10">
        <v>828067.5521078303</v>
      </c>
      <c r="F771" s="1">
        <v>588</v>
      </c>
      <c r="G771" s="1">
        <v>3107</v>
      </c>
      <c r="H771">
        <f t="shared" si="33"/>
        <v>2019</v>
      </c>
      <c r="I771">
        <f t="shared" si="34"/>
        <v>2020</v>
      </c>
      <c r="J771" s="7">
        <f t="shared" si="35"/>
        <v>979258.04207910516</v>
      </c>
      <c r="K771" s="7"/>
    </row>
    <row r="772" spans="1:11" x14ac:dyDescent="0.25">
      <c r="A772" s="1" t="s">
        <v>17</v>
      </c>
      <c r="B772" s="2">
        <v>201903</v>
      </c>
      <c r="C772" s="2">
        <v>202002</v>
      </c>
      <c r="D772" s="10">
        <v>91748.602730354542</v>
      </c>
      <c r="E772" s="10">
        <v>815697.13430862711</v>
      </c>
      <c r="F772" s="1">
        <v>234</v>
      </c>
      <c r="G772" s="1">
        <v>2855</v>
      </c>
      <c r="H772">
        <f t="shared" ref="H772:H835" si="36">VALUE(LEFT(B772,4))</f>
        <v>2019</v>
      </c>
      <c r="I772">
        <f t="shared" ref="I772:I835" si="37">VALUE(LEFT(C772,4))</f>
        <v>2020</v>
      </c>
      <c r="J772" s="7">
        <f t="shared" si="35"/>
        <v>907445.73703898164</v>
      </c>
      <c r="K772" s="7"/>
    </row>
    <row r="773" spans="1:11" x14ac:dyDescent="0.25">
      <c r="A773" s="1" t="s">
        <v>17</v>
      </c>
      <c r="B773" s="2">
        <v>201903</v>
      </c>
      <c r="C773" s="2">
        <v>202003</v>
      </c>
      <c r="D773" s="10">
        <v>60177.289771205506</v>
      </c>
      <c r="E773" s="10">
        <v>1005561.2289329006</v>
      </c>
      <c r="F773" s="1">
        <v>127</v>
      </c>
      <c r="G773" s="1">
        <v>2594</v>
      </c>
      <c r="H773">
        <f t="shared" si="36"/>
        <v>2019</v>
      </c>
      <c r="I773">
        <f t="shared" si="37"/>
        <v>2020</v>
      </c>
      <c r="J773" s="7">
        <f t="shared" ref="J773:J836" si="38">D773+E773</f>
        <v>1065738.5187041061</v>
      </c>
      <c r="K773" s="7"/>
    </row>
    <row r="774" spans="1:11" x14ac:dyDescent="0.25">
      <c r="A774" s="1" t="s">
        <v>17</v>
      </c>
      <c r="B774" s="2">
        <v>201903</v>
      </c>
      <c r="C774" s="2">
        <v>202004</v>
      </c>
      <c r="D774" s="10">
        <v>96785.322439905867</v>
      </c>
      <c r="E774" s="10">
        <v>1021656.1974484288</v>
      </c>
      <c r="F774" s="1">
        <v>89</v>
      </c>
      <c r="G774" s="1">
        <v>2302</v>
      </c>
      <c r="H774">
        <f t="shared" si="36"/>
        <v>2019</v>
      </c>
      <c r="I774">
        <f t="shared" si="37"/>
        <v>2020</v>
      </c>
      <c r="J774" s="7">
        <f t="shared" si="38"/>
        <v>1118441.5198883347</v>
      </c>
      <c r="K774" s="7"/>
    </row>
    <row r="775" spans="1:11" x14ac:dyDescent="0.25">
      <c r="A775" s="1" t="s">
        <v>17</v>
      </c>
      <c r="B775" s="2">
        <v>201903</v>
      </c>
      <c r="C775" s="2">
        <v>202101</v>
      </c>
      <c r="D775" s="10">
        <v>52621.000187089478</v>
      </c>
      <c r="E775" s="10">
        <v>1011610.1767042193</v>
      </c>
      <c r="F775" s="1">
        <v>63</v>
      </c>
      <c r="G775" s="1">
        <v>2001</v>
      </c>
      <c r="H775">
        <f t="shared" si="36"/>
        <v>2019</v>
      </c>
      <c r="I775">
        <f t="shared" si="37"/>
        <v>2021</v>
      </c>
      <c r="J775" s="7">
        <f t="shared" si="38"/>
        <v>1064231.1768913087</v>
      </c>
      <c r="K775" s="7"/>
    </row>
    <row r="776" spans="1:11" x14ac:dyDescent="0.25">
      <c r="A776" s="1" t="s">
        <v>17</v>
      </c>
      <c r="B776" s="2">
        <v>201903</v>
      </c>
      <c r="C776" s="2">
        <v>202102</v>
      </c>
      <c r="D776" s="10">
        <v>296338.72682966175</v>
      </c>
      <c r="E776" s="10">
        <v>1032673.3363004664</v>
      </c>
      <c r="F776" s="1">
        <v>48</v>
      </c>
      <c r="G776" s="1">
        <v>1777</v>
      </c>
      <c r="H776">
        <f t="shared" si="36"/>
        <v>2019</v>
      </c>
      <c r="I776">
        <f t="shared" si="37"/>
        <v>2021</v>
      </c>
      <c r="J776" s="7">
        <f t="shared" si="38"/>
        <v>1329012.0631301282</v>
      </c>
      <c r="K776" s="7"/>
    </row>
    <row r="777" spans="1:11" x14ac:dyDescent="0.25">
      <c r="A777" s="1" t="s">
        <v>17</v>
      </c>
      <c r="B777" s="2">
        <v>201903</v>
      </c>
      <c r="C777" s="2">
        <v>202103</v>
      </c>
      <c r="D777" s="10">
        <v>20411.191404318517</v>
      </c>
      <c r="E777" s="10">
        <v>1015898.1715701905</v>
      </c>
      <c r="F777" s="1">
        <v>49</v>
      </c>
      <c r="G777" s="1">
        <v>1658</v>
      </c>
      <c r="H777">
        <f t="shared" si="36"/>
        <v>2019</v>
      </c>
      <c r="I777">
        <f t="shared" si="37"/>
        <v>2021</v>
      </c>
      <c r="J777" s="7">
        <f t="shared" si="38"/>
        <v>1036309.362974509</v>
      </c>
      <c r="K777" s="7"/>
    </row>
    <row r="778" spans="1:11" x14ac:dyDescent="0.25">
      <c r="A778" s="1" t="s">
        <v>17</v>
      </c>
      <c r="B778" s="2">
        <v>201903</v>
      </c>
      <c r="C778" s="2">
        <v>202104</v>
      </c>
      <c r="D778" s="10">
        <v>113735.92927092621</v>
      </c>
      <c r="E778" s="10">
        <v>793405.06842065579</v>
      </c>
      <c r="F778" s="1">
        <v>45</v>
      </c>
      <c r="G778" s="1">
        <v>1487</v>
      </c>
      <c r="H778">
        <f t="shared" si="36"/>
        <v>2019</v>
      </c>
      <c r="I778">
        <f t="shared" si="37"/>
        <v>2021</v>
      </c>
      <c r="J778" s="7">
        <f t="shared" si="38"/>
        <v>907140.99769158196</v>
      </c>
      <c r="K778" s="7"/>
    </row>
    <row r="779" spans="1:11" x14ac:dyDescent="0.25">
      <c r="A779" s="1" t="s">
        <v>17</v>
      </c>
      <c r="B779" s="2">
        <v>201904</v>
      </c>
      <c r="C779" s="2">
        <v>201904</v>
      </c>
      <c r="D779" s="10">
        <v>76497.054216981371</v>
      </c>
      <c r="E779" s="10">
        <v>603735.62123442476</v>
      </c>
      <c r="F779" s="1">
        <v>3855</v>
      </c>
      <c r="G779" s="1">
        <v>2555</v>
      </c>
      <c r="H779">
        <f t="shared" si="36"/>
        <v>2019</v>
      </c>
      <c r="I779">
        <f t="shared" si="37"/>
        <v>2019</v>
      </c>
      <c r="J779" s="7">
        <f t="shared" si="38"/>
        <v>680232.67545140616</v>
      </c>
      <c r="K779" s="7"/>
    </row>
    <row r="780" spans="1:11" x14ac:dyDescent="0.25">
      <c r="A780" s="1" t="s">
        <v>17</v>
      </c>
      <c r="B780" s="2">
        <v>201904</v>
      </c>
      <c r="C780" s="2">
        <v>202001</v>
      </c>
      <c r="D780" s="10">
        <v>184353.53186870893</v>
      </c>
      <c r="E780" s="10">
        <v>764892.66577757383</v>
      </c>
      <c r="F780" s="1">
        <v>2128</v>
      </c>
      <c r="G780" s="1">
        <v>2898</v>
      </c>
      <c r="H780">
        <f t="shared" si="36"/>
        <v>2019</v>
      </c>
      <c r="I780">
        <f t="shared" si="37"/>
        <v>2020</v>
      </c>
      <c r="J780" s="7">
        <f t="shared" si="38"/>
        <v>949246.19764628273</v>
      </c>
      <c r="K780" s="7"/>
    </row>
    <row r="781" spans="1:11" x14ac:dyDescent="0.25">
      <c r="A781" s="1" t="s">
        <v>17</v>
      </c>
      <c r="B781" s="2">
        <v>201904</v>
      </c>
      <c r="C781" s="2">
        <v>202002</v>
      </c>
      <c r="D781" s="10">
        <v>140103.10876371979</v>
      </c>
      <c r="E781" s="10">
        <v>808286.43779640528</v>
      </c>
      <c r="F781" s="1">
        <v>460</v>
      </c>
      <c r="G781" s="1">
        <v>2627</v>
      </c>
      <c r="H781">
        <f t="shared" si="36"/>
        <v>2019</v>
      </c>
      <c r="I781">
        <f t="shared" si="37"/>
        <v>2020</v>
      </c>
      <c r="J781" s="7">
        <f t="shared" si="38"/>
        <v>948389.54656012508</v>
      </c>
      <c r="K781" s="7"/>
    </row>
    <row r="782" spans="1:11" x14ac:dyDescent="0.25">
      <c r="A782" s="1" t="s">
        <v>17</v>
      </c>
      <c r="B782" s="2">
        <v>201904</v>
      </c>
      <c r="C782" s="2">
        <v>202003</v>
      </c>
      <c r="D782" s="10">
        <v>160680.437029505</v>
      </c>
      <c r="E782" s="10">
        <v>773728.15368248464</v>
      </c>
      <c r="F782" s="1">
        <v>230</v>
      </c>
      <c r="G782" s="1">
        <v>2435</v>
      </c>
      <c r="H782">
        <f t="shared" si="36"/>
        <v>2019</v>
      </c>
      <c r="I782">
        <f t="shared" si="37"/>
        <v>2020</v>
      </c>
      <c r="J782" s="7">
        <f t="shared" si="38"/>
        <v>934408.59071198967</v>
      </c>
      <c r="K782" s="7"/>
    </row>
    <row r="783" spans="1:11" x14ac:dyDescent="0.25">
      <c r="A783" s="1" t="s">
        <v>17</v>
      </c>
      <c r="B783" s="2">
        <v>201904</v>
      </c>
      <c r="C783" s="2">
        <v>202004</v>
      </c>
      <c r="D783" s="10">
        <v>94530.596924469472</v>
      </c>
      <c r="E783" s="10">
        <v>1090456.0269620677</v>
      </c>
      <c r="F783" s="1">
        <v>131</v>
      </c>
      <c r="G783" s="1">
        <v>2128</v>
      </c>
      <c r="H783">
        <f t="shared" si="36"/>
        <v>2019</v>
      </c>
      <c r="I783">
        <f t="shared" si="37"/>
        <v>2020</v>
      </c>
      <c r="J783" s="7">
        <f t="shared" si="38"/>
        <v>1184986.6238865373</v>
      </c>
      <c r="K783" s="7"/>
    </row>
    <row r="784" spans="1:11" x14ac:dyDescent="0.25">
      <c r="A784" s="1" t="s">
        <v>17</v>
      </c>
      <c r="B784" s="2">
        <v>201904</v>
      </c>
      <c r="C784" s="2">
        <v>202101</v>
      </c>
      <c r="D784" s="10">
        <v>54386.965168136259</v>
      </c>
      <c r="E784" s="10">
        <v>1079598.4141253165</v>
      </c>
      <c r="F784" s="1">
        <v>91</v>
      </c>
      <c r="G784" s="1">
        <v>1939</v>
      </c>
      <c r="H784">
        <f t="shared" si="36"/>
        <v>2019</v>
      </c>
      <c r="I784">
        <f t="shared" si="37"/>
        <v>2021</v>
      </c>
      <c r="J784" s="7">
        <f t="shared" si="38"/>
        <v>1133985.3792934527</v>
      </c>
      <c r="K784" s="7"/>
    </row>
    <row r="785" spans="1:11" x14ac:dyDescent="0.25">
      <c r="A785" s="1" t="s">
        <v>17</v>
      </c>
      <c r="B785" s="2">
        <v>201904</v>
      </c>
      <c r="C785" s="2">
        <v>202102</v>
      </c>
      <c r="D785" s="10">
        <v>35145.562472901154</v>
      </c>
      <c r="E785" s="10">
        <v>1084053.2003925613</v>
      </c>
      <c r="F785" s="1">
        <v>48</v>
      </c>
      <c r="G785" s="1">
        <v>1707</v>
      </c>
      <c r="H785">
        <f t="shared" si="36"/>
        <v>2019</v>
      </c>
      <c r="I785">
        <f t="shared" si="37"/>
        <v>2021</v>
      </c>
      <c r="J785" s="7">
        <f t="shared" si="38"/>
        <v>1119198.7628654623</v>
      </c>
      <c r="K785" s="7"/>
    </row>
    <row r="786" spans="1:11" x14ac:dyDescent="0.25">
      <c r="A786" s="1" t="s">
        <v>17</v>
      </c>
      <c r="B786" s="2">
        <v>201904</v>
      </c>
      <c r="C786" s="2">
        <v>202103</v>
      </c>
      <c r="D786" s="10">
        <v>54934.470248511963</v>
      </c>
      <c r="E786" s="10">
        <v>1086662.2341243825</v>
      </c>
      <c r="F786" s="1">
        <v>53</v>
      </c>
      <c r="G786" s="1">
        <v>1574</v>
      </c>
      <c r="H786">
        <f t="shared" si="36"/>
        <v>2019</v>
      </c>
      <c r="I786">
        <f t="shared" si="37"/>
        <v>2021</v>
      </c>
      <c r="J786" s="7">
        <f t="shared" si="38"/>
        <v>1141596.7043728945</v>
      </c>
      <c r="K786" s="7"/>
    </row>
    <row r="787" spans="1:11" x14ac:dyDescent="0.25">
      <c r="A787" s="1" t="s">
        <v>17</v>
      </c>
      <c r="B787" s="2">
        <v>201904</v>
      </c>
      <c r="C787" s="2">
        <v>202104</v>
      </c>
      <c r="D787" s="10">
        <v>53103.806315436988</v>
      </c>
      <c r="E787" s="10">
        <v>881060.65154820762</v>
      </c>
      <c r="F787" s="1">
        <v>38</v>
      </c>
      <c r="G787" s="1">
        <v>1383</v>
      </c>
      <c r="H787">
        <f t="shared" si="36"/>
        <v>2019</v>
      </c>
      <c r="I787">
        <f t="shared" si="37"/>
        <v>2021</v>
      </c>
      <c r="J787" s="7">
        <f t="shared" si="38"/>
        <v>934164.45786364458</v>
      </c>
      <c r="K787" s="7"/>
    </row>
    <row r="788" spans="1:11" x14ac:dyDescent="0.25">
      <c r="A788" s="1" t="s">
        <v>17</v>
      </c>
      <c r="B788" s="2">
        <v>202001</v>
      </c>
      <c r="C788" s="2">
        <v>202001</v>
      </c>
      <c r="D788" s="10">
        <v>104729.00412255884</v>
      </c>
      <c r="E788" s="10">
        <v>638660.08062931104</v>
      </c>
      <c r="F788" s="1">
        <v>4015</v>
      </c>
      <c r="G788" s="1">
        <v>2574</v>
      </c>
      <c r="H788">
        <f t="shared" si="36"/>
        <v>2020</v>
      </c>
      <c r="I788">
        <f t="shared" si="37"/>
        <v>2020</v>
      </c>
      <c r="J788" s="7">
        <f t="shared" si="38"/>
        <v>743389.0847518699</v>
      </c>
      <c r="K788" s="7"/>
    </row>
    <row r="789" spans="1:11" x14ac:dyDescent="0.25">
      <c r="A789" s="1" t="s">
        <v>17</v>
      </c>
      <c r="B789" s="2">
        <v>202001</v>
      </c>
      <c r="C789" s="2">
        <v>202002</v>
      </c>
      <c r="D789" s="10">
        <v>194079.7628800504</v>
      </c>
      <c r="E789" s="10">
        <v>937247.08884340338</v>
      </c>
      <c r="F789" s="1">
        <v>2151</v>
      </c>
      <c r="G789" s="1">
        <v>3047</v>
      </c>
      <c r="H789">
        <f t="shared" si="36"/>
        <v>2020</v>
      </c>
      <c r="I789">
        <f t="shared" si="37"/>
        <v>2020</v>
      </c>
      <c r="J789" s="7">
        <f t="shared" si="38"/>
        <v>1131326.8517234537</v>
      </c>
      <c r="K789" s="7"/>
    </row>
    <row r="790" spans="1:11" x14ac:dyDescent="0.25">
      <c r="A790" s="1" t="s">
        <v>17</v>
      </c>
      <c r="B790" s="2">
        <v>202001</v>
      </c>
      <c r="C790" s="2">
        <v>202003</v>
      </c>
      <c r="D790" s="10">
        <v>144631.85946124524</v>
      </c>
      <c r="E790" s="10">
        <v>965632.718618299</v>
      </c>
      <c r="F790" s="1">
        <v>508</v>
      </c>
      <c r="G790" s="1">
        <v>2930</v>
      </c>
      <c r="H790">
        <f t="shared" si="36"/>
        <v>2020</v>
      </c>
      <c r="I790">
        <f t="shared" si="37"/>
        <v>2020</v>
      </c>
      <c r="J790" s="7">
        <f t="shared" si="38"/>
        <v>1110264.5780795442</v>
      </c>
      <c r="K790" s="7"/>
    </row>
    <row r="791" spans="1:11" x14ac:dyDescent="0.25">
      <c r="A791" s="1" t="s">
        <v>17</v>
      </c>
      <c r="B791" s="2">
        <v>202001</v>
      </c>
      <c r="C791" s="2">
        <v>202004</v>
      </c>
      <c r="D791" s="10">
        <v>111788.23543470244</v>
      </c>
      <c r="E791" s="10">
        <v>1036023.7684252259</v>
      </c>
      <c r="F791" s="1">
        <v>356</v>
      </c>
      <c r="G791" s="1">
        <v>2635</v>
      </c>
      <c r="H791">
        <f t="shared" si="36"/>
        <v>2020</v>
      </c>
      <c r="I791">
        <f t="shared" si="37"/>
        <v>2020</v>
      </c>
      <c r="J791" s="7">
        <f t="shared" si="38"/>
        <v>1147812.0038599283</v>
      </c>
      <c r="K791" s="7"/>
    </row>
    <row r="792" spans="1:11" x14ac:dyDescent="0.25">
      <c r="A792" s="1" t="s">
        <v>17</v>
      </c>
      <c r="B792" s="2">
        <v>202001</v>
      </c>
      <c r="C792" s="2">
        <v>202101</v>
      </c>
      <c r="D792" s="10">
        <v>110458.02722389509</v>
      </c>
      <c r="E792" s="10">
        <v>1049285.7905172452</v>
      </c>
      <c r="F792" s="1">
        <v>275</v>
      </c>
      <c r="G792" s="1">
        <v>2395</v>
      </c>
      <c r="H792">
        <f t="shared" si="36"/>
        <v>2020</v>
      </c>
      <c r="I792">
        <f t="shared" si="37"/>
        <v>2021</v>
      </c>
      <c r="J792" s="7">
        <f t="shared" si="38"/>
        <v>1159743.8177411403</v>
      </c>
      <c r="K792" s="7"/>
    </row>
    <row r="793" spans="1:11" x14ac:dyDescent="0.25">
      <c r="A793" s="1" t="s">
        <v>17</v>
      </c>
      <c r="B793" s="2">
        <v>202001</v>
      </c>
      <c r="C793" s="2">
        <v>202102</v>
      </c>
      <c r="D793" s="10">
        <v>149634.03047796185</v>
      </c>
      <c r="E793" s="10">
        <v>1049972.9449697493</v>
      </c>
      <c r="F793" s="1">
        <v>119</v>
      </c>
      <c r="G793" s="1">
        <v>2138</v>
      </c>
      <c r="H793">
        <f t="shared" si="36"/>
        <v>2020</v>
      </c>
      <c r="I793">
        <f t="shared" si="37"/>
        <v>2021</v>
      </c>
      <c r="J793" s="7">
        <f t="shared" si="38"/>
        <v>1199606.9754477111</v>
      </c>
      <c r="K793" s="7"/>
    </row>
    <row r="794" spans="1:11" x14ac:dyDescent="0.25">
      <c r="A794" s="1" t="s">
        <v>17</v>
      </c>
      <c r="B794" s="2">
        <v>202001</v>
      </c>
      <c r="C794" s="2">
        <v>202103</v>
      </c>
      <c r="D794" s="10">
        <v>59931.371034948796</v>
      </c>
      <c r="E794" s="10">
        <v>1056765.6205533231</v>
      </c>
      <c r="F794" s="1">
        <v>61</v>
      </c>
      <c r="G794" s="1">
        <v>1900</v>
      </c>
      <c r="H794">
        <f t="shared" si="36"/>
        <v>2020</v>
      </c>
      <c r="I794">
        <f t="shared" si="37"/>
        <v>2021</v>
      </c>
      <c r="J794" s="7">
        <f t="shared" si="38"/>
        <v>1116696.9915882719</v>
      </c>
      <c r="K794" s="7"/>
    </row>
    <row r="795" spans="1:11" x14ac:dyDescent="0.25">
      <c r="A795" s="1" t="s">
        <v>17</v>
      </c>
      <c r="B795" s="2">
        <v>202001</v>
      </c>
      <c r="C795" s="2">
        <v>202104</v>
      </c>
      <c r="D795" s="10">
        <v>64623.888560384425</v>
      </c>
      <c r="E795" s="10">
        <v>817937.43607167574</v>
      </c>
      <c r="F795" s="1">
        <v>63</v>
      </c>
      <c r="G795" s="1">
        <v>1637</v>
      </c>
      <c r="H795">
        <f t="shared" si="36"/>
        <v>2020</v>
      </c>
      <c r="I795">
        <f t="shared" si="37"/>
        <v>2021</v>
      </c>
      <c r="J795" s="7">
        <f t="shared" si="38"/>
        <v>882561.32463206013</v>
      </c>
      <c r="K795" s="7"/>
    </row>
    <row r="796" spans="1:11" x14ac:dyDescent="0.25">
      <c r="A796" s="1" t="s">
        <v>17</v>
      </c>
      <c r="B796" s="2">
        <v>202002</v>
      </c>
      <c r="C796" s="2">
        <v>202002</v>
      </c>
      <c r="D796" s="10">
        <v>80535.849769928551</v>
      </c>
      <c r="E796" s="10">
        <v>546662.47445370979</v>
      </c>
      <c r="F796" s="1">
        <v>3983</v>
      </c>
      <c r="G796" s="1">
        <v>2666</v>
      </c>
      <c r="H796">
        <f t="shared" si="36"/>
        <v>2020</v>
      </c>
      <c r="I796">
        <f t="shared" si="37"/>
        <v>2020</v>
      </c>
      <c r="J796" s="7">
        <f t="shared" si="38"/>
        <v>627198.32422363828</v>
      </c>
      <c r="K796" s="7"/>
    </row>
    <row r="797" spans="1:11" x14ac:dyDescent="0.25">
      <c r="A797" s="1" t="s">
        <v>17</v>
      </c>
      <c r="B797" s="2">
        <v>202002</v>
      </c>
      <c r="C797" s="2">
        <v>202003</v>
      </c>
      <c r="D797" s="10">
        <v>187531.75837084322</v>
      </c>
      <c r="E797" s="10">
        <v>691673.11794705165</v>
      </c>
      <c r="F797" s="1">
        <v>2227</v>
      </c>
      <c r="G797" s="1">
        <v>3008</v>
      </c>
      <c r="H797">
        <f t="shared" si="36"/>
        <v>2020</v>
      </c>
      <c r="I797">
        <f t="shared" si="37"/>
        <v>2020</v>
      </c>
      <c r="J797" s="7">
        <f t="shared" si="38"/>
        <v>879204.8763178949</v>
      </c>
      <c r="K797" s="7"/>
    </row>
    <row r="798" spans="1:11" x14ac:dyDescent="0.25">
      <c r="A798" s="1" t="s">
        <v>17</v>
      </c>
      <c r="B798" s="2">
        <v>202002</v>
      </c>
      <c r="C798" s="2">
        <v>202004</v>
      </c>
      <c r="D798" s="10">
        <v>135213.69348500718</v>
      </c>
      <c r="E798" s="10">
        <v>686141.63710655039</v>
      </c>
      <c r="F798" s="1">
        <v>545</v>
      </c>
      <c r="G798" s="1">
        <v>2675</v>
      </c>
      <c r="H798">
        <f t="shared" si="36"/>
        <v>2020</v>
      </c>
      <c r="I798">
        <f t="shared" si="37"/>
        <v>2020</v>
      </c>
      <c r="J798" s="7">
        <f t="shared" si="38"/>
        <v>821355.33059155755</v>
      </c>
      <c r="K798" s="7"/>
    </row>
    <row r="799" spans="1:11" x14ac:dyDescent="0.25">
      <c r="A799" s="1" t="s">
        <v>17</v>
      </c>
      <c r="B799" s="2">
        <v>202002</v>
      </c>
      <c r="C799" s="2">
        <v>202101</v>
      </c>
      <c r="D799" s="10">
        <v>108941.10519894533</v>
      </c>
      <c r="E799" s="10">
        <v>694711.13342733204</v>
      </c>
      <c r="F799" s="1">
        <v>226</v>
      </c>
      <c r="G799" s="1">
        <v>2353</v>
      </c>
      <c r="H799">
        <f t="shared" si="36"/>
        <v>2020</v>
      </c>
      <c r="I799">
        <f t="shared" si="37"/>
        <v>2021</v>
      </c>
      <c r="J799" s="7">
        <f t="shared" si="38"/>
        <v>803652.23862627731</v>
      </c>
      <c r="K799" s="7"/>
    </row>
    <row r="800" spans="1:11" x14ac:dyDescent="0.25">
      <c r="A800" s="1" t="s">
        <v>17</v>
      </c>
      <c r="B800" s="2">
        <v>202002</v>
      </c>
      <c r="C800" s="2">
        <v>202102</v>
      </c>
      <c r="D800" s="10">
        <v>53888.990929330204</v>
      </c>
      <c r="E800" s="10">
        <v>708310.01799908141</v>
      </c>
      <c r="F800" s="1">
        <v>134</v>
      </c>
      <c r="G800" s="1">
        <v>2070</v>
      </c>
      <c r="H800">
        <f t="shared" si="36"/>
        <v>2020</v>
      </c>
      <c r="I800">
        <f t="shared" si="37"/>
        <v>2021</v>
      </c>
      <c r="J800" s="7">
        <f t="shared" si="38"/>
        <v>762199.00892841164</v>
      </c>
      <c r="K800" s="7"/>
    </row>
    <row r="801" spans="1:11" x14ac:dyDescent="0.25">
      <c r="A801" s="1" t="s">
        <v>17</v>
      </c>
      <c r="B801" s="2">
        <v>202002</v>
      </c>
      <c r="C801" s="2">
        <v>202103</v>
      </c>
      <c r="D801" s="10">
        <v>34855.12590674244</v>
      </c>
      <c r="E801" s="10">
        <v>709038.26463682984</v>
      </c>
      <c r="F801" s="1">
        <v>80</v>
      </c>
      <c r="G801" s="1">
        <v>1825</v>
      </c>
      <c r="H801">
        <f t="shared" si="36"/>
        <v>2020</v>
      </c>
      <c r="I801">
        <f t="shared" si="37"/>
        <v>2021</v>
      </c>
      <c r="J801" s="7">
        <f t="shared" si="38"/>
        <v>743893.39054357226</v>
      </c>
      <c r="K801" s="7"/>
    </row>
    <row r="802" spans="1:11" x14ac:dyDescent="0.25">
      <c r="A802" s="1" t="s">
        <v>17</v>
      </c>
      <c r="B802" s="2">
        <v>202002</v>
      </c>
      <c r="C802" s="2">
        <v>202104</v>
      </c>
      <c r="D802" s="10">
        <v>45436.249041662915</v>
      </c>
      <c r="E802" s="10">
        <v>595909.15112616366</v>
      </c>
      <c r="F802" s="1">
        <v>82</v>
      </c>
      <c r="G802" s="1">
        <v>1617</v>
      </c>
      <c r="H802">
        <f t="shared" si="36"/>
        <v>2020</v>
      </c>
      <c r="I802">
        <f t="shared" si="37"/>
        <v>2021</v>
      </c>
      <c r="J802" s="7">
        <f t="shared" si="38"/>
        <v>641345.40016782656</v>
      </c>
      <c r="K802" s="7"/>
    </row>
    <row r="803" spans="1:11" x14ac:dyDescent="0.25">
      <c r="A803" s="1" t="s">
        <v>17</v>
      </c>
      <c r="B803" s="2">
        <v>202003</v>
      </c>
      <c r="C803" s="2">
        <v>202003</v>
      </c>
      <c r="D803" s="10">
        <v>100016.98683420088</v>
      </c>
      <c r="E803" s="10">
        <v>635642.56840891589</v>
      </c>
      <c r="F803" s="1">
        <v>4469</v>
      </c>
      <c r="G803" s="1">
        <v>3049</v>
      </c>
      <c r="H803">
        <f t="shared" si="36"/>
        <v>2020</v>
      </c>
      <c r="I803">
        <f t="shared" si="37"/>
        <v>2020</v>
      </c>
      <c r="J803" s="7">
        <f t="shared" si="38"/>
        <v>735659.5552431168</v>
      </c>
      <c r="K803" s="7"/>
    </row>
    <row r="804" spans="1:11" x14ac:dyDescent="0.25">
      <c r="A804" s="1" t="s">
        <v>17</v>
      </c>
      <c r="B804" s="2">
        <v>202003</v>
      </c>
      <c r="C804" s="2">
        <v>202004</v>
      </c>
      <c r="D804" s="10">
        <v>239796.25381161689</v>
      </c>
      <c r="E804" s="10">
        <v>815140.84529354423</v>
      </c>
      <c r="F804" s="1">
        <v>2445</v>
      </c>
      <c r="G804" s="1">
        <v>3462</v>
      </c>
      <c r="H804">
        <f t="shared" si="36"/>
        <v>2020</v>
      </c>
      <c r="I804">
        <f t="shared" si="37"/>
        <v>2020</v>
      </c>
      <c r="J804" s="7">
        <f t="shared" si="38"/>
        <v>1054937.0991051611</v>
      </c>
      <c r="K804" s="7"/>
    </row>
    <row r="805" spans="1:11" x14ac:dyDescent="0.25">
      <c r="A805" s="1" t="s">
        <v>17</v>
      </c>
      <c r="B805" s="2">
        <v>202003</v>
      </c>
      <c r="C805" s="2">
        <v>202101</v>
      </c>
      <c r="D805" s="10">
        <v>139910.52810142399</v>
      </c>
      <c r="E805" s="10">
        <v>827938.5312722883</v>
      </c>
      <c r="F805" s="1">
        <v>479</v>
      </c>
      <c r="G805" s="1">
        <v>2944</v>
      </c>
      <c r="H805">
        <f t="shared" si="36"/>
        <v>2020</v>
      </c>
      <c r="I805">
        <f t="shared" si="37"/>
        <v>2021</v>
      </c>
      <c r="J805" s="7">
        <f t="shared" si="38"/>
        <v>967849.05937371228</v>
      </c>
      <c r="K805" s="7"/>
    </row>
    <row r="806" spans="1:11" x14ac:dyDescent="0.25">
      <c r="A806" s="1" t="s">
        <v>17</v>
      </c>
      <c r="B806" s="2">
        <v>202003</v>
      </c>
      <c r="C806" s="2">
        <v>202102</v>
      </c>
      <c r="D806" s="10">
        <v>108399.78144667654</v>
      </c>
      <c r="E806" s="10">
        <v>835489.57235537446</v>
      </c>
      <c r="F806" s="1">
        <v>253</v>
      </c>
      <c r="G806" s="1">
        <v>2622</v>
      </c>
      <c r="H806">
        <f t="shared" si="36"/>
        <v>2020</v>
      </c>
      <c r="I806">
        <f t="shared" si="37"/>
        <v>2021</v>
      </c>
      <c r="J806" s="7">
        <f t="shared" si="38"/>
        <v>943889.35380205105</v>
      </c>
      <c r="K806" s="7"/>
    </row>
    <row r="807" spans="1:11" x14ac:dyDescent="0.25">
      <c r="A807" s="1" t="s">
        <v>17</v>
      </c>
      <c r="B807" s="2">
        <v>202003</v>
      </c>
      <c r="C807" s="2">
        <v>202103</v>
      </c>
      <c r="D807" s="10">
        <v>57817.686983324245</v>
      </c>
      <c r="E807" s="10">
        <v>816991.63307684439</v>
      </c>
      <c r="F807" s="1">
        <v>148</v>
      </c>
      <c r="G807" s="1">
        <v>2313</v>
      </c>
      <c r="H807">
        <f t="shared" si="36"/>
        <v>2020</v>
      </c>
      <c r="I807">
        <f t="shared" si="37"/>
        <v>2021</v>
      </c>
      <c r="J807" s="7">
        <f t="shared" si="38"/>
        <v>874809.32006016863</v>
      </c>
      <c r="K807" s="7"/>
    </row>
    <row r="808" spans="1:11" x14ac:dyDescent="0.25">
      <c r="A808" s="1" t="s">
        <v>17</v>
      </c>
      <c r="B808" s="2">
        <v>202003</v>
      </c>
      <c r="C808" s="2">
        <v>202104</v>
      </c>
      <c r="D808" s="10">
        <v>73942.81508420009</v>
      </c>
      <c r="E808" s="10">
        <v>857232.69741034904</v>
      </c>
      <c r="F808" s="1">
        <v>93</v>
      </c>
      <c r="G808" s="1">
        <v>1962</v>
      </c>
      <c r="H808">
        <f t="shared" si="36"/>
        <v>2020</v>
      </c>
      <c r="I808">
        <f t="shared" si="37"/>
        <v>2021</v>
      </c>
      <c r="J808" s="7">
        <f t="shared" si="38"/>
        <v>931175.51249454916</v>
      </c>
      <c r="K808" s="7"/>
    </row>
    <row r="809" spans="1:11" x14ac:dyDescent="0.25">
      <c r="A809" s="1" t="s">
        <v>17</v>
      </c>
      <c r="B809" s="2">
        <v>202004</v>
      </c>
      <c r="C809" s="2">
        <v>202004</v>
      </c>
      <c r="D809" s="10">
        <v>83209.263392068067</v>
      </c>
      <c r="E809" s="10">
        <v>527218.57530072273</v>
      </c>
      <c r="F809" s="1">
        <v>3678</v>
      </c>
      <c r="G809" s="1">
        <v>2451</v>
      </c>
      <c r="H809">
        <f t="shared" si="36"/>
        <v>2020</v>
      </c>
      <c r="I809">
        <f t="shared" si="37"/>
        <v>2020</v>
      </c>
      <c r="J809" s="7">
        <f t="shared" si="38"/>
        <v>610427.83869279083</v>
      </c>
      <c r="K809" s="7"/>
    </row>
    <row r="810" spans="1:11" x14ac:dyDescent="0.25">
      <c r="A810" s="1" t="s">
        <v>17</v>
      </c>
      <c r="B810" s="2">
        <v>202004</v>
      </c>
      <c r="C810" s="2">
        <v>202101</v>
      </c>
      <c r="D810" s="10">
        <v>174928.64371437504</v>
      </c>
      <c r="E810" s="10">
        <v>532105.84574376745</v>
      </c>
      <c r="F810" s="1">
        <v>2286</v>
      </c>
      <c r="G810" s="1">
        <v>3009</v>
      </c>
      <c r="H810">
        <f t="shared" si="36"/>
        <v>2020</v>
      </c>
      <c r="I810">
        <f t="shared" si="37"/>
        <v>2021</v>
      </c>
      <c r="J810" s="7">
        <f t="shared" si="38"/>
        <v>707034.48945814255</v>
      </c>
      <c r="K810" s="7"/>
    </row>
    <row r="811" spans="1:11" x14ac:dyDescent="0.25">
      <c r="A811" s="1" t="s">
        <v>17</v>
      </c>
      <c r="B811" s="2">
        <v>202004</v>
      </c>
      <c r="C811" s="2">
        <v>202102</v>
      </c>
      <c r="D811" s="10">
        <v>184809.48629512463</v>
      </c>
      <c r="E811" s="10">
        <v>528391.08231273515</v>
      </c>
      <c r="F811" s="1">
        <v>535</v>
      </c>
      <c r="G811" s="1">
        <v>2751</v>
      </c>
      <c r="H811">
        <f t="shared" si="36"/>
        <v>2020</v>
      </c>
      <c r="I811">
        <f t="shared" si="37"/>
        <v>2021</v>
      </c>
      <c r="J811" s="7">
        <f t="shared" si="38"/>
        <v>713200.56860785978</v>
      </c>
      <c r="K811" s="7"/>
    </row>
    <row r="812" spans="1:11" x14ac:dyDescent="0.25">
      <c r="A812" s="1" t="s">
        <v>17</v>
      </c>
      <c r="B812" s="2">
        <v>202004</v>
      </c>
      <c r="C812" s="2">
        <v>202103</v>
      </c>
      <c r="D812" s="10">
        <v>106798.78639096602</v>
      </c>
      <c r="E812" s="10">
        <v>531523.01314539718</v>
      </c>
      <c r="F812" s="1">
        <v>247</v>
      </c>
      <c r="G812" s="1">
        <v>2479</v>
      </c>
      <c r="H812">
        <f t="shared" si="36"/>
        <v>2020</v>
      </c>
      <c r="I812">
        <f t="shared" si="37"/>
        <v>2021</v>
      </c>
      <c r="J812" s="7">
        <f t="shared" si="38"/>
        <v>638321.79953636322</v>
      </c>
      <c r="K812" s="7"/>
    </row>
    <row r="813" spans="1:11" x14ac:dyDescent="0.25">
      <c r="A813" s="1" t="s">
        <v>17</v>
      </c>
      <c r="B813" s="2">
        <v>202004</v>
      </c>
      <c r="C813" s="2">
        <v>202104</v>
      </c>
      <c r="D813" s="10">
        <v>175458.12953486977</v>
      </c>
      <c r="E813" s="10">
        <v>916106.16290843941</v>
      </c>
      <c r="F813" s="1">
        <v>148</v>
      </c>
      <c r="G813" s="1">
        <v>2136</v>
      </c>
      <c r="H813">
        <f t="shared" si="36"/>
        <v>2020</v>
      </c>
      <c r="I813">
        <f t="shared" si="37"/>
        <v>2021</v>
      </c>
      <c r="J813" s="7">
        <f t="shared" si="38"/>
        <v>1091564.2924433092</v>
      </c>
      <c r="K813" s="7"/>
    </row>
    <row r="814" spans="1:11" x14ac:dyDescent="0.25">
      <c r="A814" s="1" t="s">
        <v>17</v>
      </c>
      <c r="B814" s="2">
        <v>202101</v>
      </c>
      <c r="C814" s="2">
        <v>202101</v>
      </c>
      <c r="D814" s="10">
        <v>105017.64226248792</v>
      </c>
      <c r="E814" s="10">
        <v>0</v>
      </c>
      <c r="F814" s="1">
        <v>4650</v>
      </c>
      <c r="G814" s="1">
        <v>3071</v>
      </c>
      <c r="H814">
        <f t="shared" si="36"/>
        <v>2021</v>
      </c>
      <c r="I814">
        <f t="shared" si="37"/>
        <v>2021</v>
      </c>
      <c r="J814" s="7">
        <f t="shared" si="38"/>
        <v>105017.64226248792</v>
      </c>
      <c r="K814" s="7"/>
    </row>
    <row r="815" spans="1:11" x14ac:dyDescent="0.25">
      <c r="A815" s="1" t="s">
        <v>17</v>
      </c>
      <c r="B815" s="2">
        <v>202101</v>
      </c>
      <c r="C815" s="2">
        <v>202102</v>
      </c>
      <c r="D815" s="10">
        <v>233100.9072141767</v>
      </c>
      <c r="E815" s="10">
        <v>0</v>
      </c>
      <c r="F815" s="1">
        <v>2654</v>
      </c>
      <c r="G815" s="1">
        <v>3684</v>
      </c>
      <c r="H815">
        <f t="shared" si="36"/>
        <v>2021</v>
      </c>
      <c r="I815">
        <f t="shared" si="37"/>
        <v>2021</v>
      </c>
      <c r="J815" s="7">
        <f t="shared" si="38"/>
        <v>233100.9072141767</v>
      </c>
      <c r="K815" s="7"/>
    </row>
    <row r="816" spans="1:11" x14ac:dyDescent="0.25">
      <c r="A816" s="1" t="s">
        <v>17</v>
      </c>
      <c r="B816" s="2">
        <v>202101</v>
      </c>
      <c r="C816" s="2">
        <v>202103</v>
      </c>
      <c r="D816" s="10">
        <v>130077.60580693743</v>
      </c>
      <c r="E816" s="10">
        <v>0</v>
      </c>
      <c r="F816" s="1">
        <v>630</v>
      </c>
      <c r="G816" s="1">
        <v>3410</v>
      </c>
      <c r="H816">
        <f t="shared" si="36"/>
        <v>2021</v>
      </c>
      <c r="I816">
        <f t="shared" si="37"/>
        <v>2021</v>
      </c>
      <c r="J816" s="7">
        <f t="shared" si="38"/>
        <v>130077.60580693743</v>
      </c>
      <c r="K816" s="7"/>
    </row>
    <row r="817" spans="1:11" x14ac:dyDescent="0.25">
      <c r="A817" s="1" t="s">
        <v>17</v>
      </c>
      <c r="B817" s="2">
        <v>202101</v>
      </c>
      <c r="C817" s="2">
        <v>202104</v>
      </c>
      <c r="D817" s="10">
        <v>96797.71890652852</v>
      </c>
      <c r="E817" s="10">
        <v>993462.77692186774</v>
      </c>
      <c r="F817" s="1">
        <v>330</v>
      </c>
      <c r="G817" s="1">
        <v>2975</v>
      </c>
      <c r="H817">
        <f t="shared" si="36"/>
        <v>2021</v>
      </c>
      <c r="I817">
        <f t="shared" si="37"/>
        <v>2021</v>
      </c>
      <c r="J817" s="7">
        <f t="shared" si="38"/>
        <v>1090260.4958283962</v>
      </c>
      <c r="K817" s="7"/>
    </row>
    <row r="818" spans="1:11" x14ac:dyDescent="0.25">
      <c r="A818" s="1" t="s">
        <v>17</v>
      </c>
      <c r="B818" s="2">
        <v>202102</v>
      </c>
      <c r="C818" s="2">
        <v>202102</v>
      </c>
      <c r="D818" s="10">
        <v>83790.923339778281</v>
      </c>
      <c r="E818" s="10">
        <v>0</v>
      </c>
      <c r="F818" s="1">
        <v>4732</v>
      </c>
      <c r="G818" s="1">
        <v>3181</v>
      </c>
      <c r="H818">
        <f t="shared" si="36"/>
        <v>2021</v>
      </c>
      <c r="I818">
        <f t="shared" si="37"/>
        <v>2021</v>
      </c>
      <c r="J818" s="7">
        <f t="shared" si="38"/>
        <v>83790.923339778281</v>
      </c>
      <c r="K818" s="7"/>
    </row>
    <row r="819" spans="1:11" x14ac:dyDescent="0.25">
      <c r="A819" s="1" t="s">
        <v>17</v>
      </c>
      <c r="B819" s="2">
        <v>202102</v>
      </c>
      <c r="C819" s="2">
        <v>202103</v>
      </c>
      <c r="D819" s="10">
        <v>205953.2692326314</v>
      </c>
      <c r="E819" s="10">
        <v>0</v>
      </c>
      <c r="F819" s="1">
        <v>2531</v>
      </c>
      <c r="G819" s="1">
        <v>3605</v>
      </c>
      <c r="H819">
        <f t="shared" si="36"/>
        <v>2021</v>
      </c>
      <c r="I819">
        <f t="shared" si="37"/>
        <v>2021</v>
      </c>
      <c r="J819" s="7">
        <f t="shared" si="38"/>
        <v>205953.2692326314</v>
      </c>
      <c r="K819" s="7"/>
    </row>
    <row r="820" spans="1:11" x14ac:dyDescent="0.25">
      <c r="A820" s="1" t="s">
        <v>17</v>
      </c>
      <c r="B820" s="2">
        <v>202102</v>
      </c>
      <c r="C820" s="2">
        <v>202104</v>
      </c>
      <c r="D820" s="10">
        <v>139900.94671191252</v>
      </c>
      <c r="E820" s="10">
        <v>826163.42426792299</v>
      </c>
      <c r="F820" s="1">
        <v>561</v>
      </c>
      <c r="G820" s="1">
        <v>3081</v>
      </c>
      <c r="H820">
        <f t="shared" si="36"/>
        <v>2021</v>
      </c>
      <c r="I820">
        <f t="shared" si="37"/>
        <v>2021</v>
      </c>
      <c r="J820" s="7">
        <f t="shared" si="38"/>
        <v>966064.37097983551</v>
      </c>
      <c r="K820" s="7"/>
    </row>
    <row r="821" spans="1:11" x14ac:dyDescent="0.25">
      <c r="A821" s="1" t="s">
        <v>17</v>
      </c>
      <c r="B821" s="2">
        <v>202103</v>
      </c>
      <c r="C821" s="2">
        <v>202103</v>
      </c>
      <c r="D821" s="10">
        <v>77796.097411619572</v>
      </c>
      <c r="E821" s="10">
        <v>0</v>
      </c>
      <c r="F821" s="1">
        <v>4388</v>
      </c>
      <c r="G821" s="1">
        <v>2847</v>
      </c>
      <c r="H821">
        <f t="shared" si="36"/>
        <v>2021</v>
      </c>
      <c r="I821">
        <f t="shared" si="37"/>
        <v>2021</v>
      </c>
      <c r="J821" s="7">
        <f t="shared" si="38"/>
        <v>77796.097411619572</v>
      </c>
      <c r="K821" s="7"/>
    </row>
    <row r="822" spans="1:11" x14ac:dyDescent="0.25">
      <c r="A822" s="1" t="s">
        <v>17</v>
      </c>
      <c r="B822" s="2">
        <v>202103</v>
      </c>
      <c r="C822" s="2">
        <v>202104</v>
      </c>
      <c r="D822" s="10">
        <v>186198.3958111211</v>
      </c>
      <c r="E822" s="10">
        <v>770314.43667562073</v>
      </c>
      <c r="F822" s="1">
        <v>2121</v>
      </c>
      <c r="G822" s="1">
        <v>3171</v>
      </c>
      <c r="H822">
        <f t="shared" si="36"/>
        <v>2021</v>
      </c>
      <c r="I822">
        <f t="shared" si="37"/>
        <v>2021</v>
      </c>
      <c r="J822" s="7">
        <f t="shared" si="38"/>
        <v>956512.83248674183</v>
      </c>
      <c r="K822" s="7"/>
    </row>
    <row r="823" spans="1:11" x14ac:dyDescent="0.25">
      <c r="A823" s="1" t="s">
        <v>17</v>
      </c>
      <c r="B823" s="2">
        <v>202104</v>
      </c>
      <c r="C823" s="2">
        <v>202104</v>
      </c>
      <c r="D823" s="10">
        <v>88168.84751564922</v>
      </c>
      <c r="E823" s="10">
        <v>524064.10850690486</v>
      </c>
      <c r="F823" s="1">
        <v>4001</v>
      </c>
      <c r="G823" s="1">
        <v>2538</v>
      </c>
      <c r="H823">
        <f t="shared" si="36"/>
        <v>2021</v>
      </c>
      <c r="I823">
        <f t="shared" si="37"/>
        <v>2021</v>
      </c>
      <c r="J823" s="7">
        <f t="shared" si="38"/>
        <v>612232.95602255408</v>
      </c>
      <c r="K823" s="7"/>
    </row>
    <row r="824" spans="1:11" x14ac:dyDescent="0.25">
      <c r="A824" s="1" t="s">
        <v>18</v>
      </c>
      <c r="B824" s="2">
        <v>201201</v>
      </c>
      <c r="C824" s="2">
        <v>201201</v>
      </c>
      <c r="D824" s="10">
        <v>725334.40689393727</v>
      </c>
      <c r="E824" s="10">
        <v>1146271.1622490559</v>
      </c>
      <c r="F824" s="1">
        <v>16165</v>
      </c>
      <c r="G824" s="1">
        <v>9747</v>
      </c>
      <c r="H824">
        <f t="shared" si="36"/>
        <v>2012</v>
      </c>
      <c r="I824">
        <f t="shared" si="37"/>
        <v>2012</v>
      </c>
      <c r="J824" s="7">
        <f t="shared" si="38"/>
        <v>1871605.5691429931</v>
      </c>
      <c r="K824" s="7"/>
    </row>
    <row r="825" spans="1:11" x14ac:dyDescent="0.25">
      <c r="A825" s="1" t="s">
        <v>18</v>
      </c>
      <c r="B825" s="2">
        <v>201201</v>
      </c>
      <c r="C825" s="2">
        <v>201202</v>
      </c>
      <c r="D825" s="10">
        <v>815877.13061888295</v>
      </c>
      <c r="E825" s="10">
        <v>906257.77109767252</v>
      </c>
      <c r="F825" s="1">
        <v>3216</v>
      </c>
      <c r="G825" s="1">
        <v>6489</v>
      </c>
      <c r="H825">
        <f t="shared" si="36"/>
        <v>2012</v>
      </c>
      <c r="I825">
        <f t="shared" si="37"/>
        <v>2012</v>
      </c>
      <c r="J825" s="7">
        <f t="shared" si="38"/>
        <v>1722134.9017165555</v>
      </c>
      <c r="K825" s="7"/>
    </row>
    <row r="826" spans="1:11" x14ac:dyDescent="0.25">
      <c r="A826" s="1" t="s">
        <v>18</v>
      </c>
      <c r="B826" s="2">
        <v>201201</v>
      </c>
      <c r="C826" s="2">
        <v>201203</v>
      </c>
      <c r="D826" s="10">
        <v>382963.68950998236</v>
      </c>
      <c r="E826" s="10">
        <v>750334.54328359361</v>
      </c>
      <c r="F826" s="1">
        <v>490</v>
      </c>
      <c r="G826" s="1">
        <v>4986</v>
      </c>
      <c r="H826">
        <f t="shared" si="36"/>
        <v>2012</v>
      </c>
      <c r="I826">
        <f t="shared" si="37"/>
        <v>2012</v>
      </c>
      <c r="J826" s="7">
        <f t="shared" si="38"/>
        <v>1133298.2327935761</v>
      </c>
      <c r="K826" s="7"/>
    </row>
    <row r="827" spans="1:11" x14ac:dyDescent="0.25">
      <c r="A827" s="1" t="s">
        <v>18</v>
      </c>
      <c r="B827" s="2">
        <v>201201</v>
      </c>
      <c r="C827" s="2">
        <v>201204</v>
      </c>
      <c r="D827" s="10">
        <v>343688.87953825766</v>
      </c>
      <c r="E827" s="10">
        <v>1044836.475801488</v>
      </c>
      <c r="F827" s="1">
        <v>197</v>
      </c>
      <c r="G827" s="1">
        <v>4127</v>
      </c>
      <c r="H827">
        <f t="shared" si="36"/>
        <v>2012</v>
      </c>
      <c r="I827">
        <f t="shared" si="37"/>
        <v>2012</v>
      </c>
      <c r="J827" s="7">
        <f t="shared" si="38"/>
        <v>1388525.3553397458</v>
      </c>
      <c r="K827" s="7"/>
    </row>
    <row r="828" spans="1:11" x14ac:dyDescent="0.25">
      <c r="A828" s="1" t="s">
        <v>18</v>
      </c>
      <c r="B828" s="2">
        <v>201201</v>
      </c>
      <c r="C828" s="2">
        <v>201301</v>
      </c>
      <c r="D828" s="10">
        <v>217081.40685459707</v>
      </c>
      <c r="E828" s="10">
        <v>813084.84621637058</v>
      </c>
      <c r="F828" s="1">
        <v>202</v>
      </c>
      <c r="G828" s="1">
        <v>3578</v>
      </c>
      <c r="H828">
        <f t="shared" si="36"/>
        <v>2012</v>
      </c>
      <c r="I828">
        <f t="shared" si="37"/>
        <v>2013</v>
      </c>
      <c r="J828" s="7">
        <f t="shared" si="38"/>
        <v>1030166.2530709676</v>
      </c>
      <c r="K828" s="7"/>
    </row>
    <row r="829" spans="1:11" x14ac:dyDescent="0.25">
      <c r="A829" s="1" t="s">
        <v>18</v>
      </c>
      <c r="B829" s="2">
        <v>201201</v>
      </c>
      <c r="C829" s="2">
        <v>201302</v>
      </c>
      <c r="D829" s="10">
        <v>142195.08474915646</v>
      </c>
      <c r="E829" s="10">
        <v>755211.70388372568</v>
      </c>
      <c r="F829" s="1">
        <v>86</v>
      </c>
      <c r="G829" s="1">
        <v>2979</v>
      </c>
      <c r="H829">
        <f t="shared" si="36"/>
        <v>2012</v>
      </c>
      <c r="I829">
        <f t="shared" si="37"/>
        <v>2013</v>
      </c>
      <c r="J829" s="7">
        <f t="shared" si="38"/>
        <v>897406.78863288218</v>
      </c>
      <c r="K829" s="7"/>
    </row>
    <row r="830" spans="1:11" x14ac:dyDescent="0.25">
      <c r="A830" s="1" t="s">
        <v>18</v>
      </c>
      <c r="B830" s="2">
        <v>201201</v>
      </c>
      <c r="C830" s="2">
        <v>201303</v>
      </c>
      <c r="D830" s="10">
        <v>74628.692603589516</v>
      </c>
      <c r="E830" s="10">
        <v>699105.21505972615</v>
      </c>
      <c r="F830" s="1">
        <v>39</v>
      </c>
      <c r="G830" s="1">
        <v>2369</v>
      </c>
      <c r="H830">
        <f t="shared" si="36"/>
        <v>2012</v>
      </c>
      <c r="I830">
        <f t="shared" si="37"/>
        <v>2013</v>
      </c>
      <c r="J830" s="7">
        <f t="shared" si="38"/>
        <v>773733.90766331565</v>
      </c>
      <c r="K830" s="7"/>
    </row>
    <row r="831" spans="1:11" x14ac:dyDescent="0.25">
      <c r="A831" s="1" t="s">
        <v>18</v>
      </c>
      <c r="B831" s="2">
        <v>201201</v>
      </c>
      <c r="C831" s="2">
        <v>201304</v>
      </c>
      <c r="D831" s="10">
        <v>59513.908225051084</v>
      </c>
      <c r="E831" s="10">
        <v>749289.62606722792</v>
      </c>
      <c r="F831" s="1">
        <v>24</v>
      </c>
      <c r="G831" s="1">
        <v>1992</v>
      </c>
      <c r="H831">
        <f t="shared" si="36"/>
        <v>2012</v>
      </c>
      <c r="I831">
        <f t="shared" si="37"/>
        <v>2013</v>
      </c>
      <c r="J831" s="7">
        <f t="shared" si="38"/>
        <v>808803.53429227904</v>
      </c>
      <c r="K831" s="7"/>
    </row>
    <row r="832" spans="1:11" x14ac:dyDescent="0.25">
      <c r="A832" s="1" t="s">
        <v>18</v>
      </c>
      <c r="B832" s="2">
        <v>201201</v>
      </c>
      <c r="C832" s="2">
        <v>201401</v>
      </c>
      <c r="D832" s="10">
        <v>69329.928607372887</v>
      </c>
      <c r="E832" s="10">
        <v>583249.30117867119</v>
      </c>
      <c r="F832" s="1">
        <v>27</v>
      </c>
      <c r="G832" s="1">
        <v>1644</v>
      </c>
      <c r="H832">
        <f t="shared" si="36"/>
        <v>2012</v>
      </c>
      <c r="I832">
        <f t="shared" si="37"/>
        <v>2014</v>
      </c>
      <c r="J832" s="7">
        <f t="shared" si="38"/>
        <v>652579.2297860441</v>
      </c>
      <c r="K832" s="7"/>
    </row>
    <row r="833" spans="1:11" x14ac:dyDescent="0.25">
      <c r="A833" s="1" t="s">
        <v>18</v>
      </c>
      <c r="B833" s="2">
        <v>201201</v>
      </c>
      <c r="C833" s="2">
        <v>201402</v>
      </c>
      <c r="D833" s="10">
        <v>31273.720537089299</v>
      </c>
      <c r="E833" s="10">
        <v>551158.42376649682</v>
      </c>
      <c r="F833" s="1">
        <v>11</v>
      </c>
      <c r="G833" s="1">
        <v>1435</v>
      </c>
      <c r="H833">
        <f t="shared" si="36"/>
        <v>2012</v>
      </c>
      <c r="I833">
        <f t="shared" si="37"/>
        <v>2014</v>
      </c>
      <c r="J833" s="7">
        <f t="shared" si="38"/>
        <v>582432.1443035861</v>
      </c>
      <c r="K833" s="7"/>
    </row>
    <row r="834" spans="1:11" x14ac:dyDescent="0.25">
      <c r="A834" s="1" t="s">
        <v>18</v>
      </c>
      <c r="B834" s="2">
        <v>201201</v>
      </c>
      <c r="C834" s="2">
        <v>201403</v>
      </c>
      <c r="D834" s="10">
        <v>36808.379274838262</v>
      </c>
      <c r="E834" s="10">
        <v>520917.8879428223</v>
      </c>
      <c r="F834" s="1">
        <v>20</v>
      </c>
      <c r="G834" s="1">
        <v>1284</v>
      </c>
      <c r="H834">
        <f t="shared" si="36"/>
        <v>2012</v>
      </c>
      <c r="I834">
        <f t="shared" si="37"/>
        <v>2014</v>
      </c>
      <c r="J834" s="7">
        <f t="shared" si="38"/>
        <v>557726.26721766056</v>
      </c>
      <c r="K834" s="7"/>
    </row>
    <row r="835" spans="1:11" x14ac:dyDescent="0.25">
      <c r="A835" s="1" t="s">
        <v>18</v>
      </c>
      <c r="B835" s="2">
        <v>201201</v>
      </c>
      <c r="C835" s="2">
        <v>201404</v>
      </c>
      <c r="D835" s="10">
        <v>22796.597387883488</v>
      </c>
      <c r="E835" s="10">
        <v>556062.92318409763</v>
      </c>
      <c r="F835" s="1">
        <v>10</v>
      </c>
      <c r="G835" s="1">
        <v>1030</v>
      </c>
      <c r="H835">
        <f t="shared" si="36"/>
        <v>2012</v>
      </c>
      <c r="I835">
        <f t="shared" si="37"/>
        <v>2014</v>
      </c>
      <c r="J835" s="7">
        <f t="shared" si="38"/>
        <v>578859.52057198109</v>
      </c>
      <c r="K835" s="7"/>
    </row>
    <row r="836" spans="1:11" x14ac:dyDescent="0.25">
      <c r="A836" s="1" t="s">
        <v>18</v>
      </c>
      <c r="B836" s="2">
        <v>201201</v>
      </c>
      <c r="C836" s="2">
        <v>201501</v>
      </c>
      <c r="D836" s="10">
        <v>16012.736583843543</v>
      </c>
      <c r="E836" s="10">
        <v>482481.69422940869</v>
      </c>
      <c r="F836" s="1">
        <v>4</v>
      </c>
      <c r="G836" s="1">
        <v>763</v>
      </c>
      <c r="H836">
        <f t="shared" ref="H836:H899" si="39">VALUE(LEFT(B836,4))</f>
        <v>2012</v>
      </c>
      <c r="I836">
        <f t="shared" ref="I836:I899" si="40">VALUE(LEFT(C836,4))</f>
        <v>2015</v>
      </c>
      <c r="J836" s="7">
        <f t="shared" si="38"/>
        <v>498494.43081325223</v>
      </c>
      <c r="K836" s="7"/>
    </row>
    <row r="837" spans="1:11" x14ac:dyDescent="0.25">
      <c r="A837" s="1" t="s">
        <v>18</v>
      </c>
      <c r="B837" s="2">
        <v>201201</v>
      </c>
      <c r="C837" s="2">
        <v>201502</v>
      </c>
      <c r="D837" s="10">
        <v>16687.626072293398</v>
      </c>
      <c r="E837" s="10">
        <v>442286.61259752489</v>
      </c>
      <c r="F837" s="1">
        <v>3</v>
      </c>
      <c r="G837" s="1">
        <v>669</v>
      </c>
      <c r="H837">
        <f t="shared" si="39"/>
        <v>2012</v>
      </c>
      <c r="I837">
        <f t="shared" si="40"/>
        <v>2015</v>
      </c>
      <c r="J837" s="7">
        <f t="shared" ref="J837:J900" si="41">D837+E837</f>
        <v>458974.23866981827</v>
      </c>
      <c r="K837" s="7"/>
    </row>
    <row r="838" spans="1:11" x14ac:dyDescent="0.25">
      <c r="A838" s="1" t="s">
        <v>18</v>
      </c>
      <c r="B838" s="2">
        <v>201201</v>
      </c>
      <c r="C838" s="2">
        <v>201503</v>
      </c>
      <c r="D838" s="10">
        <v>17047.466748887844</v>
      </c>
      <c r="E838" s="10">
        <v>416943.79952805763</v>
      </c>
      <c r="F838" s="1">
        <v>6</v>
      </c>
      <c r="G838" s="1">
        <v>628</v>
      </c>
      <c r="H838">
        <f t="shared" si="39"/>
        <v>2012</v>
      </c>
      <c r="I838">
        <f t="shared" si="40"/>
        <v>2015</v>
      </c>
      <c r="J838" s="7">
        <f t="shared" si="41"/>
        <v>433991.26627694548</v>
      </c>
      <c r="K838" s="7"/>
    </row>
    <row r="839" spans="1:11" x14ac:dyDescent="0.25">
      <c r="A839" s="1" t="s">
        <v>18</v>
      </c>
      <c r="B839" s="2">
        <v>201201</v>
      </c>
      <c r="C839" s="2">
        <v>201504</v>
      </c>
      <c r="D839" s="10">
        <v>31290.491955772439</v>
      </c>
      <c r="E839" s="10">
        <v>420458.09225680406</v>
      </c>
      <c r="F839" s="1">
        <v>1</v>
      </c>
      <c r="G839" s="1">
        <v>518</v>
      </c>
      <c r="H839">
        <f t="shared" si="39"/>
        <v>2012</v>
      </c>
      <c r="I839">
        <f t="shared" si="40"/>
        <v>2015</v>
      </c>
      <c r="J839" s="7">
        <f t="shared" si="41"/>
        <v>451748.5842125765</v>
      </c>
      <c r="K839" s="7"/>
    </row>
    <row r="840" spans="1:11" x14ac:dyDescent="0.25">
      <c r="A840" s="1" t="s">
        <v>18</v>
      </c>
      <c r="B840" s="2">
        <v>201201</v>
      </c>
      <c r="C840" s="2">
        <v>201601</v>
      </c>
      <c r="D840" s="10">
        <v>11833.446105267954</v>
      </c>
      <c r="E840" s="10">
        <v>352176.99683327368</v>
      </c>
      <c r="F840" s="1">
        <v>0</v>
      </c>
      <c r="G840" s="1">
        <v>447</v>
      </c>
      <c r="H840">
        <f t="shared" si="39"/>
        <v>2012</v>
      </c>
      <c r="I840">
        <f t="shared" si="40"/>
        <v>2016</v>
      </c>
      <c r="J840" s="7">
        <f t="shared" si="41"/>
        <v>364010.44293854164</v>
      </c>
      <c r="K840" s="7"/>
    </row>
    <row r="841" spans="1:11" x14ac:dyDescent="0.25">
      <c r="A841" s="1" t="s">
        <v>18</v>
      </c>
      <c r="B841" s="2">
        <v>201201</v>
      </c>
      <c r="C841" s="2">
        <v>201602</v>
      </c>
      <c r="D841" s="10">
        <v>8065.8184507074147</v>
      </c>
      <c r="E841" s="10">
        <v>345441.8183126006</v>
      </c>
      <c r="F841" s="1">
        <v>1</v>
      </c>
      <c r="G841" s="1">
        <v>400</v>
      </c>
      <c r="H841">
        <f t="shared" si="39"/>
        <v>2012</v>
      </c>
      <c r="I841">
        <f t="shared" si="40"/>
        <v>2016</v>
      </c>
      <c r="J841" s="7">
        <f t="shared" si="41"/>
        <v>353507.63676330802</v>
      </c>
      <c r="K841" s="7"/>
    </row>
    <row r="842" spans="1:11" x14ac:dyDescent="0.25">
      <c r="A842" s="1" t="s">
        <v>18</v>
      </c>
      <c r="B842" s="2">
        <v>201201</v>
      </c>
      <c r="C842" s="2">
        <v>201603</v>
      </c>
      <c r="D842" s="10">
        <v>20959.568962678375</v>
      </c>
      <c r="E842" s="10">
        <v>341145.15469007578</v>
      </c>
      <c r="F842" s="1">
        <v>1</v>
      </c>
      <c r="G842" s="1">
        <v>357</v>
      </c>
      <c r="H842">
        <f t="shared" si="39"/>
        <v>2012</v>
      </c>
      <c r="I842">
        <f t="shared" si="40"/>
        <v>2016</v>
      </c>
      <c r="J842" s="7">
        <f t="shared" si="41"/>
        <v>362104.72365275415</v>
      </c>
      <c r="K842" s="7"/>
    </row>
    <row r="843" spans="1:11" x14ac:dyDescent="0.25">
      <c r="A843" s="1" t="s">
        <v>18</v>
      </c>
      <c r="B843" s="2">
        <v>201201</v>
      </c>
      <c r="C843" s="2">
        <v>201604</v>
      </c>
      <c r="D843" s="10">
        <v>19984.397588599604</v>
      </c>
      <c r="E843" s="10">
        <v>331057.70160557277</v>
      </c>
      <c r="F843" s="1">
        <v>0</v>
      </c>
      <c r="G843" s="1">
        <v>309</v>
      </c>
      <c r="H843">
        <f t="shared" si="39"/>
        <v>2012</v>
      </c>
      <c r="I843">
        <f t="shared" si="40"/>
        <v>2016</v>
      </c>
      <c r="J843" s="7">
        <f t="shared" si="41"/>
        <v>351042.09919417236</v>
      </c>
      <c r="K843" s="7"/>
    </row>
    <row r="844" spans="1:11" x14ac:dyDescent="0.25">
      <c r="A844" s="1" t="s">
        <v>18</v>
      </c>
      <c r="B844" s="2">
        <v>201201</v>
      </c>
      <c r="C844" s="2">
        <v>201701</v>
      </c>
      <c r="D844" s="10">
        <v>9967.7794912770223</v>
      </c>
      <c r="E844" s="10">
        <v>282759.78061016952</v>
      </c>
      <c r="F844" s="1">
        <v>0</v>
      </c>
      <c r="G844" s="1">
        <v>275</v>
      </c>
      <c r="H844">
        <f t="shared" si="39"/>
        <v>2012</v>
      </c>
      <c r="I844">
        <f t="shared" si="40"/>
        <v>2017</v>
      </c>
      <c r="J844" s="7">
        <f t="shared" si="41"/>
        <v>292727.56010144652</v>
      </c>
      <c r="K844" s="7"/>
    </row>
    <row r="845" spans="1:11" x14ac:dyDescent="0.25">
      <c r="A845" s="1" t="s">
        <v>18</v>
      </c>
      <c r="B845" s="2">
        <v>201201</v>
      </c>
      <c r="C845" s="2">
        <v>201702</v>
      </c>
      <c r="D845" s="10">
        <v>8403.3803483514839</v>
      </c>
      <c r="E845" s="10">
        <v>272858.43334571517</v>
      </c>
      <c r="F845" s="1">
        <v>0</v>
      </c>
      <c r="G845" s="1">
        <v>254</v>
      </c>
      <c r="H845">
        <f t="shared" si="39"/>
        <v>2012</v>
      </c>
      <c r="I845">
        <f t="shared" si="40"/>
        <v>2017</v>
      </c>
      <c r="J845" s="7">
        <f t="shared" si="41"/>
        <v>281261.81369406666</v>
      </c>
      <c r="K845" s="7"/>
    </row>
    <row r="846" spans="1:11" x14ac:dyDescent="0.25">
      <c r="A846" s="1" t="s">
        <v>18</v>
      </c>
      <c r="B846" s="2">
        <v>201201</v>
      </c>
      <c r="C846" s="2">
        <v>201703</v>
      </c>
      <c r="D846" s="10">
        <v>9782.2667942695825</v>
      </c>
      <c r="E846" s="10">
        <v>264041.67066695617</v>
      </c>
      <c r="F846" s="1">
        <v>0</v>
      </c>
      <c r="G846" s="1">
        <v>227</v>
      </c>
      <c r="H846">
        <f t="shared" si="39"/>
        <v>2012</v>
      </c>
      <c r="I846">
        <f t="shared" si="40"/>
        <v>2017</v>
      </c>
      <c r="J846" s="7">
        <f t="shared" si="41"/>
        <v>273823.93746122572</v>
      </c>
      <c r="K846" s="7"/>
    </row>
    <row r="847" spans="1:11" x14ac:dyDescent="0.25">
      <c r="A847" s="1" t="s">
        <v>18</v>
      </c>
      <c r="B847" s="2">
        <v>201201</v>
      </c>
      <c r="C847" s="2">
        <v>201704</v>
      </c>
      <c r="D847" s="10">
        <v>9818.8524610771965</v>
      </c>
      <c r="E847" s="10">
        <v>285407.40098045237</v>
      </c>
      <c r="F847" s="1">
        <v>0</v>
      </c>
      <c r="G847" s="1">
        <v>188</v>
      </c>
      <c r="H847">
        <f t="shared" si="39"/>
        <v>2012</v>
      </c>
      <c r="I847">
        <f t="shared" si="40"/>
        <v>2017</v>
      </c>
      <c r="J847" s="7">
        <f t="shared" si="41"/>
        <v>295226.25344152958</v>
      </c>
      <c r="K847" s="7"/>
    </row>
    <row r="848" spans="1:11" x14ac:dyDescent="0.25">
      <c r="A848" s="1" t="s">
        <v>18</v>
      </c>
      <c r="B848" s="2">
        <v>201201</v>
      </c>
      <c r="C848" s="2">
        <v>201801</v>
      </c>
      <c r="D848" s="10">
        <v>4221.1617135320612</v>
      </c>
      <c r="E848" s="10">
        <v>291105.61850226275</v>
      </c>
      <c r="F848" s="1">
        <v>1</v>
      </c>
      <c r="G848" s="1">
        <v>222</v>
      </c>
      <c r="H848">
        <f t="shared" si="39"/>
        <v>2012</v>
      </c>
      <c r="I848">
        <f t="shared" si="40"/>
        <v>2018</v>
      </c>
      <c r="J848" s="7">
        <f t="shared" si="41"/>
        <v>295326.7802157948</v>
      </c>
      <c r="K848" s="7"/>
    </row>
    <row r="849" spans="1:11" x14ac:dyDescent="0.25">
      <c r="A849" s="1" t="s">
        <v>18</v>
      </c>
      <c r="B849" s="2">
        <v>201201</v>
      </c>
      <c r="C849" s="2">
        <v>201802</v>
      </c>
      <c r="D849" s="10">
        <v>594.31377556974348</v>
      </c>
      <c r="E849" s="10">
        <v>288733.39883892768</v>
      </c>
      <c r="F849" s="1">
        <v>0</v>
      </c>
      <c r="G849" s="1">
        <v>180</v>
      </c>
      <c r="H849">
        <f t="shared" si="39"/>
        <v>2012</v>
      </c>
      <c r="I849">
        <f t="shared" si="40"/>
        <v>2018</v>
      </c>
      <c r="J849" s="7">
        <f t="shared" si="41"/>
        <v>289327.7126144974</v>
      </c>
      <c r="K849" s="7"/>
    </row>
    <row r="850" spans="1:11" x14ac:dyDescent="0.25">
      <c r="A850" s="1" t="s">
        <v>18</v>
      </c>
      <c r="B850" s="2">
        <v>201201</v>
      </c>
      <c r="C850" s="2">
        <v>201803</v>
      </c>
      <c r="D850" s="10">
        <v>5193.5682688053439</v>
      </c>
      <c r="E850" s="10">
        <v>288616.2905222135</v>
      </c>
      <c r="F850" s="1">
        <v>0</v>
      </c>
      <c r="G850" s="1">
        <v>173</v>
      </c>
      <c r="H850">
        <f t="shared" si="39"/>
        <v>2012</v>
      </c>
      <c r="I850">
        <f t="shared" si="40"/>
        <v>2018</v>
      </c>
      <c r="J850" s="7">
        <f t="shared" si="41"/>
        <v>293809.85879101884</v>
      </c>
      <c r="K850" s="7"/>
    </row>
    <row r="851" spans="1:11" x14ac:dyDescent="0.25">
      <c r="A851" s="1" t="s">
        <v>18</v>
      </c>
      <c r="B851" s="2">
        <v>201201</v>
      </c>
      <c r="C851" s="2">
        <v>201804</v>
      </c>
      <c r="D851" s="10">
        <v>3647.5938095576134</v>
      </c>
      <c r="E851" s="10">
        <v>274924.19284292968</v>
      </c>
      <c r="F851" s="1">
        <v>0</v>
      </c>
      <c r="G851" s="1">
        <v>167</v>
      </c>
      <c r="H851">
        <f t="shared" si="39"/>
        <v>2012</v>
      </c>
      <c r="I851">
        <f t="shared" si="40"/>
        <v>2018</v>
      </c>
      <c r="J851" s="7">
        <f t="shared" si="41"/>
        <v>278571.7866524873</v>
      </c>
      <c r="K851" s="7"/>
    </row>
    <row r="852" spans="1:11" x14ac:dyDescent="0.25">
      <c r="A852" s="1" t="s">
        <v>18</v>
      </c>
      <c r="B852" s="2">
        <v>201201</v>
      </c>
      <c r="C852" s="2">
        <v>201901</v>
      </c>
      <c r="D852" s="10">
        <v>2546.739341615089</v>
      </c>
      <c r="E852" s="10">
        <v>268691.32246347255</v>
      </c>
      <c r="F852" s="1">
        <v>0</v>
      </c>
      <c r="G852" s="1">
        <v>166</v>
      </c>
      <c r="H852">
        <f t="shared" si="39"/>
        <v>2012</v>
      </c>
      <c r="I852">
        <f t="shared" si="40"/>
        <v>2019</v>
      </c>
      <c r="J852" s="7">
        <f t="shared" si="41"/>
        <v>271238.06180508767</v>
      </c>
      <c r="K852" s="7"/>
    </row>
    <row r="853" spans="1:11" x14ac:dyDescent="0.25">
      <c r="A853" s="1" t="s">
        <v>18</v>
      </c>
      <c r="B853" s="2">
        <v>201201</v>
      </c>
      <c r="C853" s="2">
        <v>201902</v>
      </c>
      <c r="D853" s="10">
        <v>1314.8100051984964</v>
      </c>
      <c r="E853" s="10">
        <v>275022.48123885633</v>
      </c>
      <c r="F853" s="1">
        <v>0</v>
      </c>
      <c r="G853" s="1">
        <v>163</v>
      </c>
      <c r="H853">
        <f t="shared" si="39"/>
        <v>2012</v>
      </c>
      <c r="I853">
        <f t="shared" si="40"/>
        <v>2019</v>
      </c>
      <c r="J853" s="7">
        <f t="shared" si="41"/>
        <v>276337.29124405485</v>
      </c>
      <c r="K853" s="7"/>
    </row>
    <row r="854" spans="1:11" x14ac:dyDescent="0.25">
      <c r="A854" s="1" t="s">
        <v>18</v>
      </c>
      <c r="B854" s="2">
        <v>201201</v>
      </c>
      <c r="C854" s="2">
        <v>201903</v>
      </c>
      <c r="D854" s="10">
        <v>4282.594761726582</v>
      </c>
      <c r="E854" s="10">
        <v>269228.34783496842</v>
      </c>
      <c r="F854" s="1">
        <v>0</v>
      </c>
      <c r="G854" s="1">
        <v>163</v>
      </c>
      <c r="H854">
        <f t="shared" si="39"/>
        <v>2012</v>
      </c>
      <c r="I854">
        <f t="shared" si="40"/>
        <v>2019</v>
      </c>
      <c r="J854" s="7">
        <f t="shared" si="41"/>
        <v>273510.94259669498</v>
      </c>
      <c r="K854" s="7"/>
    </row>
    <row r="855" spans="1:11" x14ac:dyDescent="0.25">
      <c r="A855" s="1" t="s">
        <v>18</v>
      </c>
      <c r="B855" s="2">
        <v>201201</v>
      </c>
      <c r="C855" s="2">
        <v>201904</v>
      </c>
      <c r="D855" s="10">
        <v>4575.7502090495836</v>
      </c>
      <c r="E855" s="10">
        <v>264797.45735787193</v>
      </c>
      <c r="F855" s="1">
        <v>0</v>
      </c>
      <c r="G855" s="1">
        <v>159</v>
      </c>
      <c r="H855">
        <f t="shared" si="39"/>
        <v>2012</v>
      </c>
      <c r="I855">
        <f t="shared" si="40"/>
        <v>2019</v>
      </c>
      <c r="J855" s="7">
        <f t="shared" si="41"/>
        <v>269373.20756692148</v>
      </c>
      <c r="K855" s="7"/>
    </row>
    <row r="856" spans="1:11" x14ac:dyDescent="0.25">
      <c r="A856" s="1" t="s">
        <v>18</v>
      </c>
      <c r="B856" s="2">
        <v>201201</v>
      </c>
      <c r="C856" s="2">
        <v>202001</v>
      </c>
      <c r="D856" s="10">
        <v>5031.5037155980144</v>
      </c>
      <c r="E856" s="10">
        <v>253953.53950662457</v>
      </c>
      <c r="F856" s="1">
        <v>0</v>
      </c>
      <c r="G856" s="1">
        <v>139</v>
      </c>
      <c r="H856">
        <f t="shared" si="39"/>
        <v>2012</v>
      </c>
      <c r="I856">
        <f t="shared" si="40"/>
        <v>2020</v>
      </c>
      <c r="J856" s="7">
        <f t="shared" si="41"/>
        <v>258985.04322222259</v>
      </c>
      <c r="K856" s="7"/>
    </row>
    <row r="857" spans="1:11" x14ac:dyDescent="0.25">
      <c r="A857" s="1" t="s">
        <v>18</v>
      </c>
      <c r="B857" s="2">
        <v>201201</v>
      </c>
      <c r="C857" s="2">
        <v>202002</v>
      </c>
      <c r="D857" s="10">
        <v>2047.6549168114709</v>
      </c>
      <c r="E857" s="10">
        <v>242794.05122557792</v>
      </c>
      <c r="F857" s="1">
        <v>0</v>
      </c>
      <c r="G857" s="1">
        <v>132</v>
      </c>
      <c r="H857">
        <f t="shared" si="39"/>
        <v>2012</v>
      </c>
      <c r="I857">
        <f t="shared" si="40"/>
        <v>2020</v>
      </c>
      <c r="J857" s="7">
        <f t="shared" si="41"/>
        <v>244841.70614238939</v>
      </c>
      <c r="K857" s="7"/>
    </row>
    <row r="858" spans="1:11" x14ac:dyDescent="0.25">
      <c r="A858" s="1" t="s">
        <v>18</v>
      </c>
      <c r="B858" s="2">
        <v>201201</v>
      </c>
      <c r="C858" s="2">
        <v>202003</v>
      </c>
      <c r="D858" s="10">
        <v>3789.3607979862622</v>
      </c>
      <c r="E858" s="10">
        <v>243952.56851014742</v>
      </c>
      <c r="F858" s="1">
        <v>0</v>
      </c>
      <c r="G858" s="1">
        <v>127</v>
      </c>
      <c r="H858">
        <f t="shared" si="39"/>
        <v>2012</v>
      </c>
      <c r="I858">
        <f t="shared" si="40"/>
        <v>2020</v>
      </c>
      <c r="J858" s="7">
        <f t="shared" si="41"/>
        <v>247741.92930813369</v>
      </c>
      <c r="K858" s="7"/>
    </row>
    <row r="859" spans="1:11" x14ac:dyDescent="0.25">
      <c r="A859" s="1" t="s">
        <v>18</v>
      </c>
      <c r="B859" s="2">
        <v>201201</v>
      </c>
      <c r="C859" s="2">
        <v>202004</v>
      </c>
      <c r="D859" s="10">
        <v>2156.0336352230602</v>
      </c>
      <c r="E859" s="10">
        <v>241835.80390258698</v>
      </c>
      <c r="F859" s="1">
        <v>0</v>
      </c>
      <c r="G859" s="1">
        <v>108</v>
      </c>
      <c r="H859">
        <f t="shared" si="39"/>
        <v>2012</v>
      </c>
      <c r="I859">
        <f t="shared" si="40"/>
        <v>2020</v>
      </c>
      <c r="J859" s="7">
        <f t="shared" si="41"/>
        <v>243991.83753781003</v>
      </c>
      <c r="K859" s="7"/>
    </row>
    <row r="860" spans="1:11" x14ac:dyDescent="0.25">
      <c r="A860" s="1" t="s">
        <v>18</v>
      </c>
      <c r="B860" s="2">
        <v>201201</v>
      </c>
      <c r="C860" s="2">
        <v>202101</v>
      </c>
      <c r="D860" s="10">
        <v>7220.449510375759</v>
      </c>
      <c r="E860" s="10">
        <v>240889.95134452713</v>
      </c>
      <c r="F860" s="1">
        <v>0</v>
      </c>
      <c r="G860" s="1">
        <v>103</v>
      </c>
      <c r="H860">
        <f t="shared" si="39"/>
        <v>2012</v>
      </c>
      <c r="I860">
        <f t="shared" si="40"/>
        <v>2021</v>
      </c>
      <c r="J860" s="7">
        <f t="shared" si="41"/>
        <v>248110.40085490289</v>
      </c>
      <c r="K860" s="7"/>
    </row>
    <row r="861" spans="1:11" x14ac:dyDescent="0.25">
      <c r="A861" s="1" t="s">
        <v>18</v>
      </c>
      <c r="B861" s="2">
        <v>201201</v>
      </c>
      <c r="C861" s="2">
        <v>202102</v>
      </c>
      <c r="D861" s="10">
        <v>5878.9155004426802</v>
      </c>
      <c r="E861" s="10">
        <v>241135.66801013271</v>
      </c>
      <c r="F861" s="1">
        <v>0</v>
      </c>
      <c r="G861" s="1">
        <v>97</v>
      </c>
      <c r="H861">
        <f t="shared" si="39"/>
        <v>2012</v>
      </c>
      <c r="I861">
        <f t="shared" si="40"/>
        <v>2021</v>
      </c>
      <c r="J861" s="7">
        <f t="shared" si="41"/>
        <v>247014.58351057538</v>
      </c>
      <c r="K861" s="7"/>
    </row>
    <row r="862" spans="1:11" x14ac:dyDescent="0.25">
      <c r="A862" s="1" t="s">
        <v>18</v>
      </c>
      <c r="B862" s="2">
        <v>201201</v>
      </c>
      <c r="C862" s="2">
        <v>202103</v>
      </c>
      <c r="D862" s="10">
        <v>2934.6567390008645</v>
      </c>
      <c r="E862" s="10">
        <v>244371.34546174612</v>
      </c>
      <c r="F862" s="1">
        <v>0</v>
      </c>
      <c r="G862" s="1">
        <v>93</v>
      </c>
      <c r="H862">
        <f t="shared" si="39"/>
        <v>2012</v>
      </c>
      <c r="I862">
        <f t="shared" si="40"/>
        <v>2021</v>
      </c>
      <c r="J862" s="7">
        <f t="shared" si="41"/>
        <v>247306.002200747</v>
      </c>
      <c r="K862" s="7"/>
    </row>
    <row r="863" spans="1:11" x14ac:dyDescent="0.25">
      <c r="A863" s="1" t="s">
        <v>18</v>
      </c>
      <c r="B863" s="2">
        <v>201201</v>
      </c>
      <c r="C863" s="2">
        <v>202104</v>
      </c>
      <c r="D863" s="10">
        <v>3490.186434502642</v>
      </c>
      <c r="E863" s="10">
        <v>227424.80450064203</v>
      </c>
      <c r="F863" s="1">
        <v>0</v>
      </c>
      <c r="G863" s="1">
        <v>90</v>
      </c>
      <c r="H863">
        <f t="shared" si="39"/>
        <v>2012</v>
      </c>
      <c r="I863">
        <f t="shared" si="40"/>
        <v>2021</v>
      </c>
      <c r="J863" s="7">
        <f t="shared" si="41"/>
        <v>230914.99093514468</v>
      </c>
      <c r="K863" s="7"/>
    </row>
    <row r="864" spans="1:11" x14ac:dyDescent="0.25">
      <c r="A864" s="1" t="s">
        <v>18</v>
      </c>
      <c r="B864" s="2">
        <v>201202</v>
      </c>
      <c r="C864" s="2">
        <v>201202</v>
      </c>
      <c r="D864" s="10">
        <v>549927.86165820633</v>
      </c>
      <c r="E864" s="10">
        <v>1277909.4474276758</v>
      </c>
      <c r="F864" s="1">
        <v>15428</v>
      </c>
      <c r="G864" s="1">
        <v>9791</v>
      </c>
      <c r="H864">
        <f t="shared" si="39"/>
        <v>2012</v>
      </c>
      <c r="I864">
        <f t="shared" si="40"/>
        <v>2012</v>
      </c>
      <c r="J864" s="7">
        <f t="shared" si="41"/>
        <v>1827837.3090858823</v>
      </c>
      <c r="K864" s="7"/>
    </row>
    <row r="865" spans="1:11" x14ac:dyDescent="0.25">
      <c r="A865" s="1" t="s">
        <v>18</v>
      </c>
      <c r="B865" s="2">
        <v>201202</v>
      </c>
      <c r="C865" s="2">
        <v>201203</v>
      </c>
      <c r="D865" s="10">
        <v>701629.87059235736</v>
      </c>
      <c r="E865" s="10">
        <v>1033193.1974781003</v>
      </c>
      <c r="F865" s="1">
        <v>3380</v>
      </c>
      <c r="G865" s="1">
        <v>6507</v>
      </c>
      <c r="H865">
        <f t="shared" si="39"/>
        <v>2012</v>
      </c>
      <c r="I865">
        <f t="shared" si="40"/>
        <v>2012</v>
      </c>
      <c r="J865" s="7">
        <f t="shared" si="41"/>
        <v>1734823.0680704578</v>
      </c>
      <c r="K865" s="7"/>
    </row>
    <row r="866" spans="1:11" x14ac:dyDescent="0.25">
      <c r="A866" s="1" t="s">
        <v>18</v>
      </c>
      <c r="B866" s="2">
        <v>201202</v>
      </c>
      <c r="C866" s="2">
        <v>201204</v>
      </c>
      <c r="D866" s="10">
        <v>229231.5305703835</v>
      </c>
      <c r="E866" s="10">
        <v>1085153.1023580031</v>
      </c>
      <c r="F866" s="1">
        <v>485</v>
      </c>
      <c r="G866" s="1">
        <v>5054</v>
      </c>
      <c r="H866">
        <f t="shared" si="39"/>
        <v>2012</v>
      </c>
      <c r="I866">
        <f t="shared" si="40"/>
        <v>2012</v>
      </c>
      <c r="J866" s="7">
        <f t="shared" si="41"/>
        <v>1314384.6329283866</v>
      </c>
      <c r="K866" s="7"/>
    </row>
    <row r="867" spans="1:11" x14ac:dyDescent="0.25">
      <c r="A867" s="1" t="s">
        <v>18</v>
      </c>
      <c r="B867" s="2">
        <v>201202</v>
      </c>
      <c r="C867" s="2">
        <v>201301</v>
      </c>
      <c r="D867" s="10">
        <v>150150.95524312239</v>
      </c>
      <c r="E867" s="10">
        <v>776356.63233271299</v>
      </c>
      <c r="F867" s="1">
        <v>188</v>
      </c>
      <c r="G867" s="1">
        <v>4153</v>
      </c>
      <c r="H867">
        <f t="shared" si="39"/>
        <v>2012</v>
      </c>
      <c r="I867">
        <f t="shared" si="40"/>
        <v>2013</v>
      </c>
      <c r="J867" s="7">
        <f t="shared" si="41"/>
        <v>926507.58757583541</v>
      </c>
      <c r="K867" s="7"/>
    </row>
    <row r="868" spans="1:11" x14ac:dyDescent="0.25">
      <c r="A868" s="1" t="s">
        <v>18</v>
      </c>
      <c r="B868" s="2">
        <v>201202</v>
      </c>
      <c r="C868" s="2">
        <v>201302</v>
      </c>
      <c r="D868" s="10">
        <v>102764.69441525696</v>
      </c>
      <c r="E868" s="10">
        <v>762983.78890091868</v>
      </c>
      <c r="F868" s="1">
        <v>117</v>
      </c>
      <c r="G868" s="1">
        <v>3511</v>
      </c>
      <c r="H868">
        <f t="shared" si="39"/>
        <v>2012</v>
      </c>
      <c r="I868">
        <f t="shared" si="40"/>
        <v>2013</v>
      </c>
      <c r="J868" s="7">
        <f t="shared" si="41"/>
        <v>865748.48331617564</v>
      </c>
      <c r="K868" s="7"/>
    </row>
    <row r="869" spans="1:11" x14ac:dyDescent="0.25">
      <c r="A869" s="1" t="s">
        <v>18</v>
      </c>
      <c r="B869" s="2">
        <v>201202</v>
      </c>
      <c r="C869" s="2">
        <v>201303</v>
      </c>
      <c r="D869" s="10">
        <v>65321.109126804367</v>
      </c>
      <c r="E869" s="10">
        <v>689579.4033213919</v>
      </c>
      <c r="F869" s="1">
        <v>54</v>
      </c>
      <c r="G869" s="1">
        <v>2794</v>
      </c>
      <c r="H869">
        <f t="shared" si="39"/>
        <v>2012</v>
      </c>
      <c r="I869">
        <f t="shared" si="40"/>
        <v>2013</v>
      </c>
      <c r="J869" s="7">
        <f t="shared" si="41"/>
        <v>754900.5124481963</v>
      </c>
      <c r="K869" s="7"/>
    </row>
    <row r="870" spans="1:11" x14ac:dyDescent="0.25">
      <c r="A870" s="1" t="s">
        <v>18</v>
      </c>
      <c r="B870" s="2">
        <v>201202</v>
      </c>
      <c r="C870" s="2">
        <v>201304</v>
      </c>
      <c r="D870" s="10">
        <v>44830.709752345072</v>
      </c>
      <c r="E870" s="10">
        <v>784673.38093420374</v>
      </c>
      <c r="F870" s="1">
        <v>30</v>
      </c>
      <c r="G870" s="1">
        <v>2398</v>
      </c>
      <c r="H870">
        <f t="shared" si="39"/>
        <v>2012</v>
      </c>
      <c r="I870">
        <f t="shared" si="40"/>
        <v>2013</v>
      </c>
      <c r="J870" s="7">
        <f t="shared" si="41"/>
        <v>829504.09068654885</v>
      </c>
      <c r="K870" s="7"/>
    </row>
    <row r="871" spans="1:11" x14ac:dyDescent="0.25">
      <c r="A871" s="1" t="s">
        <v>18</v>
      </c>
      <c r="B871" s="2">
        <v>201202</v>
      </c>
      <c r="C871" s="2">
        <v>201401</v>
      </c>
      <c r="D871" s="10">
        <v>43179.320214902444</v>
      </c>
      <c r="E871" s="10">
        <v>568437.50360555132</v>
      </c>
      <c r="F871" s="1">
        <v>21</v>
      </c>
      <c r="G871" s="1">
        <v>2016</v>
      </c>
      <c r="H871">
        <f t="shared" si="39"/>
        <v>2012</v>
      </c>
      <c r="I871">
        <f t="shared" si="40"/>
        <v>2014</v>
      </c>
      <c r="J871" s="7">
        <f t="shared" si="41"/>
        <v>611616.82382045372</v>
      </c>
      <c r="K871" s="7"/>
    </row>
    <row r="872" spans="1:11" x14ac:dyDescent="0.25">
      <c r="A872" s="1" t="s">
        <v>18</v>
      </c>
      <c r="B872" s="2">
        <v>201202</v>
      </c>
      <c r="C872" s="2">
        <v>201402</v>
      </c>
      <c r="D872" s="10">
        <v>51121.028409364197</v>
      </c>
      <c r="E872" s="10">
        <v>495906.81319434097</v>
      </c>
      <c r="F872" s="1">
        <v>22</v>
      </c>
      <c r="G872" s="1">
        <v>1788</v>
      </c>
      <c r="H872">
        <f t="shared" si="39"/>
        <v>2012</v>
      </c>
      <c r="I872">
        <f t="shared" si="40"/>
        <v>2014</v>
      </c>
      <c r="J872" s="7">
        <f t="shared" si="41"/>
        <v>547027.84160370519</v>
      </c>
      <c r="K872" s="7"/>
    </row>
    <row r="873" spans="1:11" x14ac:dyDescent="0.25">
      <c r="A873" s="1" t="s">
        <v>18</v>
      </c>
      <c r="B873" s="2">
        <v>201202</v>
      </c>
      <c r="C873" s="2">
        <v>201403</v>
      </c>
      <c r="D873" s="10">
        <v>26083.17569268011</v>
      </c>
      <c r="E873" s="10">
        <v>454028.5778411607</v>
      </c>
      <c r="F873" s="1">
        <v>20</v>
      </c>
      <c r="G873" s="1">
        <v>1680</v>
      </c>
      <c r="H873">
        <f t="shared" si="39"/>
        <v>2012</v>
      </c>
      <c r="I873">
        <f t="shared" si="40"/>
        <v>2014</v>
      </c>
      <c r="J873" s="7">
        <f t="shared" si="41"/>
        <v>480111.75353384082</v>
      </c>
      <c r="K873" s="7"/>
    </row>
    <row r="874" spans="1:11" x14ac:dyDescent="0.25">
      <c r="A874" s="1" t="s">
        <v>18</v>
      </c>
      <c r="B874" s="2">
        <v>201202</v>
      </c>
      <c r="C874" s="2">
        <v>201404</v>
      </c>
      <c r="D874" s="10">
        <v>26083.511390522784</v>
      </c>
      <c r="E874" s="10">
        <v>597859.09987669555</v>
      </c>
      <c r="F874" s="1">
        <v>5</v>
      </c>
      <c r="G874" s="1">
        <v>1328</v>
      </c>
      <c r="H874">
        <f t="shared" si="39"/>
        <v>2012</v>
      </c>
      <c r="I874">
        <f t="shared" si="40"/>
        <v>2014</v>
      </c>
      <c r="J874" s="7">
        <f t="shared" si="41"/>
        <v>623942.61126721837</v>
      </c>
      <c r="K874" s="7"/>
    </row>
    <row r="875" spans="1:11" x14ac:dyDescent="0.25">
      <c r="A875" s="1" t="s">
        <v>18</v>
      </c>
      <c r="B875" s="2">
        <v>201202</v>
      </c>
      <c r="C875" s="2">
        <v>201501</v>
      </c>
      <c r="D875" s="10">
        <v>9916.7267832816269</v>
      </c>
      <c r="E875" s="10">
        <v>466560.73080886283</v>
      </c>
      <c r="F875" s="1">
        <v>11</v>
      </c>
      <c r="G875" s="1">
        <v>998</v>
      </c>
      <c r="H875">
        <f t="shared" si="39"/>
        <v>2012</v>
      </c>
      <c r="I875">
        <f t="shared" si="40"/>
        <v>2015</v>
      </c>
      <c r="J875" s="7">
        <f t="shared" si="41"/>
        <v>476477.45759214443</v>
      </c>
      <c r="K875" s="7"/>
    </row>
    <row r="876" spans="1:11" x14ac:dyDescent="0.25">
      <c r="A876" s="1" t="s">
        <v>18</v>
      </c>
      <c r="B876" s="2">
        <v>201202</v>
      </c>
      <c r="C876" s="2">
        <v>201502</v>
      </c>
      <c r="D876" s="10">
        <v>20313.873089678353</v>
      </c>
      <c r="E876" s="10">
        <v>435160.51486623671</v>
      </c>
      <c r="F876" s="1">
        <v>8</v>
      </c>
      <c r="G876" s="1">
        <v>847</v>
      </c>
      <c r="H876">
        <f t="shared" si="39"/>
        <v>2012</v>
      </c>
      <c r="I876">
        <f t="shared" si="40"/>
        <v>2015</v>
      </c>
      <c r="J876" s="7">
        <f t="shared" si="41"/>
        <v>455474.38795591507</v>
      </c>
      <c r="K876" s="7"/>
    </row>
    <row r="877" spans="1:11" x14ac:dyDescent="0.25">
      <c r="A877" s="1" t="s">
        <v>18</v>
      </c>
      <c r="B877" s="2">
        <v>201202</v>
      </c>
      <c r="C877" s="2">
        <v>201503</v>
      </c>
      <c r="D877" s="10">
        <v>38543.108323609573</v>
      </c>
      <c r="E877" s="10">
        <v>432362.0633394639</v>
      </c>
      <c r="F877" s="1">
        <v>3</v>
      </c>
      <c r="G877" s="1">
        <v>761</v>
      </c>
      <c r="H877">
        <f t="shared" si="39"/>
        <v>2012</v>
      </c>
      <c r="I877">
        <f t="shared" si="40"/>
        <v>2015</v>
      </c>
      <c r="J877" s="7">
        <f t="shared" si="41"/>
        <v>470905.17166307347</v>
      </c>
      <c r="K877" s="7"/>
    </row>
    <row r="878" spans="1:11" x14ac:dyDescent="0.25">
      <c r="A878" s="1" t="s">
        <v>18</v>
      </c>
      <c r="B878" s="2">
        <v>201202</v>
      </c>
      <c r="C878" s="2">
        <v>201504</v>
      </c>
      <c r="D878" s="10">
        <v>12189.950688637133</v>
      </c>
      <c r="E878" s="10">
        <v>505930.52485800051</v>
      </c>
      <c r="F878" s="1">
        <v>2</v>
      </c>
      <c r="G878" s="1">
        <v>641</v>
      </c>
      <c r="H878">
        <f t="shared" si="39"/>
        <v>2012</v>
      </c>
      <c r="I878">
        <f t="shared" si="40"/>
        <v>2015</v>
      </c>
      <c r="J878" s="7">
        <f t="shared" si="41"/>
        <v>518120.47554663767</v>
      </c>
      <c r="K878" s="7"/>
    </row>
    <row r="879" spans="1:11" x14ac:dyDescent="0.25">
      <c r="A879" s="1" t="s">
        <v>18</v>
      </c>
      <c r="B879" s="2">
        <v>201202</v>
      </c>
      <c r="C879" s="2">
        <v>201601</v>
      </c>
      <c r="D879" s="10">
        <v>12380.568672793899</v>
      </c>
      <c r="E879" s="10">
        <v>426170.26854143443</v>
      </c>
      <c r="F879" s="1">
        <v>1</v>
      </c>
      <c r="G879" s="1">
        <v>534</v>
      </c>
      <c r="H879">
        <f t="shared" si="39"/>
        <v>2012</v>
      </c>
      <c r="I879">
        <f t="shared" si="40"/>
        <v>2016</v>
      </c>
      <c r="J879" s="7">
        <f t="shared" si="41"/>
        <v>438550.83721422835</v>
      </c>
      <c r="K879" s="7"/>
    </row>
    <row r="880" spans="1:11" x14ac:dyDescent="0.25">
      <c r="A880" s="1" t="s">
        <v>18</v>
      </c>
      <c r="B880" s="2">
        <v>201202</v>
      </c>
      <c r="C880" s="2">
        <v>201602</v>
      </c>
      <c r="D880" s="10">
        <v>2740.3087328227612</v>
      </c>
      <c r="E880" s="10">
        <v>413735.72307150479</v>
      </c>
      <c r="F880" s="1">
        <v>1</v>
      </c>
      <c r="G880" s="1">
        <v>475</v>
      </c>
      <c r="H880">
        <f t="shared" si="39"/>
        <v>2012</v>
      </c>
      <c r="I880">
        <f t="shared" si="40"/>
        <v>2016</v>
      </c>
      <c r="J880" s="7">
        <f t="shared" si="41"/>
        <v>416476.03180432756</v>
      </c>
      <c r="K880" s="7"/>
    </row>
    <row r="881" spans="1:11" x14ac:dyDescent="0.25">
      <c r="A881" s="1" t="s">
        <v>18</v>
      </c>
      <c r="B881" s="2">
        <v>201202</v>
      </c>
      <c r="C881" s="2">
        <v>201603</v>
      </c>
      <c r="D881" s="10">
        <v>13158.943254987511</v>
      </c>
      <c r="E881" s="10">
        <v>401034.9143786499</v>
      </c>
      <c r="F881" s="1">
        <v>0</v>
      </c>
      <c r="G881" s="1">
        <v>431</v>
      </c>
      <c r="H881">
        <f t="shared" si="39"/>
        <v>2012</v>
      </c>
      <c r="I881">
        <f t="shared" si="40"/>
        <v>2016</v>
      </c>
      <c r="J881" s="7">
        <f t="shared" si="41"/>
        <v>414193.85763363744</v>
      </c>
      <c r="K881" s="7"/>
    </row>
    <row r="882" spans="1:11" x14ac:dyDescent="0.25">
      <c r="A882" s="1" t="s">
        <v>18</v>
      </c>
      <c r="B882" s="2">
        <v>201202</v>
      </c>
      <c r="C882" s="2">
        <v>201604</v>
      </c>
      <c r="D882" s="10">
        <v>17403.848098812749</v>
      </c>
      <c r="E882" s="10">
        <v>466028.75403560384</v>
      </c>
      <c r="F882" s="1">
        <v>0</v>
      </c>
      <c r="G882" s="1">
        <v>366</v>
      </c>
      <c r="H882">
        <f t="shared" si="39"/>
        <v>2012</v>
      </c>
      <c r="I882">
        <f t="shared" si="40"/>
        <v>2016</v>
      </c>
      <c r="J882" s="7">
        <f t="shared" si="41"/>
        <v>483432.60213441658</v>
      </c>
      <c r="K882" s="7"/>
    </row>
    <row r="883" spans="1:11" x14ac:dyDescent="0.25">
      <c r="A883" s="1" t="s">
        <v>18</v>
      </c>
      <c r="B883" s="2">
        <v>201202</v>
      </c>
      <c r="C883" s="2">
        <v>201701</v>
      </c>
      <c r="D883" s="10">
        <v>29874.75365703215</v>
      </c>
      <c r="E883" s="10">
        <v>343221.33347096154</v>
      </c>
      <c r="F883" s="1">
        <v>0</v>
      </c>
      <c r="G883" s="1">
        <v>328</v>
      </c>
      <c r="H883">
        <f t="shared" si="39"/>
        <v>2012</v>
      </c>
      <c r="I883">
        <f t="shared" si="40"/>
        <v>2017</v>
      </c>
      <c r="J883" s="7">
        <f t="shared" si="41"/>
        <v>373096.0871279937</v>
      </c>
      <c r="K883" s="7"/>
    </row>
    <row r="884" spans="1:11" x14ac:dyDescent="0.25">
      <c r="A884" s="1" t="s">
        <v>18</v>
      </c>
      <c r="B884" s="2">
        <v>201202</v>
      </c>
      <c r="C884" s="2">
        <v>201702</v>
      </c>
      <c r="D884" s="10">
        <v>2997.2149726664256</v>
      </c>
      <c r="E884" s="10">
        <v>340967.48504568893</v>
      </c>
      <c r="F884" s="1">
        <v>0</v>
      </c>
      <c r="G884" s="1">
        <v>306</v>
      </c>
      <c r="H884">
        <f t="shared" si="39"/>
        <v>2012</v>
      </c>
      <c r="I884">
        <f t="shared" si="40"/>
        <v>2017</v>
      </c>
      <c r="J884" s="7">
        <f t="shared" si="41"/>
        <v>343964.70001835533</v>
      </c>
      <c r="K884" s="7"/>
    </row>
    <row r="885" spans="1:11" x14ac:dyDescent="0.25">
      <c r="A885" s="1" t="s">
        <v>18</v>
      </c>
      <c r="B885" s="2">
        <v>201202</v>
      </c>
      <c r="C885" s="2">
        <v>201703</v>
      </c>
      <c r="D885" s="10">
        <v>7309.9959472262326</v>
      </c>
      <c r="E885" s="10">
        <v>345331.8239422398</v>
      </c>
      <c r="F885" s="1">
        <v>0</v>
      </c>
      <c r="G885" s="1">
        <v>274</v>
      </c>
      <c r="H885">
        <f t="shared" si="39"/>
        <v>2012</v>
      </c>
      <c r="I885">
        <f t="shared" si="40"/>
        <v>2017</v>
      </c>
      <c r="J885" s="7">
        <f t="shared" si="41"/>
        <v>352641.81988946605</v>
      </c>
      <c r="K885" s="7"/>
    </row>
    <row r="886" spans="1:11" x14ac:dyDescent="0.25">
      <c r="A886" s="1" t="s">
        <v>18</v>
      </c>
      <c r="B886" s="2">
        <v>201202</v>
      </c>
      <c r="C886" s="2">
        <v>201704</v>
      </c>
      <c r="D886" s="10">
        <v>1583.3012239021475</v>
      </c>
      <c r="E886" s="10">
        <v>412292.04902523855</v>
      </c>
      <c r="F886" s="1">
        <v>0</v>
      </c>
      <c r="G886" s="1">
        <v>235</v>
      </c>
      <c r="H886">
        <f t="shared" si="39"/>
        <v>2012</v>
      </c>
      <c r="I886">
        <f t="shared" si="40"/>
        <v>2017</v>
      </c>
      <c r="J886" s="7">
        <f t="shared" si="41"/>
        <v>413875.3502491407</v>
      </c>
      <c r="K886" s="7"/>
    </row>
    <row r="887" spans="1:11" x14ac:dyDescent="0.25">
      <c r="A887" s="1" t="s">
        <v>18</v>
      </c>
      <c r="B887" s="2">
        <v>201202</v>
      </c>
      <c r="C887" s="2">
        <v>201801</v>
      </c>
      <c r="D887" s="10">
        <v>12567.413388300112</v>
      </c>
      <c r="E887" s="10">
        <v>341853.84999791498</v>
      </c>
      <c r="F887" s="1">
        <v>0</v>
      </c>
      <c r="G887" s="1">
        <v>269</v>
      </c>
      <c r="H887">
        <f t="shared" si="39"/>
        <v>2012</v>
      </c>
      <c r="I887">
        <f t="shared" si="40"/>
        <v>2018</v>
      </c>
      <c r="J887" s="7">
        <f t="shared" si="41"/>
        <v>354421.26338621508</v>
      </c>
      <c r="K887" s="7"/>
    </row>
    <row r="888" spans="1:11" x14ac:dyDescent="0.25">
      <c r="A888" s="1" t="s">
        <v>18</v>
      </c>
      <c r="B888" s="2">
        <v>201202</v>
      </c>
      <c r="C888" s="2">
        <v>201802</v>
      </c>
      <c r="D888" s="10">
        <v>4067.9618354820927</v>
      </c>
      <c r="E888" s="10">
        <v>404202.87882092234</v>
      </c>
      <c r="F888" s="1">
        <v>0</v>
      </c>
      <c r="G888" s="1">
        <v>225</v>
      </c>
      <c r="H888">
        <f t="shared" si="39"/>
        <v>2012</v>
      </c>
      <c r="I888">
        <f t="shared" si="40"/>
        <v>2018</v>
      </c>
      <c r="J888" s="7">
        <f t="shared" si="41"/>
        <v>408270.84065640444</v>
      </c>
      <c r="K888" s="7"/>
    </row>
    <row r="889" spans="1:11" x14ac:dyDescent="0.25">
      <c r="A889" s="1" t="s">
        <v>18</v>
      </c>
      <c r="B889" s="2">
        <v>201202</v>
      </c>
      <c r="C889" s="2">
        <v>201803</v>
      </c>
      <c r="D889" s="10">
        <v>8389.5386301697617</v>
      </c>
      <c r="E889" s="10">
        <v>400944.05260535365</v>
      </c>
      <c r="F889" s="1">
        <v>0</v>
      </c>
      <c r="G889" s="1">
        <v>215</v>
      </c>
      <c r="H889">
        <f t="shared" si="39"/>
        <v>2012</v>
      </c>
      <c r="I889">
        <f t="shared" si="40"/>
        <v>2018</v>
      </c>
      <c r="J889" s="7">
        <f t="shared" si="41"/>
        <v>409333.5912355234</v>
      </c>
      <c r="K889" s="7"/>
    </row>
    <row r="890" spans="1:11" x14ac:dyDescent="0.25">
      <c r="A890" s="1" t="s">
        <v>18</v>
      </c>
      <c r="B890" s="2">
        <v>201202</v>
      </c>
      <c r="C890" s="2">
        <v>201804</v>
      </c>
      <c r="D890" s="10">
        <v>1640.2944987018986</v>
      </c>
      <c r="E890" s="10">
        <v>383529.45917292411</v>
      </c>
      <c r="F890" s="1">
        <v>0</v>
      </c>
      <c r="G890" s="1">
        <v>213</v>
      </c>
      <c r="H890">
        <f t="shared" si="39"/>
        <v>2012</v>
      </c>
      <c r="I890">
        <f t="shared" si="40"/>
        <v>2018</v>
      </c>
      <c r="J890" s="7">
        <f t="shared" si="41"/>
        <v>385169.75367162598</v>
      </c>
      <c r="K890" s="7"/>
    </row>
    <row r="891" spans="1:11" x14ac:dyDescent="0.25">
      <c r="A891" s="1" t="s">
        <v>18</v>
      </c>
      <c r="B891" s="2">
        <v>201202</v>
      </c>
      <c r="C891" s="2">
        <v>201901</v>
      </c>
      <c r="D891" s="10">
        <v>10189.524777314458</v>
      </c>
      <c r="E891" s="10">
        <v>375428.82926657825</v>
      </c>
      <c r="F891" s="1">
        <v>1</v>
      </c>
      <c r="G891" s="1">
        <v>208</v>
      </c>
      <c r="H891">
        <f t="shared" si="39"/>
        <v>2012</v>
      </c>
      <c r="I891">
        <f t="shared" si="40"/>
        <v>2019</v>
      </c>
      <c r="J891" s="7">
        <f t="shared" si="41"/>
        <v>385618.3540438927</v>
      </c>
      <c r="K891" s="7"/>
    </row>
    <row r="892" spans="1:11" x14ac:dyDescent="0.25">
      <c r="A892" s="1" t="s">
        <v>18</v>
      </c>
      <c r="B892" s="2">
        <v>201202</v>
      </c>
      <c r="C892" s="2">
        <v>201902</v>
      </c>
      <c r="D892" s="10">
        <v>6151.0103781850657</v>
      </c>
      <c r="E892" s="10">
        <v>372968.41792762396</v>
      </c>
      <c r="F892" s="1">
        <v>0</v>
      </c>
      <c r="G892" s="1">
        <v>203</v>
      </c>
      <c r="H892">
        <f t="shared" si="39"/>
        <v>2012</v>
      </c>
      <c r="I892">
        <f t="shared" si="40"/>
        <v>2019</v>
      </c>
      <c r="J892" s="7">
        <f t="shared" si="41"/>
        <v>379119.42830580904</v>
      </c>
      <c r="K892" s="7"/>
    </row>
    <row r="893" spans="1:11" x14ac:dyDescent="0.25">
      <c r="A893" s="1" t="s">
        <v>18</v>
      </c>
      <c r="B893" s="2">
        <v>201202</v>
      </c>
      <c r="C893" s="2">
        <v>201903</v>
      </c>
      <c r="D893" s="10">
        <v>2910.4709197170105</v>
      </c>
      <c r="E893" s="10">
        <v>376925.07673154952</v>
      </c>
      <c r="F893" s="1">
        <v>0</v>
      </c>
      <c r="G893" s="1">
        <v>199</v>
      </c>
      <c r="H893">
        <f t="shared" si="39"/>
        <v>2012</v>
      </c>
      <c r="I893">
        <f t="shared" si="40"/>
        <v>2019</v>
      </c>
      <c r="J893" s="7">
        <f t="shared" si="41"/>
        <v>379835.5476512665</v>
      </c>
      <c r="K893" s="7"/>
    </row>
    <row r="894" spans="1:11" x14ac:dyDescent="0.25">
      <c r="A894" s="1" t="s">
        <v>18</v>
      </c>
      <c r="B894" s="2">
        <v>201202</v>
      </c>
      <c r="C894" s="2">
        <v>201904</v>
      </c>
      <c r="D894" s="10">
        <v>7733.2343702338148</v>
      </c>
      <c r="E894" s="10">
        <v>360629.1790423108</v>
      </c>
      <c r="F894" s="1">
        <v>0</v>
      </c>
      <c r="G894" s="1">
        <v>197</v>
      </c>
      <c r="H894">
        <f t="shared" si="39"/>
        <v>2012</v>
      </c>
      <c r="I894">
        <f t="shared" si="40"/>
        <v>2019</v>
      </c>
      <c r="J894" s="7">
        <f t="shared" si="41"/>
        <v>368362.41341254464</v>
      </c>
      <c r="K894" s="7"/>
    </row>
    <row r="895" spans="1:11" x14ac:dyDescent="0.25">
      <c r="A895" s="1" t="s">
        <v>18</v>
      </c>
      <c r="B895" s="2">
        <v>201202</v>
      </c>
      <c r="C895" s="2">
        <v>202001</v>
      </c>
      <c r="D895" s="10">
        <v>3858.832115103347</v>
      </c>
      <c r="E895" s="10">
        <v>372456.24170152552</v>
      </c>
      <c r="F895" s="1">
        <v>0</v>
      </c>
      <c r="G895" s="1">
        <v>192</v>
      </c>
      <c r="H895">
        <f t="shared" si="39"/>
        <v>2012</v>
      </c>
      <c r="I895">
        <f t="shared" si="40"/>
        <v>2020</v>
      </c>
      <c r="J895" s="7">
        <f t="shared" si="41"/>
        <v>376315.07381662889</v>
      </c>
      <c r="K895" s="7"/>
    </row>
    <row r="896" spans="1:11" x14ac:dyDescent="0.25">
      <c r="A896" s="1" t="s">
        <v>18</v>
      </c>
      <c r="B896" s="2">
        <v>201202</v>
      </c>
      <c r="C896" s="2">
        <v>202002</v>
      </c>
      <c r="D896" s="10">
        <v>7546.9412757115297</v>
      </c>
      <c r="E896" s="10">
        <v>356337.90497414436</v>
      </c>
      <c r="F896" s="1">
        <v>0</v>
      </c>
      <c r="G896" s="1">
        <v>181</v>
      </c>
      <c r="H896">
        <f t="shared" si="39"/>
        <v>2012</v>
      </c>
      <c r="I896">
        <f t="shared" si="40"/>
        <v>2020</v>
      </c>
      <c r="J896" s="7">
        <f t="shared" si="41"/>
        <v>363884.84624985588</v>
      </c>
      <c r="K896" s="7"/>
    </row>
    <row r="897" spans="1:11" x14ac:dyDescent="0.25">
      <c r="A897" s="1" t="s">
        <v>18</v>
      </c>
      <c r="B897" s="2">
        <v>201202</v>
      </c>
      <c r="C897" s="2">
        <v>202003</v>
      </c>
      <c r="D897" s="10">
        <v>6255.1651124295522</v>
      </c>
      <c r="E897" s="10">
        <v>352520.53904412716</v>
      </c>
      <c r="F897" s="1">
        <v>0</v>
      </c>
      <c r="G897" s="1">
        <v>182</v>
      </c>
      <c r="H897">
        <f t="shared" si="39"/>
        <v>2012</v>
      </c>
      <c r="I897">
        <f t="shared" si="40"/>
        <v>2020</v>
      </c>
      <c r="J897" s="7">
        <f t="shared" si="41"/>
        <v>358775.70415655669</v>
      </c>
      <c r="K897" s="7"/>
    </row>
    <row r="898" spans="1:11" x14ac:dyDescent="0.25">
      <c r="A898" s="1" t="s">
        <v>18</v>
      </c>
      <c r="B898" s="2">
        <v>201202</v>
      </c>
      <c r="C898" s="2">
        <v>202004</v>
      </c>
      <c r="D898" s="10">
        <v>6877.8016713240841</v>
      </c>
      <c r="E898" s="10">
        <v>328410.79758125154</v>
      </c>
      <c r="F898" s="1">
        <v>0</v>
      </c>
      <c r="G898" s="1">
        <v>150</v>
      </c>
      <c r="H898">
        <f t="shared" si="39"/>
        <v>2012</v>
      </c>
      <c r="I898">
        <f t="shared" si="40"/>
        <v>2020</v>
      </c>
      <c r="J898" s="7">
        <f t="shared" si="41"/>
        <v>335288.5992525756</v>
      </c>
      <c r="K898" s="7"/>
    </row>
    <row r="899" spans="1:11" x14ac:dyDescent="0.25">
      <c r="A899" s="1" t="s">
        <v>18</v>
      </c>
      <c r="B899" s="2">
        <v>201202</v>
      </c>
      <c r="C899" s="2">
        <v>202101</v>
      </c>
      <c r="D899" s="10">
        <v>6415.1459412236272</v>
      </c>
      <c r="E899" s="10">
        <v>323301.05873487995</v>
      </c>
      <c r="F899" s="1">
        <v>0</v>
      </c>
      <c r="G899" s="1">
        <v>140</v>
      </c>
      <c r="H899">
        <f t="shared" si="39"/>
        <v>2012</v>
      </c>
      <c r="I899">
        <f t="shared" si="40"/>
        <v>2021</v>
      </c>
      <c r="J899" s="7">
        <f t="shared" si="41"/>
        <v>329716.20467610355</v>
      </c>
      <c r="K899" s="7"/>
    </row>
    <row r="900" spans="1:11" x14ac:dyDescent="0.25">
      <c r="A900" s="1" t="s">
        <v>18</v>
      </c>
      <c r="B900" s="2">
        <v>201202</v>
      </c>
      <c r="C900" s="2">
        <v>202102</v>
      </c>
      <c r="D900" s="10">
        <v>1399.7361484895932</v>
      </c>
      <c r="E900" s="10">
        <v>329294.38022429816</v>
      </c>
      <c r="F900" s="1">
        <v>0</v>
      </c>
      <c r="G900" s="1">
        <v>131</v>
      </c>
      <c r="H900">
        <f t="shared" ref="H900:H963" si="42">VALUE(LEFT(B900,4))</f>
        <v>2012</v>
      </c>
      <c r="I900">
        <f t="shared" ref="I900:I963" si="43">VALUE(LEFT(C900,4))</f>
        <v>2021</v>
      </c>
      <c r="J900" s="7">
        <f t="shared" si="41"/>
        <v>330694.11637278774</v>
      </c>
      <c r="K900" s="7"/>
    </row>
    <row r="901" spans="1:11" x14ac:dyDescent="0.25">
      <c r="A901" s="1" t="s">
        <v>18</v>
      </c>
      <c r="B901" s="2">
        <v>201202</v>
      </c>
      <c r="C901" s="2">
        <v>202103</v>
      </c>
      <c r="D901" s="10">
        <v>5374.5465111026833</v>
      </c>
      <c r="E901" s="10">
        <v>325245.90208437247</v>
      </c>
      <c r="F901" s="1">
        <v>0</v>
      </c>
      <c r="G901" s="1">
        <v>132</v>
      </c>
      <c r="H901">
        <f t="shared" si="42"/>
        <v>2012</v>
      </c>
      <c r="I901">
        <f t="shared" si="43"/>
        <v>2021</v>
      </c>
      <c r="J901" s="7">
        <f t="shared" ref="J901:J964" si="44">D901+E901</f>
        <v>330620.44859547517</v>
      </c>
      <c r="K901" s="7"/>
    </row>
    <row r="902" spans="1:11" x14ac:dyDescent="0.25">
      <c r="A902" s="1" t="s">
        <v>18</v>
      </c>
      <c r="B902" s="2">
        <v>201202</v>
      </c>
      <c r="C902" s="2">
        <v>202104</v>
      </c>
      <c r="D902" s="10">
        <v>7125.6854773516443</v>
      </c>
      <c r="E902" s="10">
        <v>306572.49018308742</v>
      </c>
      <c r="F902" s="1">
        <v>0</v>
      </c>
      <c r="G902" s="1">
        <v>127</v>
      </c>
      <c r="H902">
        <f t="shared" si="42"/>
        <v>2012</v>
      </c>
      <c r="I902">
        <f t="shared" si="43"/>
        <v>2021</v>
      </c>
      <c r="J902" s="7">
        <f t="shared" si="44"/>
        <v>313698.17566043907</v>
      </c>
      <c r="K902" s="7"/>
    </row>
    <row r="903" spans="1:11" x14ac:dyDescent="0.25">
      <c r="A903" s="1" t="s">
        <v>18</v>
      </c>
      <c r="B903" s="2">
        <v>201203</v>
      </c>
      <c r="C903" s="2">
        <v>201203</v>
      </c>
      <c r="D903" s="10">
        <v>578729.69194053009</v>
      </c>
      <c r="E903" s="10">
        <v>1310595.2293451501</v>
      </c>
      <c r="F903" s="1">
        <v>15973</v>
      </c>
      <c r="G903" s="1">
        <v>10039</v>
      </c>
      <c r="H903">
        <f t="shared" si="42"/>
        <v>2012</v>
      </c>
      <c r="I903">
        <f t="shared" si="43"/>
        <v>2012</v>
      </c>
      <c r="J903" s="7">
        <f t="shared" si="44"/>
        <v>1889324.92128568</v>
      </c>
      <c r="K903" s="7"/>
    </row>
    <row r="904" spans="1:11" x14ac:dyDescent="0.25">
      <c r="A904" s="1" t="s">
        <v>18</v>
      </c>
      <c r="B904" s="2">
        <v>201203</v>
      </c>
      <c r="C904" s="2">
        <v>201204</v>
      </c>
      <c r="D904" s="10">
        <v>708639.15769868612</v>
      </c>
      <c r="E904" s="10">
        <v>1576471.7688981793</v>
      </c>
      <c r="F904" s="1">
        <v>3222</v>
      </c>
      <c r="G904" s="1">
        <v>6532</v>
      </c>
      <c r="H904">
        <f t="shared" si="42"/>
        <v>2012</v>
      </c>
      <c r="I904">
        <f t="shared" si="43"/>
        <v>2012</v>
      </c>
      <c r="J904" s="7">
        <f t="shared" si="44"/>
        <v>2285110.9265968655</v>
      </c>
      <c r="K904" s="7"/>
    </row>
    <row r="905" spans="1:11" x14ac:dyDescent="0.25">
      <c r="A905" s="1" t="s">
        <v>18</v>
      </c>
      <c r="B905" s="2">
        <v>201203</v>
      </c>
      <c r="C905" s="2">
        <v>201301</v>
      </c>
      <c r="D905" s="10">
        <v>234414.8189618779</v>
      </c>
      <c r="E905" s="10">
        <v>1240706.9099747702</v>
      </c>
      <c r="F905" s="1">
        <v>434</v>
      </c>
      <c r="G905" s="1">
        <v>4959</v>
      </c>
      <c r="H905">
        <f t="shared" si="42"/>
        <v>2012</v>
      </c>
      <c r="I905">
        <f t="shared" si="43"/>
        <v>2013</v>
      </c>
      <c r="J905" s="7">
        <f t="shared" si="44"/>
        <v>1475121.728936648</v>
      </c>
      <c r="K905" s="7"/>
    </row>
    <row r="906" spans="1:11" x14ac:dyDescent="0.25">
      <c r="A906" s="1" t="s">
        <v>18</v>
      </c>
      <c r="B906" s="2">
        <v>201203</v>
      </c>
      <c r="C906" s="2">
        <v>201302</v>
      </c>
      <c r="D906" s="10">
        <v>159876.80248227876</v>
      </c>
      <c r="E906" s="10">
        <v>1127868.2233326049</v>
      </c>
      <c r="F906" s="1">
        <v>193</v>
      </c>
      <c r="G906" s="1">
        <v>4022</v>
      </c>
      <c r="H906">
        <f t="shared" si="42"/>
        <v>2012</v>
      </c>
      <c r="I906">
        <f t="shared" si="43"/>
        <v>2013</v>
      </c>
      <c r="J906" s="7">
        <f t="shared" si="44"/>
        <v>1287745.0258148836</v>
      </c>
      <c r="K906" s="7"/>
    </row>
    <row r="907" spans="1:11" x14ac:dyDescent="0.25">
      <c r="A907" s="1" t="s">
        <v>18</v>
      </c>
      <c r="B907" s="2">
        <v>201203</v>
      </c>
      <c r="C907" s="2">
        <v>201303</v>
      </c>
      <c r="D907" s="10">
        <v>114939.96632515089</v>
      </c>
      <c r="E907" s="10">
        <v>1031337.9940554437</v>
      </c>
      <c r="F907" s="1">
        <v>115</v>
      </c>
      <c r="G907" s="1">
        <v>3428</v>
      </c>
      <c r="H907">
        <f t="shared" si="42"/>
        <v>2012</v>
      </c>
      <c r="I907">
        <f t="shared" si="43"/>
        <v>2013</v>
      </c>
      <c r="J907" s="7">
        <f t="shared" si="44"/>
        <v>1146277.9603805945</v>
      </c>
      <c r="K907" s="7"/>
    </row>
    <row r="908" spans="1:11" x14ac:dyDescent="0.25">
      <c r="A908" s="1" t="s">
        <v>18</v>
      </c>
      <c r="B908" s="2">
        <v>201203</v>
      </c>
      <c r="C908" s="2">
        <v>201304</v>
      </c>
      <c r="D908" s="10">
        <v>67577.688601129004</v>
      </c>
      <c r="E908" s="10">
        <v>1122505.5201909197</v>
      </c>
      <c r="F908" s="1">
        <v>46</v>
      </c>
      <c r="G908" s="1">
        <v>2828</v>
      </c>
      <c r="H908">
        <f t="shared" si="42"/>
        <v>2012</v>
      </c>
      <c r="I908">
        <f t="shared" si="43"/>
        <v>2013</v>
      </c>
      <c r="J908" s="7">
        <f t="shared" si="44"/>
        <v>1190083.2087920487</v>
      </c>
      <c r="K908" s="7"/>
    </row>
    <row r="909" spans="1:11" x14ac:dyDescent="0.25">
      <c r="A909" s="1" t="s">
        <v>18</v>
      </c>
      <c r="B909" s="2">
        <v>201203</v>
      </c>
      <c r="C909" s="2">
        <v>201401</v>
      </c>
      <c r="D909" s="10">
        <v>74354.723550111259</v>
      </c>
      <c r="E909" s="10">
        <v>960112.89247933228</v>
      </c>
      <c r="F909" s="1">
        <v>31</v>
      </c>
      <c r="G909" s="1">
        <v>2439</v>
      </c>
      <c r="H909">
        <f t="shared" si="42"/>
        <v>2012</v>
      </c>
      <c r="I909">
        <f t="shared" si="43"/>
        <v>2014</v>
      </c>
      <c r="J909" s="7">
        <f t="shared" si="44"/>
        <v>1034467.6160294436</v>
      </c>
      <c r="K909" s="7"/>
    </row>
    <row r="910" spans="1:11" x14ac:dyDescent="0.25">
      <c r="A910" s="1" t="s">
        <v>18</v>
      </c>
      <c r="B910" s="2">
        <v>201203</v>
      </c>
      <c r="C910" s="2">
        <v>201402</v>
      </c>
      <c r="D910" s="10">
        <v>38791.965839980832</v>
      </c>
      <c r="E910" s="10">
        <v>870153.04563401698</v>
      </c>
      <c r="F910" s="1">
        <v>22</v>
      </c>
      <c r="G910" s="1">
        <v>2104</v>
      </c>
      <c r="H910">
        <f t="shared" si="42"/>
        <v>2012</v>
      </c>
      <c r="I910">
        <f t="shared" si="43"/>
        <v>2014</v>
      </c>
      <c r="J910" s="7">
        <f t="shared" si="44"/>
        <v>908945.01147399785</v>
      </c>
      <c r="K910" s="7"/>
    </row>
    <row r="911" spans="1:11" x14ac:dyDescent="0.25">
      <c r="A911" s="1" t="s">
        <v>18</v>
      </c>
      <c r="B911" s="2">
        <v>201203</v>
      </c>
      <c r="C911" s="2">
        <v>201403</v>
      </c>
      <c r="D911" s="10">
        <v>44872.721873589027</v>
      </c>
      <c r="E911" s="10">
        <v>834705.31814739353</v>
      </c>
      <c r="F911" s="1">
        <v>26</v>
      </c>
      <c r="G911" s="1">
        <v>1872</v>
      </c>
      <c r="H911">
        <f t="shared" si="42"/>
        <v>2012</v>
      </c>
      <c r="I911">
        <f t="shared" si="43"/>
        <v>2014</v>
      </c>
      <c r="J911" s="7">
        <f t="shared" si="44"/>
        <v>879578.0400209825</v>
      </c>
      <c r="K911" s="7"/>
    </row>
    <row r="912" spans="1:11" x14ac:dyDescent="0.25">
      <c r="A912" s="1" t="s">
        <v>18</v>
      </c>
      <c r="B912" s="2">
        <v>201203</v>
      </c>
      <c r="C912" s="2">
        <v>201404</v>
      </c>
      <c r="D912" s="10">
        <v>29040.242897867913</v>
      </c>
      <c r="E912" s="10">
        <v>893933.40315581637</v>
      </c>
      <c r="F912" s="1">
        <v>12</v>
      </c>
      <c r="G912" s="1">
        <v>1574</v>
      </c>
      <c r="H912">
        <f t="shared" si="42"/>
        <v>2012</v>
      </c>
      <c r="I912">
        <f t="shared" si="43"/>
        <v>2014</v>
      </c>
      <c r="J912" s="7">
        <f t="shared" si="44"/>
        <v>922973.64605368429</v>
      </c>
      <c r="K912" s="7"/>
    </row>
    <row r="913" spans="1:11" x14ac:dyDescent="0.25">
      <c r="A913" s="1" t="s">
        <v>18</v>
      </c>
      <c r="B913" s="2">
        <v>201203</v>
      </c>
      <c r="C913" s="2">
        <v>201501</v>
      </c>
      <c r="D913" s="10">
        <v>32462.652729986447</v>
      </c>
      <c r="E913" s="10">
        <v>758242.08524185768</v>
      </c>
      <c r="F913" s="1">
        <v>10</v>
      </c>
      <c r="G913" s="1">
        <v>1213</v>
      </c>
      <c r="H913">
        <f t="shared" si="42"/>
        <v>2012</v>
      </c>
      <c r="I913">
        <f t="shared" si="43"/>
        <v>2015</v>
      </c>
      <c r="J913" s="7">
        <f t="shared" si="44"/>
        <v>790704.73797184415</v>
      </c>
      <c r="K913" s="7"/>
    </row>
    <row r="914" spans="1:11" x14ac:dyDescent="0.25">
      <c r="A914" s="1" t="s">
        <v>18</v>
      </c>
      <c r="B914" s="2">
        <v>201203</v>
      </c>
      <c r="C914" s="2">
        <v>201502</v>
      </c>
      <c r="D914" s="10">
        <v>15701.459692970808</v>
      </c>
      <c r="E914" s="10">
        <v>705216.80894150271</v>
      </c>
      <c r="F914" s="1">
        <v>8</v>
      </c>
      <c r="G914" s="1">
        <v>970</v>
      </c>
      <c r="H914">
        <f t="shared" si="42"/>
        <v>2012</v>
      </c>
      <c r="I914">
        <f t="shared" si="43"/>
        <v>2015</v>
      </c>
      <c r="J914" s="7">
        <f t="shared" si="44"/>
        <v>720918.26863447356</v>
      </c>
      <c r="K914" s="7"/>
    </row>
    <row r="915" spans="1:11" x14ac:dyDescent="0.25">
      <c r="A915" s="1" t="s">
        <v>18</v>
      </c>
      <c r="B915" s="2">
        <v>201203</v>
      </c>
      <c r="C915" s="2">
        <v>201503</v>
      </c>
      <c r="D915" s="10">
        <v>21362.125139311134</v>
      </c>
      <c r="E915" s="10">
        <v>683954.46655913163</v>
      </c>
      <c r="F915" s="1">
        <v>8</v>
      </c>
      <c r="G915" s="1">
        <v>883</v>
      </c>
      <c r="H915">
        <f t="shared" si="42"/>
        <v>2012</v>
      </c>
      <c r="I915">
        <f t="shared" si="43"/>
        <v>2015</v>
      </c>
      <c r="J915" s="7">
        <f t="shared" si="44"/>
        <v>705316.59169844282</v>
      </c>
      <c r="K915" s="7"/>
    </row>
    <row r="916" spans="1:11" x14ac:dyDescent="0.25">
      <c r="A916" s="1" t="s">
        <v>18</v>
      </c>
      <c r="B916" s="2">
        <v>201203</v>
      </c>
      <c r="C916" s="2">
        <v>201504</v>
      </c>
      <c r="D916" s="10">
        <v>14964.785421760907</v>
      </c>
      <c r="E916" s="10">
        <v>598046.68710639828</v>
      </c>
      <c r="F916" s="1">
        <v>2</v>
      </c>
      <c r="G916" s="1">
        <v>725</v>
      </c>
      <c r="H916">
        <f t="shared" si="42"/>
        <v>2012</v>
      </c>
      <c r="I916">
        <f t="shared" si="43"/>
        <v>2015</v>
      </c>
      <c r="J916" s="7">
        <f t="shared" si="44"/>
        <v>613011.47252815915</v>
      </c>
      <c r="K916" s="7"/>
    </row>
    <row r="917" spans="1:11" x14ac:dyDescent="0.25">
      <c r="A917" s="1" t="s">
        <v>18</v>
      </c>
      <c r="B917" s="2">
        <v>201203</v>
      </c>
      <c r="C917" s="2">
        <v>201601</v>
      </c>
      <c r="D917" s="10">
        <v>26493.265043526757</v>
      </c>
      <c r="E917" s="10">
        <v>527475.20748390537</v>
      </c>
      <c r="F917" s="1">
        <v>0</v>
      </c>
      <c r="G917" s="1">
        <v>623</v>
      </c>
      <c r="H917">
        <f t="shared" si="42"/>
        <v>2012</v>
      </c>
      <c r="I917">
        <f t="shared" si="43"/>
        <v>2016</v>
      </c>
      <c r="J917" s="7">
        <f t="shared" si="44"/>
        <v>553968.47252743214</v>
      </c>
      <c r="K917" s="7"/>
    </row>
    <row r="918" spans="1:11" x14ac:dyDescent="0.25">
      <c r="A918" s="1" t="s">
        <v>18</v>
      </c>
      <c r="B918" s="2">
        <v>201203</v>
      </c>
      <c r="C918" s="2">
        <v>201602</v>
      </c>
      <c r="D918" s="10">
        <v>8515.3187033674985</v>
      </c>
      <c r="E918" s="10">
        <v>511868.84363857767</v>
      </c>
      <c r="F918" s="1">
        <v>1</v>
      </c>
      <c r="G918" s="1">
        <v>556</v>
      </c>
      <c r="H918">
        <f t="shared" si="42"/>
        <v>2012</v>
      </c>
      <c r="I918">
        <f t="shared" si="43"/>
        <v>2016</v>
      </c>
      <c r="J918" s="7">
        <f t="shared" si="44"/>
        <v>520384.16234194516</v>
      </c>
      <c r="K918" s="7"/>
    </row>
    <row r="919" spans="1:11" x14ac:dyDescent="0.25">
      <c r="A919" s="1" t="s">
        <v>18</v>
      </c>
      <c r="B919" s="2">
        <v>201203</v>
      </c>
      <c r="C919" s="2">
        <v>201603</v>
      </c>
      <c r="D919" s="10">
        <v>13170.685784313111</v>
      </c>
      <c r="E919" s="10">
        <v>479950.21422569436</v>
      </c>
      <c r="F919" s="1">
        <v>0</v>
      </c>
      <c r="G919" s="1">
        <v>482</v>
      </c>
      <c r="H919">
        <f t="shared" si="42"/>
        <v>2012</v>
      </c>
      <c r="I919">
        <f t="shared" si="43"/>
        <v>2016</v>
      </c>
      <c r="J919" s="7">
        <f t="shared" si="44"/>
        <v>493120.90001000749</v>
      </c>
      <c r="K919" s="7"/>
    </row>
    <row r="920" spans="1:11" x14ac:dyDescent="0.25">
      <c r="A920" s="1" t="s">
        <v>18</v>
      </c>
      <c r="B920" s="2">
        <v>201203</v>
      </c>
      <c r="C920" s="2">
        <v>201604</v>
      </c>
      <c r="D920" s="10">
        <v>7863.5462400680999</v>
      </c>
      <c r="E920" s="10">
        <v>544314.73019492254</v>
      </c>
      <c r="F920" s="1">
        <v>1</v>
      </c>
      <c r="G920" s="1">
        <v>411</v>
      </c>
      <c r="H920">
        <f t="shared" si="42"/>
        <v>2012</v>
      </c>
      <c r="I920">
        <f t="shared" si="43"/>
        <v>2016</v>
      </c>
      <c r="J920" s="7">
        <f t="shared" si="44"/>
        <v>552178.27643499069</v>
      </c>
      <c r="K920" s="7"/>
    </row>
    <row r="921" spans="1:11" x14ac:dyDescent="0.25">
      <c r="A921" s="1" t="s">
        <v>18</v>
      </c>
      <c r="B921" s="2">
        <v>201203</v>
      </c>
      <c r="C921" s="2">
        <v>201701</v>
      </c>
      <c r="D921" s="10">
        <v>7972.1445145666539</v>
      </c>
      <c r="E921" s="10">
        <v>482246.46138036356</v>
      </c>
      <c r="F921" s="1">
        <v>0</v>
      </c>
      <c r="G921" s="1">
        <v>364</v>
      </c>
      <c r="H921">
        <f t="shared" si="42"/>
        <v>2012</v>
      </c>
      <c r="I921">
        <f t="shared" si="43"/>
        <v>2017</v>
      </c>
      <c r="J921" s="7">
        <f t="shared" si="44"/>
        <v>490218.6058949302</v>
      </c>
      <c r="K921" s="7"/>
    </row>
    <row r="922" spans="1:11" x14ac:dyDescent="0.25">
      <c r="A922" s="1" t="s">
        <v>18</v>
      </c>
      <c r="B922" s="2">
        <v>201203</v>
      </c>
      <c r="C922" s="2">
        <v>201702</v>
      </c>
      <c r="D922" s="10">
        <v>1834.1396193572054</v>
      </c>
      <c r="E922" s="10">
        <v>472957.41699365852</v>
      </c>
      <c r="F922" s="1">
        <v>0</v>
      </c>
      <c r="G922" s="1">
        <v>313</v>
      </c>
      <c r="H922">
        <f t="shared" si="42"/>
        <v>2012</v>
      </c>
      <c r="I922">
        <f t="shared" si="43"/>
        <v>2017</v>
      </c>
      <c r="J922" s="7">
        <f t="shared" si="44"/>
        <v>474791.55661301571</v>
      </c>
      <c r="K922" s="7"/>
    </row>
    <row r="923" spans="1:11" x14ac:dyDescent="0.25">
      <c r="A923" s="1" t="s">
        <v>18</v>
      </c>
      <c r="B923" s="2">
        <v>201203</v>
      </c>
      <c r="C923" s="2">
        <v>201703</v>
      </c>
      <c r="D923" s="10">
        <v>2185.7381159259871</v>
      </c>
      <c r="E923" s="10">
        <v>469510.26392754365</v>
      </c>
      <c r="F923" s="1">
        <v>0</v>
      </c>
      <c r="G923" s="1">
        <v>286</v>
      </c>
      <c r="H923">
        <f t="shared" si="42"/>
        <v>2012</v>
      </c>
      <c r="I923">
        <f t="shared" si="43"/>
        <v>2017</v>
      </c>
      <c r="J923" s="7">
        <f t="shared" si="44"/>
        <v>471696.00204346963</v>
      </c>
      <c r="K923" s="7"/>
    </row>
    <row r="924" spans="1:11" x14ac:dyDescent="0.25">
      <c r="A924" s="1" t="s">
        <v>18</v>
      </c>
      <c r="B924" s="2">
        <v>201203</v>
      </c>
      <c r="C924" s="2">
        <v>201704</v>
      </c>
      <c r="D924" s="10">
        <v>2648.4525093254483</v>
      </c>
      <c r="E924" s="10">
        <v>502060.55714681424</v>
      </c>
      <c r="F924" s="1">
        <v>0</v>
      </c>
      <c r="G924" s="1">
        <v>237</v>
      </c>
      <c r="H924">
        <f t="shared" si="42"/>
        <v>2012</v>
      </c>
      <c r="I924">
        <f t="shared" si="43"/>
        <v>2017</v>
      </c>
      <c r="J924" s="7">
        <f t="shared" si="44"/>
        <v>504709.00965613971</v>
      </c>
      <c r="K924" s="7"/>
    </row>
    <row r="925" spans="1:11" x14ac:dyDescent="0.25">
      <c r="A925" s="1" t="s">
        <v>18</v>
      </c>
      <c r="B925" s="2">
        <v>201203</v>
      </c>
      <c r="C925" s="2">
        <v>201801</v>
      </c>
      <c r="D925" s="10">
        <v>5208.5315340651814</v>
      </c>
      <c r="E925" s="10">
        <v>484607.49553341564</v>
      </c>
      <c r="F925" s="1">
        <v>0</v>
      </c>
      <c r="G925" s="1">
        <v>308</v>
      </c>
      <c r="H925">
        <f t="shared" si="42"/>
        <v>2012</v>
      </c>
      <c r="I925">
        <f t="shared" si="43"/>
        <v>2018</v>
      </c>
      <c r="J925" s="7">
        <f t="shared" si="44"/>
        <v>489816.02706748084</v>
      </c>
      <c r="K925" s="7"/>
    </row>
    <row r="926" spans="1:11" x14ac:dyDescent="0.25">
      <c r="A926" s="1" t="s">
        <v>18</v>
      </c>
      <c r="B926" s="2">
        <v>201203</v>
      </c>
      <c r="C926" s="2">
        <v>201802</v>
      </c>
      <c r="D926" s="10">
        <v>8938.1668631355533</v>
      </c>
      <c r="E926" s="10">
        <v>468503.33599737263</v>
      </c>
      <c r="F926" s="1">
        <v>0</v>
      </c>
      <c r="G926" s="1">
        <v>217</v>
      </c>
      <c r="H926">
        <f t="shared" si="42"/>
        <v>2012</v>
      </c>
      <c r="I926">
        <f t="shared" si="43"/>
        <v>2018</v>
      </c>
      <c r="J926" s="7">
        <f t="shared" si="44"/>
        <v>477441.50286050816</v>
      </c>
      <c r="K926" s="7"/>
    </row>
    <row r="927" spans="1:11" x14ac:dyDescent="0.25">
      <c r="A927" s="1" t="s">
        <v>18</v>
      </c>
      <c r="B927" s="2">
        <v>201203</v>
      </c>
      <c r="C927" s="2">
        <v>201803</v>
      </c>
      <c r="D927" s="10">
        <v>4701.4790597737419</v>
      </c>
      <c r="E927" s="10">
        <v>450838.1442154955</v>
      </c>
      <c r="F927" s="1">
        <v>0</v>
      </c>
      <c r="G927" s="1">
        <v>219</v>
      </c>
      <c r="H927">
        <f t="shared" si="42"/>
        <v>2012</v>
      </c>
      <c r="I927">
        <f t="shared" si="43"/>
        <v>2018</v>
      </c>
      <c r="J927" s="7">
        <f t="shared" si="44"/>
        <v>455539.62327526923</v>
      </c>
      <c r="K927" s="7"/>
    </row>
    <row r="928" spans="1:11" x14ac:dyDescent="0.25">
      <c r="A928" s="1" t="s">
        <v>18</v>
      </c>
      <c r="B928" s="2">
        <v>201203</v>
      </c>
      <c r="C928" s="2">
        <v>201804</v>
      </c>
      <c r="D928" s="10">
        <v>4633.7245116298209</v>
      </c>
      <c r="E928" s="10">
        <v>451419.04248897778</v>
      </c>
      <c r="F928" s="1">
        <v>0</v>
      </c>
      <c r="G928" s="1">
        <v>201</v>
      </c>
      <c r="H928">
        <f t="shared" si="42"/>
        <v>2012</v>
      </c>
      <c r="I928">
        <f t="shared" si="43"/>
        <v>2018</v>
      </c>
      <c r="J928" s="7">
        <f t="shared" si="44"/>
        <v>456052.76700060762</v>
      </c>
      <c r="K928" s="7"/>
    </row>
    <row r="929" spans="1:11" x14ac:dyDescent="0.25">
      <c r="A929" s="1" t="s">
        <v>18</v>
      </c>
      <c r="B929" s="2">
        <v>201203</v>
      </c>
      <c r="C929" s="2">
        <v>201901</v>
      </c>
      <c r="D929" s="10">
        <v>2282.0779378845082</v>
      </c>
      <c r="E929" s="10">
        <v>438925.11063481565</v>
      </c>
      <c r="F929" s="1">
        <v>0</v>
      </c>
      <c r="G929" s="1">
        <v>197</v>
      </c>
      <c r="H929">
        <f t="shared" si="42"/>
        <v>2012</v>
      </c>
      <c r="I929">
        <f t="shared" si="43"/>
        <v>2019</v>
      </c>
      <c r="J929" s="7">
        <f t="shared" si="44"/>
        <v>441207.18857270014</v>
      </c>
      <c r="K929" s="7"/>
    </row>
    <row r="930" spans="1:11" x14ac:dyDescent="0.25">
      <c r="A930" s="1" t="s">
        <v>18</v>
      </c>
      <c r="B930" s="2">
        <v>201203</v>
      </c>
      <c r="C930" s="2">
        <v>201902</v>
      </c>
      <c r="D930" s="10">
        <v>1034.138630398201</v>
      </c>
      <c r="E930" s="10">
        <v>438417.14511396521</v>
      </c>
      <c r="F930" s="1">
        <v>0</v>
      </c>
      <c r="G930" s="1">
        <v>191</v>
      </c>
      <c r="H930">
        <f t="shared" si="42"/>
        <v>2012</v>
      </c>
      <c r="I930">
        <f t="shared" si="43"/>
        <v>2019</v>
      </c>
      <c r="J930" s="7">
        <f t="shared" si="44"/>
        <v>439451.28374436341</v>
      </c>
      <c r="K930" s="7"/>
    </row>
    <row r="931" spans="1:11" x14ac:dyDescent="0.25">
      <c r="A931" s="1" t="s">
        <v>18</v>
      </c>
      <c r="B931" s="2">
        <v>201203</v>
      </c>
      <c r="C931" s="2">
        <v>201903</v>
      </c>
      <c r="D931" s="10">
        <v>4000.1446288125931</v>
      </c>
      <c r="E931" s="10">
        <v>427360.74504966603</v>
      </c>
      <c r="F931" s="1">
        <v>0</v>
      </c>
      <c r="G931" s="1">
        <v>191</v>
      </c>
      <c r="H931">
        <f t="shared" si="42"/>
        <v>2012</v>
      </c>
      <c r="I931">
        <f t="shared" si="43"/>
        <v>2019</v>
      </c>
      <c r="J931" s="7">
        <f t="shared" si="44"/>
        <v>431360.88967847865</v>
      </c>
      <c r="K931" s="7"/>
    </row>
    <row r="932" spans="1:11" x14ac:dyDescent="0.25">
      <c r="A932" s="1" t="s">
        <v>18</v>
      </c>
      <c r="B932" s="2">
        <v>201203</v>
      </c>
      <c r="C932" s="2">
        <v>201904</v>
      </c>
      <c r="D932" s="10">
        <v>1351.623667074032</v>
      </c>
      <c r="E932" s="10">
        <v>409590.90162260598</v>
      </c>
      <c r="F932" s="1">
        <v>0</v>
      </c>
      <c r="G932" s="1">
        <v>181</v>
      </c>
      <c r="H932">
        <f t="shared" si="42"/>
        <v>2012</v>
      </c>
      <c r="I932">
        <f t="shared" si="43"/>
        <v>2019</v>
      </c>
      <c r="J932" s="7">
        <f t="shared" si="44"/>
        <v>410942.52528967999</v>
      </c>
      <c r="K932" s="7"/>
    </row>
    <row r="933" spans="1:11" x14ac:dyDescent="0.25">
      <c r="A933" s="1" t="s">
        <v>18</v>
      </c>
      <c r="B933" s="2">
        <v>201203</v>
      </c>
      <c r="C933" s="2">
        <v>202001</v>
      </c>
      <c r="D933" s="10">
        <v>154.64678995015052</v>
      </c>
      <c r="E933" s="10">
        <v>399024.53517646517</v>
      </c>
      <c r="F933" s="1">
        <v>0</v>
      </c>
      <c r="G933" s="1">
        <v>177</v>
      </c>
      <c r="H933">
        <f t="shared" si="42"/>
        <v>2012</v>
      </c>
      <c r="I933">
        <f t="shared" si="43"/>
        <v>2020</v>
      </c>
      <c r="J933" s="7">
        <f t="shared" si="44"/>
        <v>399179.18196641532</v>
      </c>
      <c r="K933" s="7"/>
    </row>
    <row r="934" spans="1:11" x14ac:dyDescent="0.25">
      <c r="A934" s="1" t="s">
        <v>18</v>
      </c>
      <c r="B934" s="2">
        <v>201203</v>
      </c>
      <c r="C934" s="2">
        <v>202002</v>
      </c>
      <c r="D934" s="10">
        <v>5917.6327074718483</v>
      </c>
      <c r="E934" s="10">
        <v>393671.77550667798</v>
      </c>
      <c r="F934" s="1">
        <v>0</v>
      </c>
      <c r="G934" s="1">
        <v>166</v>
      </c>
      <c r="H934">
        <f t="shared" si="42"/>
        <v>2012</v>
      </c>
      <c r="I934">
        <f t="shared" si="43"/>
        <v>2020</v>
      </c>
      <c r="J934" s="7">
        <f t="shared" si="44"/>
        <v>399589.40821414982</v>
      </c>
      <c r="K934" s="7"/>
    </row>
    <row r="935" spans="1:11" x14ac:dyDescent="0.25">
      <c r="A935" s="1" t="s">
        <v>18</v>
      </c>
      <c r="B935" s="2">
        <v>201203</v>
      </c>
      <c r="C935" s="2">
        <v>202003</v>
      </c>
      <c r="D935" s="10">
        <v>2154.7120683340081</v>
      </c>
      <c r="E935" s="10">
        <v>395065.87139068218</v>
      </c>
      <c r="F935" s="1">
        <v>0</v>
      </c>
      <c r="G935" s="1">
        <v>164</v>
      </c>
      <c r="H935">
        <f t="shared" si="42"/>
        <v>2012</v>
      </c>
      <c r="I935">
        <f t="shared" si="43"/>
        <v>2020</v>
      </c>
      <c r="J935" s="7">
        <f t="shared" si="44"/>
        <v>397220.58345901617</v>
      </c>
      <c r="K935" s="7"/>
    </row>
    <row r="936" spans="1:11" x14ac:dyDescent="0.25">
      <c r="A936" s="1" t="s">
        <v>18</v>
      </c>
      <c r="B936" s="2">
        <v>201203</v>
      </c>
      <c r="C936" s="2">
        <v>202004</v>
      </c>
      <c r="D936" s="10">
        <v>160.7373772590463</v>
      </c>
      <c r="E936" s="10">
        <v>392934.43482905114</v>
      </c>
      <c r="F936" s="1">
        <v>0</v>
      </c>
      <c r="G936" s="1">
        <v>141</v>
      </c>
      <c r="H936">
        <f t="shared" si="42"/>
        <v>2012</v>
      </c>
      <c r="I936">
        <f t="shared" si="43"/>
        <v>2020</v>
      </c>
      <c r="J936" s="7">
        <f t="shared" si="44"/>
        <v>393095.17220631021</v>
      </c>
      <c r="K936" s="7"/>
    </row>
    <row r="937" spans="1:11" x14ac:dyDescent="0.25">
      <c r="A937" s="1" t="s">
        <v>18</v>
      </c>
      <c r="B937" s="2">
        <v>201203</v>
      </c>
      <c r="C937" s="2">
        <v>202101</v>
      </c>
      <c r="D937" s="10">
        <v>4940.9125802582812</v>
      </c>
      <c r="E937" s="10">
        <v>385851.80268407398</v>
      </c>
      <c r="F937" s="1">
        <v>0</v>
      </c>
      <c r="G937" s="1">
        <v>138</v>
      </c>
      <c r="H937">
        <f t="shared" si="42"/>
        <v>2012</v>
      </c>
      <c r="I937">
        <f t="shared" si="43"/>
        <v>2021</v>
      </c>
      <c r="J937" s="7">
        <f t="shared" si="44"/>
        <v>390792.71526433225</v>
      </c>
      <c r="K937" s="7"/>
    </row>
    <row r="938" spans="1:11" x14ac:dyDescent="0.25">
      <c r="A938" s="1" t="s">
        <v>18</v>
      </c>
      <c r="B938" s="2">
        <v>201203</v>
      </c>
      <c r="C938" s="2">
        <v>202102</v>
      </c>
      <c r="D938" s="10">
        <v>-181.3572790334178</v>
      </c>
      <c r="E938" s="10">
        <v>391450.76630249032</v>
      </c>
      <c r="F938" s="1">
        <v>0</v>
      </c>
      <c r="G938" s="1">
        <v>137</v>
      </c>
      <c r="H938">
        <f t="shared" si="42"/>
        <v>2012</v>
      </c>
      <c r="I938">
        <f t="shared" si="43"/>
        <v>2021</v>
      </c>
      <c r="J938" s="7">
        <f t="shared" si="44"/>
        <v>391269.40902345692</v>
      </c>
      <c r="K938" s="7"/>
    </row>
    <row r="939" spans="1:11" x14ac:dyDescent="0.25">
      <c r="A939" s="1" t="s">
        <v>18</v>
      </c>
      <c r="B939" s="2">
        <v>201203</v>
      </c>
      <c r="C939" s="2">
        <v>202103</v>
      </c>
      <c r="D939" s="10">
        <v>2288.5679878703904</v>
      </c>
      <c r="E939" s="10">
        <v>390491.22313115571</v>
      </c>
      <c r="F939" s="1">
        <v>0</v>
      </c>
      <c r="G939" s="1">
        <v>129</v>
      </c>
      <c r="H939">
        <f t="shared" si="42"/>
        <v>2012</v>
      </c>
      <c r="I939">
        <f t="shared" si="43"/>
        <v>2021</v>
      </c>
      <c r="J939" s="7">
        <f t="shared" si="44"/>
        <v>392779.79111902608</v>
      </c>
      <c r="K939" s="7"/>
    </row>
    <row r="940" spans="1:11" x14ac:dyDescent="0.25">
      <c r="A940" s="1" t="s">
        <v>18</v>
      </c>
      <c r="B940" s="2">
        <v>201203</v>
      </c>
      <c r="C940" s="2">
        <v>202104</v>
      </c>
      <c r="D940" s="10">
        <v>149.55240670702381</v>
      </c>
      <c r="E940" s="10">
        <v>374966.2837334763</v>
      </c>
      <c r="F940" s="1">
        <v>0</v>
      </c>
      <c r="G940" s="1">
        <v>123</v>
      </c>
      <c r="H940">
        <f t="shared" si="42"/>
        <v>2012</v>
      </c>
      <c r="I940">
        <f t="shared" si="43"/>
        <v>2021</v>
      </c>
      <c r="J940" s="7">
        <f t="shared" si="44"/>
        <v>375115.83614018332</v>
      </c>
      <c r="K940" s="7"/>
    </row>
    <row r="941" spans="1:11" x14ac:dyDescent="0.25">
      <c r="A941" s="1" t="s">
        <v>18</v>
      </c>
      <c r="B941" s="2">
        <v>201204</v>
      </c>
      <c r="C941" s="2">
        <v>201204</v>
      </c>
      <c r="D941" s="10">
        <v>545420.43863112526</v>
      </c>
      <c r="E941" s="10">
        <v>1679194.7086747822</v>
      </c>
      <c r="F941" s="1">
        <v>16692</v>
      </c>
      <c r="G941" s="1">
        <v>10486</v>
      </c>
      <c r="H941">
        <f t="shared" si="42"/>
        <v>2012</v>
      </c>
      <c r="I941">
        <f t="shared" si="43"/>
        <v>2012</v>
      </c>
      <c r="J941" s="7">
        <f t="shared" si="44"/>
        <v>2224615.1473059077</v>
      </c>
      <c r="K941" s="7"/>
    </row>
    <row r="942" spans="1:11" x14ac:dyDescent="0.25">
      <c r="A942" s="1" t="s">
        <v>18</v>
      </c>
      <c r="B942" s="2">
        <v>201204</v>
      </c>
      <c r="C942" s="2">
        <v>201301</v>
      </c>
      <c r="D942" s="10">
        <v>724135.51339087449</v>
      </c>
      <c r="E942" s="10">
        <v>1128308.891193897</v>
      </c>
      <c r="F942" s="1">
        <v>3378</v>
      </c>
      <c r="G942" s="1">
        <v>7007</v>
      </c>
      <c r="H942">
        <f t="shared" si="42"/>
        <v>2012</v>
      </c>
      <c r="I942">
        <f t="shared" si="43"/>
        <v>2013</v>
      </c>
      <c r="J942" s="7">
        <f t="shared" si="44"/>
        <v>1852444.4045847715</v>
      </c>
      <c r="K942" s="7"/>
    </row>
    <row r="943" spans="1:11" x14ac:dyDescent="0.25">
      <c r="A943" s="1" t="s">
        <v>18</v>
      </c>
      <c r="B943" s="2">
        <v>201204</v>
      </c>
      <c r="C943" s="2">
        <v>201302</v>
      </c>
      <c r="D943" s="10">
        <v>257007.11223578957</v>
      </c>
      <c r="E943" s="10">
        <v>842221.26406873681</v>
      </c>
      <c r="F943" s="1">
        <v>510</v>
      </c>
      <c r="G943" s="1">
        <v>5102</v>
      </c>
      <c r="H943">
        <f t="shared" si="42"/>
        <v>2012</v>
      </c>
      <c r="I943">
        <f t="shared" si="43"/>
        <v>2013</v>
      </c>
      <c r="J943" s="7">
        <f t="shared" si="44"/>
        <v>1099228.3763045263</v>
      </c>
      <c r="K943" s="7"/>
    </row>
    <row r="944" spans="1:11" x14ac:dyDescent="0.25">
      <c r="A944" s="1" t="s">
        <v>18</v>
      </c>
      <c r="B944" s="2">
        <v>201204</v>
      </c>
      <c r="C944" s="2">
        <v>201303</v>
      </c>
      <c r="D944" s="10">
        <v>121912.60713603933</v>
      </c>
      <c r="E944" s="10">
        <v>729732.66391533613</v>
      </c>
      <c r="F944" s="1">
        <v>190</v>
      </c>
      <c r="G944" s="1">
        <v>4231</v>
      </c>
      <c r="H944">
        <f t="shared" si="42"/>
        <v>2012</v>
      </c>
      <c r="I944">
        <f t="shared" si="43"/>
        <v>2013</v>
      </c>
      <c r="J944" s="7">
        <f t="shared" si="44"/>
        <v>851645.27105137543</v>
      </c>
      <c r="K944" s="7"/>
    </row>
    <row r="945" spans="1:11" x14ac:dyDescent="0.25">
      <c r="A945" s="1" t="s">
        <v>18</v>
      </c>
      <c r="B945" s="2">
        <v>201204</v>
      </c>
      <c r="C945" s="2">
        <v>201304</v>
      </c>
      <c r="D945" s="10">
        <v>88859.043032380709</v>
      </c>
      <c r="E945" s="10">
        <v>877302.01225414022</v>
      </c>
      <c r="F945" s="1">
        <v>113</v>
      </c>
      <c r="G945" s="1">
        <v>3414</v>
      </c>
      <c r="H945">
        <f t="shared" si="42"/>
        <v>2012</v>
      </c>
      <c r="I945">
        <f t="shared" si="43"/>
        <v>2013</v>
      </c>
      <c r="J945" s="7">
        <f t="shared" si="44"/>
        <v>966161.05528652098</v>
      </c>
      <c r="K945" s="7"/>
    </row>
    <row r="946" spans="1:11" x14ac:dyDescent="0.25">
      <c r="A946" s="1" t="s">
        <v>18</v>
      </c>
      <c r="B946" s="2">
        <v>201204</v>
      </c>
      <c r="C946" s="2">
        <v>201401</v>
      </c>
      <c r="D946" s="10">
        <v>76277.043103763906</v>
      </c>
      <c r="E946" s="10">
        <v>540553.57231926895</v>
      </c>
      <c r="F946" s="1">
        <v>62</v>
      </c>
      <c r="G946" s="1">
        <v>2762</v>
      </c>
      <c r="H946">
        <f t="shared" si="42"/>
        <v>2012</v>
      </c>
      <c r="I946">
        <f t="shared" si="43"/>
        <v>2014</v>
      </c>
      <c r="J946" s="7">
        <f t="shared" si="44"/>
        <v>616830.6154230329</v>
      </c>
      <c r="K946" s="7"/>
    </row>
    <row r="947" spans="1:11" x14ac:dyDescent="0.25">
      <c r="A947" s="1" t="s">
        <v>18</v>
      </c>
      <c r="B947" s="2">
        <v>201204</v>
      </c>
      <c r="C947" s="2">
        <v>201402</v>
      </c>
      <c r="D947" s="10">
        <v>41538.331395111905</v>
      </c>
      <c r="E947" s="10">
        <v>477444.10351887968</v>
      </c>
      <c r="F947" s="1">
        <v>25</v>
      </c>
      <c r="G947" s="1">
        <v>2349</v>
      </c>
      <c r="H947">
        <f t="shared" si="42"/>
        <v>2012</v>
      </c>
      <c r="I947">
        <f t="shared" si="43"/>
        <v>2014</v>
      </c>
      <c r="J947" s="7">
        <f t="shared" si="44"/>
        <v>518982.4349139916</v>
      </c>
      <c r="K947" s="7"/>
    </row>
    <row r="948" spans="1:11" x14ac:dyDescent="0.25">
      <c r="A948" s="1" t="s">
        <v>18</v>
      </c>
      <c r="B948" s="2">
        <v>201204</v>
      </c>
      <c r="C948" s="2">
        <v>201403</v>
      </c>
      <c r="D948" s="10">
        <v>36329.398927460054</v>
      </c>
      <c r="E948" s="10">
        <v>433889.62159503769</v>
      </c>
      <c r="F948" s="1">
        <v>23</v>
      </c>
      <c r="G948" s="1">
        <v>2108</v>
      </c>
      <c r="H948">
        <f t="shared" si="42"/>
        <v>2012</v>
      </c>
      <c r="I948">
        <f t="shared" si="43"/>
        <v>2014</v>
      </c>
      <c r="J948" s="7">
        <f t="shared" si="44"/>
        <v>470219.02052249777</v>
      </c>
      <c r="K948" s="7"/>
    </row>
    <row r="949" spans="1:11" x14ac:dyDescent="0.25">
      <c r="A949" s="1" t="s">
        <v>18</v>
      </c>
      <c r="B949" s="2">
        <v>201204</v>
      </c>
      <c r="C949" s="2">
        <v>201404</v>
      </c>
      <c r="D949" s="10">
        <v>43669.069138010767</v>
      </c>
      <c r="E949" s="10">
        <v>561577.72932673059</v>
      </c>
      <c r="F949" s="1">
        <v>15</v>
      </c>
      <c r="G949" s="1">
        <v>1729</v>
      </c>
      <c r="H949">
        <f t="shared" si="42"/>
        <v>2012</v>
      </c>
      <c r="I949">
        <f t="shared" si="43"/>
        <v>2014</v>
      </c>
      <c r="J949" s="7">
        <f t="shared" si="44"/>
        <v>605246.79846474133</v>
      </c>
      <c r="K949" s="7"/>
    </row>
    <row r="950" spans="1:11" x14ac:dyDescent="0.25">
      <c r="A950" s="1" t="s">
        <v>18</v>
      </c>
      <c r="B950" s="2">
        <v>201204</v>
      </c>
      <c r="C950" s="2">
        <v>201501</v>
      </c>
      <c r="D950" s="10">
        <v>26776.825364936649</v>
      </c>
      <c r="E950" s="10">
        <v>321419.31883784628</v>
      </c>
      <c r="F950" s="1">
        <v>12</v>
      </c>
      <c r="G950" s="1">
        <v>1402</v>
      </c>
      <c r="H950">
        <f t="shared" si="42"/>
        <v>2012</v>
      </c>
      <c r="I950">
        <f t="shared" si="43"/>
        <v>2015</v>
      </c>
      <c r="J950" s="7">
        <f t="shared" si="44"/>
        <v>348196.14420278295</v>
      </c>
      <c r="K950" s="7"/>
    </row>
    <row r="951" spans="1:11" x14ac:dyDescent="0.25">
      <c r="A951" s="1" t="s">
        <v>18</v>
      </c>
      <c r="B951" s="2">
        <v>201204</v>
      </c>
      <c r="C951" s="2">
        <v>201502</v>
      </c>
      <c r="D951" s="10">
        <v>14488.652066058767</v>
      </c>
      <c r="E951" s="10">
        <v>295884.04610320408</v>
      </c>
      <c r="F951" s="1">
        <v>6</v>
      </c>
      <c r="G951" s="1">
        <v>1200</v>
      </c>
      <c r="H951">
        <f t="shared" si="42"/>
        <v>2012</v>
      </c>
      <c r="I951">
        <f t="shared" si="43"/>
        <v>2015</v>
      </c>
      <c r="J951" s="7">
        <f t="shared" si="44"/>
        <v>310372.69816926285</v>
      </c>
      <c r="K951" s="7"/>
    </row>
    <row r="952" spans="1:11" x14ac:dyDescent="0.25">
      <c r="A952" s="1" t="s">
        <v>18</v>
      </c>
      <c r="B952" s="2">
        <v>201204</v>
      </c>
      <c r="C952" s="2">
        <v>201503</v>
      </c>
      <c r="D952" s="10">
        <v>12991.937642259001</v>
      </c>
      <c r="E952" s="10">
        <v>294823.02718523383</v>
      </c>
      <c r="F952" s="1">
        <v>23</v>
      </c>
      <c r="G952" s="1">
        <v>1059</v>
      </c>
      <c r="H952">
        <f t="shared" si="42"/>
        <v>2012</v>
      </c>
      <c r="I952">
        <f t="shared" si="43"/>
        <v>2015</v>
      </c>
      <c r="J952" s="7">
        <f t="shared" si="44"/>
        <v>307814.96482749283</v>
      </c>
      <c r="K952" s="7"/>
    </row>
    <row r="953" spans="1:11" x14ac:dyDescent="0.25">
      <c r="A953" s="1" t="s">
        <v>18</v>
      </c>
      <c r="B953" s="2">
        <v>201204</v>
      </c>
      <c r="C953" s="2">
        <v>201504</v>
      </c>
      <c r="D953" s="10">
        <v>21622.301279111383</v>
      </c>
      <c r="E953" s="10">
        <v>488680.91466429405</v>
      </c>
      <c r="F953" s="1">
        <v>9</v>
      </c>
      <c r="G953" s="1">
        <v>852</v>
      </c>
      <c r="H953">
        <f t="shared" si="42"/>
        <v>2012</v>
      </c>
      <c r="I953">
        <f t="shared" si="43"/>
        <v>2015</v>
      </c>
      <c r="J953" s="7">
        <f t="shared" si="44"/>
        <v>510303.2159434054</v>
      </c>
      <c r="K953" s="7"/>
    </row>
    <row r="954" spans="1:11" x14ac:dyDescent="0.25">
      <c r="A954" s="1" t="s">
        <v>18</v>
      </c>
      <c r="B954" s="2">
        <v>201204</v>
      </c>
      <c r="C954" s="2">
        <v>201601</v>
      </c>
      <c r="D954" s="10">
        <v>17901.645586910508</v>
      </c>
      <c r="E954" s="10">
        <v>232635.31644377997</v>
      </c>
      <c r="F954" s="1">
        <v>4</v>
      </c>
      <c r="G954" s="1">
        <v>708</v>
      </c>
      <c r="H954">
        <f t="shared" si="42"/>
        <v>2012</v>
      </c>
      <c r="I954">
        <f t="shared" si="43"/>
        <v>2016</v>
      </c>
      <c r="J954" s="7">
        <f t="shared" si="44"/>
        <v>250536.96203069048</v>
      </c>
      <c r="K954" s="7"/>
    </row>
    <row r="955" spans="1:11" x14ac:dyDescent="0.25">
      <c r="A955" s="1" t="s">
        <v>18</v>
      </c>
      <c r="B955" s="2">
        <v>201204</v>
      </c>
      <c r="C955" s="2">
        <v>201602</v>
      </c>
      <c r="D955" s="10">
        <v>12973.172521415923</v>
      </c>
      <c r="E955" s="10">
        <v>242676.08461547914</v>
      </c>
      <c r="F955" s="1">
        <v>3</v>
      </c>
      <c r="G955" s="1">
        <v>602</v>
      </c>
      <c r="H955">
        <f t="shared" si="42"/>
        <v>2012</v>
      </c>
      <c r="I955">
        <f t="shared" si="43"/>
        <v>2016</v>
      </c>
      <c r="J955" s="7">
        <f t="shared" si="44"/>
        <v>255649.25713689506</v>
      </c>
      <c r="K955" s="7"/>
    </row>
    <row r="956" spans="1:11" x14ac:dyDescent="0.25">
      <c r="A956" s="1" t="s">
        <v>18</v>
      </c>
      <c r="B956" s="2">
        <v>201204</v>
      </c>
      <c r="C956" s="2">
        <v>201603</v>
      </c>
      <c r="D956" s="10">
        <v>9409.1923629467692</v>
      </c>
      <c r="E956" s="10">
        <v>230453.65050712443</v>
      </c>
      <c r="F956" s="1">
        <v>2</v>
      </c>
      <c r="G956" s="1">
        <v>489</v>
      </c>
      <c r="H956">
        <f t="shared" si="42"/>
        <v>2012</v>
      </c>
      <c r="I956">
        <f t="shared" si="43"/>
        <v>2016</v>
      </c>
      <c r="J956" s="7">
        <f t="shared" si="44"/>
        <v>239862.84287007121</v>
      </c>
      <c r="K956" s="7"/>
    </row>
    <row r="957" spans="1:11" x14ac:dyDescent="0.25">
      <c r="A957" s="1" t="s">
        <v>18</v>
      </c>
      <c r="B957" s="2">
        <v>201204</v>
      </c>
      <c r="C957" s="2">
        <v>201604</v>
      </c>
      <c r="D957" s="10">
        <v>2425.3421294800414</v>
      </c>
      <c r="E957" s="10">
        <v>402565.09409182851</v>
      </c>
      <c r="F957" s="1">
        <v>1</v>
      </c>
      <c r="G957" s="1">
        <v>427</v>
      </c>
      <c r="H957">
        <f t="shared" si="42"/>
        <v>2012</v>
      </c>
      <c r="I957">
        <f t="shared" si="43"/>
        <v>2016</v>
      </c>
      <c r="J957" s="7">
        <f t="shared" si="44"/>
        <v>404990.43622130854</v>
      </c>
      <c r="K957" s="7"/>
    </row>
    <row r="958" spans="1:11" x14ac:dyDescent="0.25">
      <c r="A958" s="1" t="s">
        <v>18</v>
      </c>
      <c r="B958" s="2">
        <v>201204</v>
      </c>
      <c r="C958" s="2">
        <v>201701</v>
      </c>
      <c r="D958" s="10">
        <v>3689.3809109414119</v>
      </c>
      <c r="E958" s="10">
        <v>197478.41693684881</v>
      </c>
      <c r="F958" s="1">
        <v>0</v>
      </c>
      <c r="G958" s="1">
        <v>369</v>
      </c>
      <c r="H958">
        <f t="shared" si="42"/>
        <v>2012</v>
      </c>
      <c r="I958">
        <f t="shared" si="43"/>
        <v>2017</v>
      </c>
      <c r="J958" s="7">
        <f t="shared" si="44"/>
        <v>201167.79784779021</v>
      </c>
      <c r="K958" s="7"/>
    </row>
    <row r="959" spans="1:11" x14ac:dyDescent="0.25">
      <c r="A959" s="1" t="s">
        <v>18</v>
      </c>
      <c r="B959" s="2">
        <v>201204</v>
      </c>
      <c r="C959" s="2">
        <v>201702</v>
      </c>
      <c r="D959" s="10">
        <v>3749.3947027931558</v>
      </c>
      <c r="E959" s="10">
        <v>192235.34135327052</v>
      </c>
      <c r="F959" s="1">
        <v>0</v>
      </c>
      <c r="G959" s="1">
        <v>324</v>
      </c>
      <c r="H959">
        <f t="shared" si="42"/>
        <v>2012</v>
      </c>
      <c r="I959">
        <f t="shared" si="43"/>
        <v>2017</v>
      </c>
      <c r="J959" s="7">
        <f t="shared" si="44"/>
        <v>195984.73605606367</v>
      </c>
      <c r="K959" s="7"/>
    </row>
    <row r="960" spans="1:11" x14ac:dyDescent="0.25">
      <c r="A960" s="1" t="s">
        <v>18</v>
      </c>
      <c r="B960" s="2">
        <v>201204</v>
      </c>
      <c r="C960" s="2">
        <v>201703</v>
      </c>
      <c r="D960" s="10">
        <v>2898.9954137303757</v>
      </c>
      <c r="E960" s="10">
        <v>177054.55835203244</v>
      </c>
      <c r="F960" s="1">
        <v>0</v>
      </c>
      <c r="G960" s="1">
        <v>279</v>
      </c>
      <c r="H960">
        <f t="shared" si="42"/>
        <v>2012</v>
      </c>
      <c r="I960">
        <f t="shared" si="43"/>
        <v>2017</v>
      </c>
      <c r="J960" s="7">
        <f t="shared" si="44"/>
        <v>179953.55376576283</v>
      </c>
      <c r="K960" s="7"/>
    </row>
    <row r="961" spans="1:11" x14ac:dyDescent="0.25">
      <c r="A961" s="1" t="s">
        <v>18</v>
      </c>
      <c r="B961" s="2">
        <v>201204</v>
      </c>
      <c r="C961" s="2">
        <v>201704</v>
      </c>
      <c r="D961" s="10">
        <v>1183.6298859898614</v>
      </c>
      <c r="E961" s="10">
        <v>328938.69391758379</v>
      </c>
      <c r="F961" s="1">
        <v>1</v>
      </c>
      <c r="G961" s="1">
        <v>238</v>
      </c>
      <c r="H961">
        <f t="shared" si="42"/>
        <v>2012</v>
      </c>
      <c r="I961">
        <f t="shared" si="43"/>
        <v>2017</v>
      </c>
      <c r="J961" s="7">
        <f t="shared" si="44"/>
        <v>330122.32380357367</v>
      </c>
      <c r="K961" s="7"/>
    </row>
    <row r="962" spans="1:11" x14ac:dyDescent="0.25">
      <c r="A962" s="1" t="s">
        <v>18</v>
      </c>
      <c r="B962" s="2">
        <v>201204</v>
      </c>
      <c r="C962" s="2">
        <v>201801</v>
      </c>
      <c r="D962" s="10">
        <v>3576.8986999187678</v>
      </c>
      <c r="E962" s="10">
        <v>187908.72342631678</v>
      </c>
      <c r="F962" s="1">
        <v>1</v>
      </c>
      <c r="G962" s="1">
        <v>270</v>
      </c>
      <c r="H962">
        <f t="shared" si="42"/>
        <v>2012</v>
      </c>
      <c r="I962">
        <f t="shared" si="43"/>
        <v>2018</v>
      </c>
      <c r="J962" s="7">
        <f t="shared" si="44"/>
        <v>191485.62212623554</v>
      </c>
      <c r="K962" s="7"/>
    </row>
    <row r="963" spans="1:11" x14ac:dyDescent="0.25">
      <c r="A963" s="1" t="s">
        <v>18</v>
      </c>
      <c r="B963" s="2">
        <v>201204</v>
      </c>
      <c r="C963" s="2">
        <v>201802</v>
      </c>
      <c r="D963" s="10">
        <v>1514.3208277289282</v>
      </c>
      <c r="E963" s="10">
        <v>327098.40666966798</v>
      </c>
      <c r="F963" s="1">
        <v>0</v>
      </c>
      <c r="G963" s="1">
        <v>218</v>
      </c>
      <c r="H963">
        <f t="shared" si="42"/>
        <v>2012</v>
      </c>
      <c r="I963">
        <f t="shared" si="43"/>
        <v>2018</v>
      </c>
      <c r="J963" s="7">
        <f t="shared" si="44"/>
        <v>328612.72749739693</v>
      </c>
      <c r="K963" s="7"/>
    </row>
    <row r="964" spans="1:11" x14ac:dyDescent="0.25">
      <c r="A964" s="1" t="s">
        <v>18</v>
      </c>
      <c r="B964" s="2">
        <v>201204</v>
      </c>
      <c r="C964" s="2">
        <v>201803</v>
      </c>
      <c r="D964" s="10">
        <v>759.95888974341301</v>
      </c>
      <c r="E964" s="10">
        <v>328962.79958946252</v>
      </c>
      <c r="F964" s="1">
        <v>0</v>
      </c>
      <c r="G964" s="1">
        <v>209</v>
      </c>
      <c r="H964">
        <f t="shared" ref="H964:H1027" si="45">VALUE(LEFT(B964,4))</f>
        <v>2012</v>
      </c>
      <c r="I964">
        <f t="shared" ref="I964:I1027" si="46">VALUE(LEFT(C964,4))</f>
        <v>2018</v>
      </c>
      <c r="J964" s="7">
        <f t="shared" si="44"/>
        <v>329722.75847920595</v>
      </c>
      <c r="K964" s="7"/>
    </row>
    <row r="965" spans="1:11" x14ac:dyDescent="0.25">
      <c r="A965" s="1" t="s">
        <v>18</v>
      </c>
      <c r="B965" s="2">
        <v>201204</v>
      </c>
      <c r="C965" s="2">
        <v>201804</v>
      </c>
      <c r="D965" s="10">
        <v>1142.4387757238762</v>
      </c>
      <c r="E965" s="10">
        <v>335158.32017480122</v>
      </c>
      <c r="F965" s="1">
        <v>0</v>
      </c>
      <c r="G965" s="1">
        <v>200</v>
      </c>
      <c r="H965">
        <f t="shared" si="45"/>
        <v>2012</v>
      </c>
      <c r="I965">
        <f t="shared" si="46"/>
        <v>2018</v>
      </c>
      <c r="J965" s="7">
        <f t="shared" ref="J965:J1028" si="47">D965+E965</f>
        <v>336300.75895052508</v>
      </c>
      <c r="K965" s="7"/>
    </row>
    <row r="966" spans="1:11" x14ac:dyDescent="0.25">
      <c r="A966" s="1" t="s">
        <v>18</v>
      </c>
      <c r="B966" s="2">
        <v>201204</v>
      </c>
      <c r="C966" s="2">
        <v>201901</v>
      </c>
      <c r="D966" s="10">
        <v>7861.077684073156</v>
      </c>
      <c r="E966" s="10">
        <v>319617.22596364497</v>
      </c>
      <c r="F966" s="1">
        <v>0</v>
      </c>
      <c r="G966" s="1">
        <v>199</v>
      </c>
      <c r="H966">
        <f t="shared" si="45"/>
        <v>2012</v>
      </c>
      <c r="I966">
        <f t="shared" si="46"/>
        <v>2019</v>
      </c>
      <c r="J966" s="7">
        <f t="shared" si="47"/>
        <v>327478.30364771816</v>
      </c>
      <c r="K966" s="7"/>
    </row>
    <row r="967" spans="1:11" x14ac:dyDescent="0.25">
      <c r="A967" s="1" t="s">
        <v>18</v>
      </c>
      <c r="B967" s="2">
        <v>201204</v>
      </c>
      <c r="C967" s="2">
        <v>201902</v>
      </c>
      <c r="D967" s="10">
        <v>1181.3413745504754</v>
      </c>
      <c r="E967" s="10">
        <v>321594.30029545911</v>
      </c>
      <c r="F967" s="1">
        <v>0</v>
      </c>
      <c r="G967" s="1">
        <v>194</v>
      </c>
      <c r="H967">
        <f t="shared" si="45"/>
        <v>2012</v>
      </c>
      <c r="I967">
        <f t="shared" si="46"/>
        <v>2019</v>
      </c>
      <c r="J967" s="7">
        <f t="shared" si="47"/>
        <v>322775.64167000959</v>
      </c>
      <c r="K967" s="7"/>
    </row>
    <row r="968" spans="1:11" x14ac:dyDescent="0.25">
      <c r="A968" s="1" t="s">
        <v>18</v>
      </c>
      <c r="B968" s="2">
        <v>201204</v>
      </c>
      <c r="C968" s="2">
        <v>201903</v>
      </c>
      <c r="D968" s="10">
        <v>2928.140042528094</v>
      </c>
      <c r="E968" s="10">
        <v>316905.20875720534</v>
      </c>
      <c r="F968" s="1">
        <v>0</v>
      </c>
      <c r="G968" s="1">
        <v>189</v>
      </c>
      <c r="H968">
        <f t="shared" si="45"/>
        <v>2012</v>
      </c>
      <c r="I968">
        <f t="shared" si="46"/>
        <v>2019</v>
      </c>
      <c r="J968" s="7">
        <f t="shared" si="47"/>
        <v>319833.34879973345</v>
      </c>
      <c r="K968" s="7"/>
    </row>
    <row r="969" spans="1:11" x14ac:dyDescent="0.25">
      <c r="A969" s="1" t="s">
        <v>18</v>
      </c>
      <c r="B969" s="2">
        <v>201204</v>
      </c>
      <c r="C969" s="2">
        <v>201904</v>
      </c>
      <c r="D969" s="10">
        <v>1891.9995439817601</v>
      </c>
      <c r="E969" s="10">
        <v>314162.34944277862</v>
      </c>
      <c r="F969" s="1">
        <v>0</v>
      </c>
      <c r="G969" s="1">
        <v>186</v>
      </c>
      <c r="H969">
        <f t="shared" si="45"/>
        <v>2012</v>
      </c>
      <c r="I969">
        <f t="shared" si="46"/>
        <v>2019</v>
      </c>
      <c r="J969" s="7">
        <f t="shared" si="47"/>
        <v>316054.34898676036</v>
      </c>
      <c r="K969" s="7"/>
    </row>
    <row r="970" spans="1:11" x14ac:dyDescent="0.25">
      <c r="A970" s="1" t="s">
        <v>18</v>
      </c>
      <c r="B970" s="2">
        <v>201204</v>
      </c>
      <c r="C970" s="2">
        <v>202001</v>
      </c>
      <c r="D970" s="10">
        <v>7166.9658523454973</v>
      </c>
      <c r="E970" s="10">
        <v>299802.44576133293</v>
      </c>
      <c r="F970" s="1">
        <v>0</v>
      </c>
      <c r="G970" s="1">
        <v>181</v>
      </c>
      <c r="H970">
        <f t="shared" si="45"/>
        <v>2012</v>
      </c>
      <c r="I970">
        <f t="shared" si="46"/>
        <v>2020</v>
      </c>
      <c r="J970" s="7">
        <f t="shared" si="47"/>
        <v>306969.41161367844</v>
      </c>
      <c r="K970" s="7"/>
    </row>
    <row r="971" spans="1:11" x14ac:dyDescent="0.25">
      <c r="A971" s="1" t="s">
        <v>18</v>
      </c>
      <c r="B971" s="2">
        <v>201204</v>
      </c>
      <c r="C971" s="2">
        <v>202002</v>
      </c>
      <c r="D971" s="10">
        <v>2697.7654498082384</v>
      </c>
      <c r="E971" s="10">
        <v>296767.66090365249</v>
      </c>
      <c r="F971" s="1">
        <v>0</v>
      </c>
      <c r="G971" s="1">
        <v>171</v>
      </c>
      <c r="H971">
        <f t="shared" si="45"/>
        <v>2012</v>
      </c>
      <c r="I971">
        <f t="shared" si="46"/>
        <v>2020</v>
      </c>
      <c r="J971" s="7">
        <f t="shared" si="47"/>
        <v>299465.4263534607</v>
      </c>
      <c r="K971" s="7"/>
    </row>
    <row r="972" spans="1:11" x14ac:dyDescent="0.25">
      <c r="A972" s="1" t="s">
        <v>18</v>
      </c>
      <c r="B972" s="2">
        <v>201204</v>
      </c>
      <c r="C972" s="2">
        <v>202003</v>
      </c>
      <c r="D972" s="10">
        <v>18387.52521976376</v>
      </c>
      <c r="E972" s="10">
        <v>268125.74039809621</v>
      </c>
      <c r="F972" s="1">
        <v>0</v>
      </c>
      <c r="G972" s="1">
        <v>169</v>
      </c>
      <c r="H972">
        <f t="shared" si="45"/>
        <v>2012</v>
      </c>
      <c r="I972">
        <f t="shared" si="46"/>
        <v>2020</v>
      </c>
      <c r="J972" s="7">
        <f t="shared" si="47"/>
        <v>286513.26561785996</v>
      </c>
      <c r="K972" s="7"/>
    </row>
    <row r="973" spans="1:11" x14ac:dyDescent="0.25">
      <c r="A973" s="1" t="s">
        <v>18</v>
      </c>
      <c r="B973" s="2">
        <v>201204</v>
      </c>
      <c r="C973" s="2">
        <v>202004</v>
      </c>
      <c r="D973" s="10">
        <v>5202.7076339690429</v>
      </c>
      <c r="E973" s="10">
        <v>262995.91379720322</v>
      </c>
      <c r="F973" s="1">
        <v>0</v>
      </c>
      <c r="G973" s="1">
        <v>158</v>
      </c>
      <c r="H973">
        <f t="shared" si="45"/>
        <v>2012</v>
      </c>
      <c r="I973">
        <f t="shared" si="46"/>
        <v>2020</v>
      </c>
      <c r="J973" s="7">
        <f t="shared" si="47"/>
        <v>268198.62143117224</v>
      </c>
      <c r="K973" s="7"/>
    </row>
    <row r="974" spans="1:11" x14ac:dyDescent="0.25">
      <c r="A974" s="1" t="s">
        <v>18</v>
      </c>
      <c r="B974" s="2">
        <v>201204</v>
      </c>
      <c r="C974" s="2">
        <v>202101</v>
      </c>
      <c r="D974" s="10">
        <v>5047.6249076284348</v>
      </c>
      <c r="E974" s="10">
        <v>261651.41408525614</v>
      </c>
      <c r="F974" s="1">
        <v>0</v>
      </c>
      <c r="G974" s="1">
        <v>145</v>
      </c>
      <c r="H974">
        <f t="shared" si="45"/>
        <v>2012</v>
      </c>
      <c r="I974">
        <f t="shared" si="46"/>
        <v>2021</v>
      </c>
      <c r="J974" s="7">
        <f t="shared" si="47"/>
        <v>266699.03899288457</v>
      </c>
      <c r="K974" s="7"/>
    </row>
    <row r="975" spans="1:11" x14ac:dyDescent="0.25">
      <c r="A975" s="1" t="s">
        <v>18</v>
      </c>
      <c r="B975" s="2">
        <v>201204</v>
      </c>
      <c r="C975" s="2">
        <v>202102</v>
      </c>
      <c r="D975" s="10">
        <v>1585.7262057961564</v>
      </c>
      <c r="E975" s="10">
        <v>264669.44194081967</v>
      </c>
      <c r="F975" s="1">
        <v>0</v>
      </c>
      <c r="G975" s="1">
        <v>135</v>
      </c>
      <c r="H975">
        <f t="shared" si="45"/>
        <v>2012</v>
      </c>
      <c r="I975">
        <f t="shared" si="46"/>
        <v>2021</v>
      </c>
      <c r="J975" s="7">
        <f t="shared" si="47"/>
        <v>266255.16814661585</v>
      </c>
      <c r="K975" s="7"/>
    </row>
    <row r="976" spans="1:11" x14ac:dyDescent="0.25">
      <c r="A976" s="1" t="s">
        <v>18</v>
      </c>
      <c r="B976" s="2">
        <v>201204</v>
      </c>
      <c r="C976" s="2">
        <v>202103</v>
      </c>
      <c r="D976" s="10">
        <v>3101.488409152545</v>
      </c>
      <c r="E976" s="10">
        <v>264377.13591886754</v>
      </c>
      <c r="F976" s="1">
        <v>1</v>
      </c>
      <c r="G976" s="1">
        <v>130</v>
      </c>
      <c r="H976">
        <f t="shared" si="45"/>
        <v>2012</v>
      </c>
      <c r="I976">
        <f t="shared" si="46"/>
        <v>2021</v>
      </c>
      <c r="J976" s="7">
        <f t="shared" si="47"/>
        <v>267478.62432802009</v>
      </c>
      <c r="K976" s="7"/>
    </row>
    <row r="977" spans="1:11" x14ac:dyDescent="0.25">
      <c r="A977" s="1" t="s">
        <v>18</v>
      </c>
      <c r="B977" s="2">
        <v>201204</v>
      </c>
      <c r="C977" s="2">
        <v>202104</v>
      </c>
      <c r="D977" s="10">
        <v>35922.167518902679</v>
      </c>
      <c r="E977" s="10">
        <v>225751.63241980731</v>
      </c>
      <c r="F977" s="1">
        <v>0</v>
      </c>
      <c r="G977" s="1">
        <v>128</v>
      </c>
      <c r="H977">
        <f t="shared" si="45"/>
        <v>2012</v>
      </c>
      <c r="I977">
        <f t="shared" si="46"/>
        <v>2021</v>
      </c>
      <c r="J977" s="7">
        <f t="shared" si="47"/>
        <v>261673.79993871</v>
      </c>
      <c r="K977" s="7"/>
    </row>
    <row r="978" spans="1:11" x14ac:dyDescent="0.25">
      <c r="A978" s="1" t="s">
        <v>18</v>
      </c>
      <c r="B978" s="2">
        <v>201301</v>
      </c>
      <c r="C978" s="2">
        <v>201301</v>
      </c>
      <c r="D978" s="10">
        <v>690952.20649169129</v>
      </c>
      <c r="E978" s="10">
        <v>1300046.9680844133</v>
      </c>
      <c r="F978" s="1">
        <v>16490</v>
      </c>
      <c r="G978" s="1">
        <v>9706</v>
      </c>
      <c r="H978">
        <f t="shared" si="45"/>
        <v>2013</v>
      </c>
      <c r="I978">
        <f t="shared" si="46"/>
        <v>2013</v>
      </c>
      <c r="J978" s="7">
        <f t="shared" si="47"/>
        <v>1990999.1745761046</v>
      </c>
      <c r="K978" s="7"/>
    </row>
    <row r="979" spans="1:11" x14ac:dyDescent="0.25">
      <c r="A979" s="1" t="s">
        <v>18</v>
      </c>
      <c r="B979" s="2">
        <v>201301</v>
      </c>
      <c r="C979" s="2">
        <v>201302</v>
      </c>
      <c r="D979" s="10">
        <v>828832.72394062625</v>
      </c>
      <c r="E979" s="10">
        <v>1028396.4677057085</v>
      </c>
      <c r="F979" s="1">
        <v>3209</v>
      </c>
      <c r="G979" s="1">
        <v>6506</v>
      </c>
      <c r="H979">
        <f t="shared" si="45"/>
        <v>2013</v>
      </c>
      <c r="I979">
        <f t="shared" si="46"/>
        <v>2013</v>
      </c>
      <c r="J979" s="7">
        <f t="shared" si="47"/>
        <v>1857229.1916463347</v>
      </c>
      <c r="K979" s="7"/>
    </row>
    <row r="980" spans="1:11" x14ac:dyDescent="0.25">
      <c r="A980" s="1" t="s">
        <v>18</v>
      </c>
      <c r="B980" s="2">
        <v>201301</v>
      </c>
      <c r="C980" s="2">
        <v>201303</v>
      </c>
      <c r="D980" s="10">
        <v>380716.62469706935</v>
      </c>
      <c r="E980" s="10">
        <v>890807.03363115329</v>
      </c>
      <c r="F980" s="1">
        <v>519</v>
      </c>
      <c r="G980" s="1">
        <v>5040</v>
      </c>
      <c r="H980">
        <f t="shared" si="45"/>
        <v>2013</v>
      </c>
      <c r="I980">
        <f t="shared" si="46"/>
        <v>2013</v>
      </c>
      <c r="J980" s="7">
        <f t="shared" si="47"/>
        <v>1271523.6583282226</v>
      </c>
      <c r="K980" s="7"/>
    </row>
    <row r="981" spans="1:11" x14ac:dyDescent="0.25">
      <c r="A981" s="1" t="s">
        <v>18</v>
      </c>
      <c r="B981" s="2">
        <v>201301</v>
      </c>
      <c r="C981" s="2">
        <v>201304</v>
      </c>
      <c r="D981" s="10">
        <v>336055.56097836752</v>
      </c>
      <c r="E981" s="10">
        <v>899400.41533473099</v>
      </c>
      <c r="F981" s="1">
        <v>214</v>
      </c>
      <c r="G981" s="1">
        <v>4047</v>
      </c>
      <c r="H981">
        <f t="shared" si="45"/>
        <v>2013</v>
      </c>
      <c r="I981">
        <f t="shared" si="46"/>
        <v>2013</v>
      </c>
      <c r="J981" s="7">
        <f t="shared" si="47"/>
        <v>1235455.9763130986</v>
      </c>
      <c r="K981" s="7"/>
    </row>
    <row r="982" spans="1:11" x14ac:dyDescent="0.25">
      <c r="A982" s="1" t="s">
        <v>18</v>
      </c>
      <c r="B982" s="2">
        <v>201301</v>
      </c>
      <c r="C982" s="2">
        <v>201401</v>
      </c>
      <c r="D982" s="10">
        <v>249777.65450257732</v>
      </c>
      <c r="E982" s="10">
        <v>688375.68116384523</v>
      </c>
      <c r="F982" s="1">
        <v>205</v>
      </c>
      <c r="G982" s="1">
        <v>3349</v>
      </c>
      <c r="H982">
        <f t="shared" si="45"/>
        <v>2013</v>
      </c>
      <c r="I982">
        <f t="shared" si="46"/>
        <v>2014</v>
      </c>
      <c r="J982" s="7">
        <f t="shared" si="47"/>
        <v>938153.3356664225</v>
      </c>
      <c r="K982" s="7"/>
    </row>
    <row r="983" spans="1:11" x14ac:dyDescent="0.25">
      <c r="A983" s="1" t="s">
        <v>18</v>
      </c>
      <c r="B983" s="2">
        <v>201301</v>
      </c>
      <c r="C983" s="2">
        <v>201402</v>
      </c>
      <c r="D983" s="10">
        <v>102553.23020415398</v>
      </c>
      <c r="E983" s="10">
        <v>616520.23118356254</v>
      </c>
      <c r="F983" s="1">
        <v>60</v>
      </c>
      <c r="G983" s="1">
        <v>2714</v>
      </c>
      <c r="H983">
        <f t="shared" si="45"/>
        <v>2013</v>
      </c>
      <c r="I983">
        <f t="shared" si="46"/>
        <v>2014</v>
      </c>
      <c r="J983" s="7">
        <f t="shared" si="47"/>
        <v>719073.46138771647</v>
      </c>
      <c r="K983" s="7"/>
    </row>
    <row r="984" spans="1:11" x14ac:dyDescent="0.25">
      <c r="A984" s="1" t="s">
        <v>18</v>
      </c>
      <c r="B984" s="2">
        <v>201301</v>
      </c>
      <c r="C984" s="2">
        <v>201403</v>
      </c>
      <c r="D984" s="10">
        <v>62214.689311366026</v>
      </c>
      <c r="E984" s="10">
        <v>559612.70802459447</v>
      </c>
      <c r="F984" s="1">
        <v>40</v>
      </c>
      <c r="G984" s="1">
        <v>2374</v>
      </c>
      <c r="H984">
        <f t="shared" si="45"/>
        <v>2013</v>
      </c>
      <c r="I984">
        <f t="shared" si="46"/>
        <v>2014</v>
      </c>
      <c r="J984" s="7">
        <f t="shared" si="47"/>
        <v>621827.39733596053</v>
      </c>
      <c r="K984" s="7"/>
    </row>
    <row r="985" spans="1:11" x14ac:dyDescent="0.25">
      <c r="A985" s="1" t="s">
        <v>18</v>
      </c>
      <c r="B985" s="2">
        <v>201301</v>
      </c>
      <c r="C985" s="2">
        <v>201404</v>
      </c>
      <c r="D985" s="10">
        <v>41596.719298648146</v>
      </c>
      <c r="E985" s="10">
        <v>568053.35329301376</v>
      </c>
      <c r="F985" s="1">
        <v>32</v>
      </c>
      <c r="G985" s="1">
        <v>1899</v>
      </c>
      <c r="H985">
        <f t="shared" si="45"/>
        <v>2013</v>
      </c>
      <c r="I985">
        <f t="shared" si="46"/>
        <v>2014</v>
      </c>
      <c r="J985" s="7">
        <f t="shared" si="47"/>
        <v>609650.07259166194</v>
      </c>
      <c r="K985" s="7"/>
    </row>
    <row r="986" spans="1:11" x14ac:dyDescent="0.25">
      <c r="A986" s="1" t="s">
        <v>18</v>
      </c>
      <c r="B986" s="2">
        <v>201301</v>
      </c>
      <c r="C986" s="2">
        <v>201501</v>
      </c>
      <c r="D986" s="10">
        <v>45040.08963689403</v>
      </c>
      <c r="E986" s="10">
        <v>474230.62116097822</v>
      </c>
      <c r="F986" s="1">
        <v>26</v>
      </c>
      <c r="G986" s="1">
        <v>1598</v>
      </c>
      <c r="H986">
        <f t="shared" si="45"/>
        <v>2013</v>
      </c>
      <c r="I986">
        <f t="shared" si="46"/>
        <v>2015</v>
      </c>
      <c r="J986" s="7">
        <f t="shared" si="47"/>
        <v>519270.71079787228</v>
      </c>
      <c r="K986" s="7"/>
    </row>
    <row r="987" spans="1:11" x14ac:dyDescent="0.25">
      <c r="A987" s="1" t="s">
        <v>18</v>
      </c>
      <c r="B987" s="2">
        <v>201301</v>
      </c>
      <c r="C987" s="2">
        <v>201502</v>
      </c>
      <c r="D987" s="10">
        <v>28934.049706855792</v>
      </c>
      <c r="E987" s="10">
        <v>445325.80760091235</v>
      </c>
      <c r="F987" s="1">
        <v>9</v>
      </c>
      <c r="G987" s="1">
        <v>1320</v>
      </c>
      <c r="H987">
        <f t="shared" si="45"/>
        <v>2013</v>
      </c>
      <c r="I987">
        <f t="shared" si="46"/>
        <v>2015</v>
      </c>
      <c r="J987" s="7">
        <f t="shared" si="47"/>
        <v>474259.85730776814</v>
      </c>
      <c r="K987" s="7"/>
    </row>
    <row r="988" spans="1:11" x14ac:dyDescent="0.25">
      <c r="A988" s="1" t="s">
        <v>18</v>
      </c>
      <c r="B988" s="2">
        <v>201301</v>
      </c>
      <c r="C988" s="2">
        <v>201503</v>
      </c>
      <c r="D988" s="10">
        <v>23585.821995361912</v>
      </c>
      <c r="E988" s="10">
        <v>436414.16107466375</v>
      </c>
      <c r="F988" s="1">
        <v>14</v>
      </c>
      <c r="G988" s="1">
        <v>1189</v>
      </c>
      <c r="H988">
        <f t="shared" si="45"/>
        <v>2013</v>
      </c>
      <c r="I988">
        <f t="shared" si="46"/>
        <v>2015</v>
      </c>
      <c r="J988" s="7">
        <f t="shared" si="47"/>
        <v>459999.98307002569</v>
      </c>
      <c r="K988" s="7"/>
    </row>
    <row r="989" spans="1:11" x14ac:dyDescent="0.25">
      <c r="A989" s="1" t="s">
        <v>18</v>
      </c>
      <c r="B989" s="2">
        <v>201301</v>
      </c>
      <c r="C989" s="2">
        <v>201504</v>
      </c>
      <c r="D989" s="10">
        <v>20981.033983905487</v>
      </c>
      <c r="E989" s="10">
        <v>418053.77342036722</v>
      </c>
      <c r="F989" s="1">
        <v>4</v>
      </c>
      <c r="G989" s="1">
        <v>984</v>
      </c>
      <c r="H989">
        <f t="shared" si="45"/>
        <v>2013</v>
      </c>
      <c r="I989">
        <f t="shared" si="46"/>
        <v>2015</v>
      </c>
      <c r="J989" s="7">
        <f t="shared" si="47"/>
        <v>439034.80740427272</v>
      </c>
      <c r="K989" s="7"/>
    </row>
    <row r="990" spans="1:11" x14ac:dyDescent="0.25">
      <c r="A990" s="1" t="s">
        <v>18</v>
      </c>
      <c r="B990" s="2">
        <v>201301</v>
      </c>
      <c r="C990" s="2">
        <v>201601</v>
      </c>
      <c r="D990" s="10">
        <v>15708.354850352949</v>
      </c>
      <c r="E990" s="10">
        <v>377326.85688596958</v>
      </c>
      <c r="F990" s="1">
        <v>9</v>
      </c>
      <c r="G990" s="1">
        <v>805</v>
      </c>
      <c r="H990">
        <f t="shared" si="45"/>
        <v>2013</v>
      </c>
      <c r="I990">
        <f t="shared" si="46"/>
        <v>2016</v>
      </c>
      <c r="J990" s="7">
        <f t="shared" si="47"/>
        <v>393035.21173632256</v>
      </c>
      <c r="K990" s="7"/>
    </row>
    <row r="991" spans="1:11" x14ac:dyDescent="0.25">
      <c r="A991" s="1" t="s">
        <v>18</v>
      </c>
      <c r="B991" s="2">
        <v>201301</v>
      </c>
      <c r="C991" s="2">
        <v>201602</v>
      </c>
      <c r="D991" s="10">
        <v>16725.000375519972</v>
      </c>
      <c r="E991" s="10">
        <v>340637.26302104571</v>
      </c>
      <c r="F991" s="1">
        <v>1</v>
      </c>
      <c r="G991" s="1">
        <v>713</v>
      </c>
      <c r="H991">
        <f t="shared" si="45"/>
        <v>2013</v>
      </c>
      <c r="I991">
        <f t="shared" si="46"/>
        <v>2016</v>
      </c>
      <c r="J991" s="7">
        <f t="shared" si="47"/>
        <v>357362.26339656569</v>
      </c>
      <c r="K991" s="7"/>
    </row>
    <row r="992" spans="1:11" x14ac:dyDescent="0.25">
      <c r="A992" s="1" t="s">
        <v>18</v>
      </c>
      <c r="B992" s="2">
        <v>201301</v>
      </c>
      <c r="C992" s="2">
        <v>201603</v>
      </c>
      <c r="D992" s="10">
        <v>23510.476939313954</v>
      </c>
      <c r="E992" s="10">
        <v>281949.64304209739</v>
      </c>
      <c r="F992" s="1">
        <v>1</v>
      </c>
      <c r="G992" s="1">
        <v>559</v>
      </c>
      <c r="H992">
        <f t="shared" si="45"/>
        <v>2013</v>
      </c>
      <c r="I992">
        <f t="shared" si="46"/>
        <v>2016</v>
      </c>
      <c r="J992" s="7">
        <f t="shared" si="47"/>
        <v>305460.11998141132</v>
      </c>
      <c r="K992" s="7"/>
    </row>
    <row r="993" spans="1:11" x14ac:dyDescent="0.25">
      <c r="A993" s="1" t="s">
        <v>18</v>
      </c>
      <c r="B993" s="2">
        <v>201301</v>
      </c>
      <c r="C993" s="2">
        <v>201604</v>
      </c>
      <c r="D993" s="10">
        <v>16015.606406058065</v>
      </c>
      <c r="E993" s="10">
        <v>269297.54453225504</v>
      </c>
      <c r="F993" s="1">
        <v>0</v>
      </c>
      <c r="G993" s="1">
        <v>447</v>
      </c>
      <c r="H993">
        <f t="shared" si="45"/>
        <v>2013</v>
      </c>
      <c r="I993">
        <f t="shared" si="46"/>
        <v>2016</v>
      </c>
      <c r="J993" s="7">
        <f t="shared" si="47"/>
        <v>285313.15093831311</v>
      </c>
      <c r="K993" s="7"/>
    </row>
    <row r="994" spans="1:11" x14ac:dyDescent="0.25">
      <c r="A994" s="1" t="s">
        <v>18</v>
      </c>
      <c r="B994" s="2">
        <v>201301</v>
      </c>
      <c r="C994" s="2">
        <v>201701</v>
      </c>
      <c r="D994" s="10">
        <v>10895.676206996006</v>
      </c>
      <c r="E994" s="10">
        <v>227708.51593773437</v>
      </c>
      <c r="F994" s="1">
        <v>0</v>
      </c>
      <c r="G994" s="1">
        <v>399</v>
      </c>
      <c r="H994">
        <f t="shared" si="45"/>
        <v>2013</v>
      </c>
      <c r="I994">
        <f t="shared" si="46"/>
        <v>2017</v>
      </c>
      <c r="J994" s="7">
        <f t="shared" si="47"/>
        <v>238604.19214473036</v>
      </c>
      <c r="K994" s="7"/>
    </row>
    <row r="995" spans="1:11" x14ac:dyDescent="0.25">
      <c r="A995" s="1" t="s">
        <v>18</v>
      </c>
      <c r="B995" s="2">
        <v>201301</v>
      </c>
      <c r="C995" s="2">
        <v>201702</v>
      </c>
      <c r="D995" s="10">
        <v>8650.7861815633769</v>
      </c>
      <c r="E995" s="10">
        <v>225986.15739083869</v>
      </c>
      <c r="F995" s="1">
        <v>0</v>
      </c>
      <c r="G995" s="1">
        <v>342</v>
      </c>
      <c r="H995">
        <f t="shared" si="45"/>
        <v>2013</v>
      </c>
      <c r="I995">
        <f t="shared" si="46"/>
        <v>2017</v>
      </c>
      <c r="J995" s="7">
        <f t="shared" si="47"/>
        <v>234636.94357240206</v>
      </c>
      <c r="K995" s="7"/>
    </row>
    <row r="996" spans="1:11" x14ac:dyDescent="0.25">
      <c r="A996" s="1" t="s">
        <v>18</v>
      </c>
      <c r="B996" s="2">
        <v>201301</v>
      </c>
      <c r="C996" s="2">
        <v>201703</v>
      </c>
      <c r="D996" s="10">
        <v>2095.2665655645765</v>
      </c>
      <c r="E996" s="10">
        <v>212560.30308546301</v>
      </c>
      <c r="F996" s="1">
        <v>0</v>
      </c>
      <c r="G996" s="1">
        <v>270</v>
      </c>
      <c r="H996">
        <f t="shared" si="45"/>
        <v>2013</v>
      </c>
      <c r="I996">
        <f t="shared" si="46"/>
        <v>2017</v>
      </c>
      <c r="J996" s="7">
        <f t="shared" si="47"/>
        <v>214655.56965102759</v>
      </c>
      <c r="K996" s="7"/>
    </row>
    <row r="997" spans="1:11" x14ac:dyDescent="0.25">
      <c r="A997" s="1" t="s">
        <v>18</v>
      </c>
      <c r="B997" s="2">
        <v>201301</v>
      </c>
      <c r="C997" s="2">
        <v>201704</v>
      </c>
      <c r="D997" s="10">
        <v>3819.1354176146751</v>
      </c>
      <c r="E997" s="10">
        <v>203004.15595505256</v>
      </c>
      <c r="F997" s="1">
        <v>0</v>
      </c>
      <c r="G997" s="1">
        <v>215</v>
      </c>
      <c r="H997">
        <f t="shared" si="45"/>
        <v>2013</v>
      </c>
      <c r="I997">
        <f t="shared" si="46"/>
        <v>2017</v>
      </c>
      <c r="J997" s="7">
        <f t="shared" si="47"/>
        <v>206823.29137266724</v>
      </c>
      <c r="K997" s="7"/>
    </row>
    <row r="998" spans="1:11" x14ac:dyDescent="0.25">
      <c r="A998" s="1" t="s">
        <v>18</v>
      </c>
      <c r="B998" s="2">
        <v>201301</v>
      </c>
      <c r="C998" s="2">
        <v>201801</v>
      </c>
      <c r="D998" s="10">
        <v>4069.7441379734942</v>
      </c>
      <c r="E998" s="10">
        <v>223995.33593018466</v>
      </c>
      <c r="F998" s="1">
        <v>0</v>
      </c>
      <c r="G998" s="1">
        <v>268</v>
      </c>
      <c r="H998">
        <f t="shared" si="45"/>
        <v>2013</v>
      </c>
      <c r="I998">
        <f t="shared" si="46"/>
        <v>2018</v>
      </c>
      <c r="J998" s="7">
        <f t="shared" si="47"/>
        <v>228065.08006815816</v>
      </c>
      <c r="K998" s="7"/>
    </row>
    <row r="999" spans="1:11" x14ac:dyDescent="0.25">
      <c r="A999" s="1" t="s">
        <v>18</v>
      </c>
      <c r="B999" s="2">
        <v>201301</v>
      </c>
      <c r="C999" s="2">
        <v>201802</v>
      </c>
      <c r="D999" s="10">
        <v>4638.0965066353556</v>
      </c>
      <c r="E999" s="10">
        <v>195349.98518636308</v>
      </c>
      <c r="F999" s="1">
        <v>0</v>
      </c>
      <c r="G999" s="1">
        <v>195</v>
      </c>
      <c r="H999">
        <f t="shared" si="45"/>
        <v>2013</v>
      </c>
      <c r="I999">
        <f t="shared" si="46"/>
        <v>2018</v>
      </c>
      <c r="J999" s="7">
        <f t="shared" si="47"/>
        <v>199988.08169299844</v>
      </c>
      <c r="K999" s="7"/>
    </row>
    <row r="1000" spans="1:11" x14ac:dyDescent="0.25">
      <c r="A1000" s="1" t="s">
        <v>18</v>
      </c>
      <c r="B1000" s="2">
        <v>201301</v>
      </c>
      <c r="C1000" s="2">
        <v>201803</v>
      </c>
      <c r="D1000" s="10">
        <v>1823.1661394902897</v>
      </c>
      <c r="E1000" s="10">
        <v>194063.68293595317</v>
      </c>
      <c r="F1000" s="1">
        <v>1</v>
      </c>
      <c r="G1000" s="1">
        <v>192</v>
      </c>
      <c r="H1000">
        <f t="shared" si="45"/>
        <v>2013</v>
      </c>
      <c r="I1000">
        <f t="shared" si="46"/>
        <v>2018</v>
      </c>
      <c r="J1000" s="7">
        <f t="shared" si="47"/>
        <v>195886.84907544346</v>
      </c>
      <c r="K1000" s="7"/>
    </row>
    <row r="1001" spans="1:11" x14ac:dyDescent="0.25">
      <c r="A1001" s="1" t="s">
        <v>18</v>
      </c>
      <c r="B1001" s="2">
        <v>201301</v>
      </c>
      <c r="C1001" s="2">
        <v>201804</v>
      </c>
      <c r="D1001" s="10">
        <v>2448.8668208050035</v>
      </c>
      <c r="E1001" s="10">
        <v>176395.18732845766</v>
      </c>
      <c r="F1001" s="1">
        <v>1</v>
      </c>
      <c r="G1001" s="1">
        <v>178</v>
      </c>
      <c r="H1001">
        <f t="shared" si="45"/>
        <v>2013</v>
      </c>
      <c r="I1001">
        <f t="shared" si="46"/>
        <v>2018</v>
      </c>
      <c r="J1001" s="7">
        <f t="shared" si="47"/>
        <v>178844.05414926267</v>
      </c>
      <c r="K1001" s="7"/>
    </row>
    <row r="1002" spans="1:11" x14ac:dyDescent="0.25">
      <c r="A1002" s="1" t="s">
        <v>18</v>
      </c>
      <c r="B1002" s="2">
        <v>201301</v>
      </c>
      <c r="C1002" s="2">
        <v>201901</v>
      </c>
      <c r="D1002" s="10">
        <v>-487.55657793750805</v>
      </c>
      <c r="E1002" s="10">
        <v>170733.36672177547</v>
      </c>
      <c r="F1002" s="1">
        <v>1</v>
      </c>
      <c r="G1002" s="1">
        <v>173</v>
      </c>
      <c r="H1002">
        <f t="shared" si="45"/>
        <v>2013</v>
      </c>
      <c r="I1002">
        <f t="shared" si="46"/>
        <v>2019</v>
      </c>
      <c r="J1002" s="7">
        <f t="shared" si="47"/>
        <v>170245.81014383797</v>
      </c>
      <c r="K1002" s="7"/>
    </row>
    <row r="1003" spans="1:11" x14ac:dyDescent="0.25">
      <c r="A1003" s="1" t="s">
        <v>18</v>
      </c>
      <c r="B1003" s="2">
        <v>201301</v>
      </c>
      <c r="C1003" s="2">
        <v>201902</v>
      </c>
      <c r="D1003" s="10">
        <v>1712.5186664164278</v>
      </c>
      <c r="E1003" s="10">
        <v>170433.7877050993</v>
      </c>
      <c r="F1003" s="1">
        <v>0</v>
      </c>
      <c r="G1003" s="1">
        <v>169</v>
      </c>
      <c r="H1003">
        <f t="shared" si="45"/>
        <v>2013</v>
      </c>
      <c r="I1003">
        <f t="shared" si="46"/>
        <v>2019</v>
      </c>
      <c r="J1003" s="7">
        <f t="shared" si="47"/>
        <v>172146.30637151573</v>
      </c>
      <c r="K1003" s="7"/>
    </row>
    <row r="1004" spans="1:11" x14ac:dyDescent="0.25">
      <c r="A1004" s="1" t="s">
        <v>18</v>
      </c>
      <c r="B1004" s="2">
        <v>201301</v>
      </c>
      <c r="C1004" s="2">
        <v>201903</v>
      </c>
      <c r="D1004" s="10">
        <v>637.70519509012183</v>
      </c>
      <c r="E1004" s="10">
        <v>171497.33502318192</v>
      </c>
      <c r="F1004" s="1">
        <v>0</v>
      </c>
      <c r="G1004" s="1">
        <v>159</v>
      </c>
      <c r="H1004">
        <f t="shared" si="45"/>
        <v>2013</v>
      </c>
      <c r="I1004">
        <f t="shared" si="46"/>
        <v>2019</v>
      </c>
      <c r="J1004" s="7">
        <f t="shared" si="47"/>
        <v>172135.04021827204</v>
      </c>
      <c r="K1004" s="7"/>
    </row>
    <row r="1005" spans="1:11" x14ac:dyDescent="0.25">
      <c r="A1005" s="1" t="s">
        <v>18</v>
      </c>
      <c r="B1005" s="2">
        <v>201301</v>
      </c>
      <c r="C1005" s="2">
        <v>201904</v>
      </c>
      <c r="D1005" s="10">
        <v>10281.651303958386</v>
      </c>
      <c r="E1005" s="10">
        <v>178347.51769606062</v>
      </c>
      <c r="F1005" s="1">
        <v>1</v>
      </c>
      <c r="G1005" s="1">
        <v>159</v>
      </c>
      <c r="H1005">
        <f t="shared" si="45"/>
        <v>2013</v>
      </c>
      <c r="I1005">
        <f t="shared" si="46"/>
        <v>2019</v>
      </c>
      <c r="J1005" s="7">
        <f t="shared" si="47"/>
        <v>188629.169000019</v>
      </c>
      <c r="K1005" s="7"/>
    </row>
    <row r="1006" spans="1:11" x14ac:dyDescent="0.25">
      <c r="A1006" s="1" t="s">
        <v>18</v>
      </c>
      <c r="B1006" s="2">
        <v>201301</v>
      </c>
      <c r="C1006" s="2">
        <v>202001</v>
      </c>
      <c r="D1006" s="10">
        <v>12414.75128687532</v>
      </c>
      <c r="E1006" s="10">
        <v>161705.75482549617</v>
      </c>
      <c r="F1006" s="1">
        <v>0</v>
      </c>
      <c r="G1006" s="1">
        <v>150</v>
      </c>
      <c r="H1006">
        <f t="shared" si="45"/>
        <v>2013</v>
      </c>
      <c r="I1006">
        <f t="shared" si="46"/>
        <v>2020</v>
      </c>
      <c r="J1006" s="7">
        <f t="shared" si="47"/>
        <v>174120.50611237148</v>
      </c>
      <c r="K1006" s="7"/>
    </row>
    <row r="1007" spans="1:11" x14ac:dyDescent="0.25">
      <c r="A1007" s="1" t="s">
        <v>18</v>
      </c>
      <c r="B1007" s="2">
        <v>201301</v>
      </c>
      <c r="C1007" s="2">
        <v>202002</v>
      </c>
      <c r="D1007" s="10">
        <v>3176.7657272712463</v>
      </c>
      <c r="E1007" s="10">
        <v>158448.59408158745</v>
      </c>
      <c r="F1007" s="1">
        <v>0</v>
      </c>
      <c r="G1007" s="1">
        <v>146</v>
      </c>
      <c r="H1007">
        <f t="shared" si="45"/>
        <v>2013</v>
      </c>
      <c r="I1007">
        <f t="shared" si="46"/>
        <v>2020</v>
      </c>
      <c r="J1007" s="7">
        <f t="shared" si="47"/>
        <v>161625.35980885869</v>
      </c>
      <c r="K1007" s="7"/>
    </row>
    <row r="1008" spans="1:11" x14ac:dyDescent="0.25">
      <c r="A1008" s="1" t="s">
        <v>18</v>
      </c>
      <c r="B1008" s="2">
        <v>201301</v>
      </c>
      <c r="C1008" s="2">
        <v>202003</v>
      </c>
      <c r="D1008" s="10">
        <v>53.284338292592217</v>
      </c>
      <c r="E1008" s="10">
        <v>156989.56159242944</v>
      </c>
      <c r="F1008" s="1">
        <v>0</v>
      </c>
      <c r="G1008" s="1">
        <v>143</v>
      </c>
      <c r="H1008">
        <f t="shared" si="45"/>
        <v>2013</v>
      </c>
      <c r="I1008">
        <f t="shared" si="46"/>
        <v>2020</v>
      </c>
      <c r="J1008" s="7">
        <f t="shared" si="47"/>
        <v>157042.84593072202</v>
      </c>
      <c r="K1008" s="7"/>
    </row>
    <row r="1009" spans="1:11" x14ac:dyDescent="0.25">
      <c r="A1009" s="1" t="s">
        <v>18</v>
      </c>
      <c r="B1009" s="2">
        <v>201301</v>
      </c>
      <c r="C1009" s="2">
        <v>202004</v>
      </c>
      <c r="D1009" s="10">
        <v>1006.1888124375474</v>
      </c>
      <c r="E1009" s="10">
        <v>157354.16276916605</v>
      </c>
      <c r="F1009" s="1">
        <v>0</v>
      </c>
      <c r="G1009" s="1">
        <v>126</v>
      </c>
      <c r="H1009">
        <f t="shared" si="45"/>
        <v>2013</v>
      </c>
      <c r="I1009">
        <f t="shared" si="46"/>
        <v>2020</v>
      </c>
      <c r="J1009" s="7">
        <f t="shared" si="47"/>
        <v>158360.35158160361</v>
      </c>
      <c r="K1009" s="7"/>
    </row>
    <row r="1010" spans="1:11" x14ac:dyDescent="0.25">
      <c r="A1010" s="1" t="s">
        <v>18</v>
      </c>
      <c r="B1010" s="2">
        <v>201301</v>
      </c>
      <c r="C1010" s="2">
        <v>202101</v>
      </c>
      <c r="D1010" s="10">
        <v>1087.9512073220401</v>
      </c>
      <c r="E1010" s="10">
        <v>160326.57961814606</v>
      </c>
      <c r="F1010" s="1">
        <v>0</v>
      </c>
      <c r="G1010" s="1">
        <v>114</v>
      </c>
      <c r="H1010">
        <f t="shared" si="45"/>
        <v>2013</v>
      </c>
      <c r="I1010">
        <f t="shared" si="46"/>
        <v>2021</v>
      </c>
      <c r="J1010" s="7">
        <f t="shared" si="47"/>
        <v>161414.5308254681</v>
      </c>
      <c r="K1010" s="7"/>
    </row>
    <row r="1011" spans="1:11" x14ac:dyDescent="0.25">
      <c r="A1011" s="1" t="s">
        <v>18</v>
      </c>
      <c r="B1011" s="2">
        <v>201301</v>
      </c>
      <c r="C1011" s="2">
        <v>202102</v>
      </c>
      <c r="D1011" s="10">
        <v>976.19639243266931</v>
      </c>
      <c r="E1011" s="10">
        <v>159937.87626828131</v>
      </c>
      <c r="F1011" s="1">
        <v>0</v>
      </c>
      <c r="G1011" s="1">
        <v>113</v>
      </c>
      <c r="H1011">
        <f t="shared" si="45"/>
        <v>2013</v>
      </c>
      <c r="I1011">
        <f t="shared" si="46"/>
        <v>2021</v>
      </c>
      <c r="J1011" s="7">
        <f t="shared" si="47"/>
        <v>160914.07266071398</v>
      </c>
      <c r="K1011" s="7"/>
    </row>
    <row r="1012" spans="1:11" x14ac:dyDescent="0.25">
      <c r="A1012" s="1" t="s">
        <v>18</v>
      </c>
      <c r="B1012" s="2">
        <v>201301</v>
      </c>
      <c r="C1012" s="2">
        <v>202103</v>
      </c>
      <c r="D1012" s="10">
        <v>353.12247427524284</v>
      </c>
      <c r="E1012" s="10">
        <v>157499.02841688629</v>
      </c>
      <c r="F1012" s="1">
        <v>0</v>
      </c>
      <c r="G1012" s="1">
        <v>106</v>
      </c>
      <c r="H1012">
        <f t="shared" si="45"/>
        <v>2013</v>
      </c>
      <c r="I1012">
        <f t="shared" si="46"/>
        <v>2021</v>
      </c>
      <c r="J1012" s="7">
        <f t="shared" si="47"/>
        <v>157852.15089116152</v>
      </c>
      <c r="K1012" s="7"/>
    </row>
    <row r="1013" spans="1:11" x14ac:dyDescent="0.25">
      <c r="A1013" s="1" t="s">
        <v>18</v>
      </c>
      <c r="B1013" s="2">
        <v>201301</v>
      </c>
      <c r="C1013" s="2">
        <v>202104</v>
      </c>
      <c r="D1013" s="10">
        <v>464.96659206202099</v>
      </c>
      <c r="E1013" s="10">
        <v>164064.60119760002</v>
      </c>
      <c r="F1013" s="1">
        <v>0</v>
      </c>
      <c r="G1013" s="1">
        <v>102</v>
      </c>
      <c r="H1013">
        <f t="shared" si="45"/>
        <v>2013</v>
      </c>
      <c r="I1013">
        <f t="shared" si="46"/>
        <v>2021</v>
      </c>
      <c r="J1013" s="7">
        <f t="shared" si="47"/>
        <v>164529.56778966205</v>
      </c>
      <c r="K1013" s="7"/>
    </row>
    <row r="1014" spans="1:11" x14ac:dyDescent="0.25">
      <c r="A1014" s="1" t="s">
        <v>18</v>
      </c>
      <c r="B1014" s="2">
        <v>201302</v>
      </c>
      <c r="C1014" s="2">
        <v>201302</v>
      </c>
      <c r="D1014" s="10">
        <v>563999.54627273569</v>
      </c>
      <c r="E1014" s="10">
        <v>1234375.1391180877</v>
      </c>
      <c r="F1014" s="1">
        <v>15588</v>
      </c>
      <c r="G1014" s="1">
        <v>9660</v>
      </c>
      <c r="H1014">
        <f t="shared" si="45"/>
        <v>2013</v>
      </c>
      <c r="I1014">
        <f t="shared" si="46"/>
        <v>2013</v>
      </c>
      <c r="J1014" s="7">
        <f t="shared" si="47"/>
        <v>1798374.6853908235</v>
      </c>
      <c r="K1014" s="7"/>
    </row>
    <row r="1015" spans="1:11" x14ac:dyDescent="0.25">
      <c r="A1015" s="1" t="s">
        <v>18</v>
      </c>
      <c r="B1015" s="2">
        <v>201302</v>
      </c>
      <c r="C1015" s="2">
        <v>201303</v>
      </c>
      <c r="D1015" s="10">
        <v>641194.13226571772</v>
      </c>
      <c r="E1015" s="10">
        <v>1018544.9767886975</v>
      </c>
      <c r="F1015" s="1">
        <v>2984</v>
      </c>
      <c r="G1015" s="1">
        <v>6303</v>
      </c>
      <c r="H1015">
        <f t="shared" si="45"/>
        <v>2013</v>
      </c>
      <c r="I1015">
        <f t="shared" si="46"/>
        <v>2013</v>
      </c>
      <c r="J1015" s="7">
        <f t="shared" si="47"/>
        <v>1659739.1090544153</v>
      </c>
      <c r="K1015" s="7"/>
    </row>
    <row r="1016" spans="1:11" x14ac:dyDescent="0.25">
      <c r="A1016" s="1" t="s">
        <v>18</v>
      </c>
      <c r="B1016" s="2">
        <v>201302</v>
      </c>
      <c r="C1016" s="2">
        <v>201304</v>
      </c>
      <c r="D1016" s="10">
        <v>215710.34531936224</v>
      </c>
      <c r="E1016" s="10">
        <v>1148939.5156507469</v>
      </c>
      <c r="F1016" s="1">
        <v>427</v>
      </c>
      <c r="G1016" s="1">
        <v>4877</v>
      </c>
      <c r="H1016">
        <f t="shared" si="45"/>
        <v>2013</v>
      </c>
      <c r="I1016">
        <f t="shared" si="46"/>
        <v>2013</v>
      </c>
      <c r="J1016" s="7">
        <f t="shared" si="47"/>
        <v>1364649.8609701092</v>
      </c>
      <c r="K1016" s="7"/>
    </row>
    <row r="1017" spans="1:11" x14ac:dyDescent="0.25">
      <c r="A1017" s="1" t="s">
        <v>18</v>
      </c>
      <c r="B1017" s="2">
        <v>201302</v>
      </c>
      <c r="C1017" s="2">
        <v>201401</v>
      </c>
      <c r="D1017" s="10">
        <v>146752.35523343168</v>
      </c>
      <c r="E1017" s="10">
        <v>816503.41797961935</v>
      </c>
      <c r="F1017" s="1">
        <v>182</v>
      </c>
      <c r="G1017" s="1">
        <v>3891</v>
      </c>
      <c r="H1017">
        <f t="shared" si="45"/>
        <v>2013</v>
      </c>
      <c r="I1017">
        <f t="shared" si="46"/>
        <v>2014</v>
      </c>
      <c r="J1017" s="7">
        <f t="shared" si="47"/>
        <v>963255.77321305103</v>
      </c>
      <c r="K1017" s="7"/>
    </row>
    <row r="1018" spans="1:11" x14ac:dyDescent="0.25">
      <c r="A1018" s="1" t="s">
        <v>18</v>
      </c>
      <c r="B1018" s="2">
        <v>201302</v>
      </c>
      <c r="C1018" s="2">
        <v>201402</v>
      </c>
      <c r="D1018" s="10">
        <v>108707.82675891821</v>
      </c>
      <c r="E1018" s="10">
        <v>688070.10792391037</v>
      </c>
      <c r="F1018" s="1">
        <v>111</v>
      </c>
      <c r="G1018" s="1">
        <v>3226</v>
      </c>
      <c r="H1018">
        <f t="shared" si="45"/>
        <v>2013</v>
      </c>
      <c r="I1018">
        <f t="shared" si="46"/>
        <v>2014</v>
      </c>
      <c r="J1018" s="7">
        <f t="shared" si="47"/>
        <v>796777.93468282861</v>
      </c>
      <c r="K1018" s="7"/>
    </row>
    <row r="1019" spans="1:11" x14ac:dyDescent="0.25">
      <c r="A1019" s="1" t="s">
        <v>18</v>
      </c>
      <c r="B1019" s="2">
        <v>201302</v>
      </c>
      <c r="C1019" s="2">
        <v>201403</v>
      </c>
      <c r="D1019" s="10">
        <v>56926.877498023037</v>
      </c>
      <c r="E1019" s="10">
        <v>650826.26306384779</v>
      </c>
      <c r="F1019" s="1">
        <v>45</v>
      </c>
      <c r="G1019" s="1">
        <v>2847</v>
      </c>
      <c r="H1019">
        <f t="shared" si="45"/>
        <v>2013</v>
      </c>
      <c r="I1019">
        <f t="shared" si="46"/>
        <v>2014</v>
      </c>
      <c r="J1019" s="7">
        <f t="shared" si="47"/>
        <v>707753.14056187076</v>
      </c>
      <c r="K1019" s="7"/>
    </row>
    <row r="1020" spans="1:11" x14ac:dyDescent="0.25">
      <c r="A1020" s="1" t="s">
        <v>18</v>
      </c>
      <c r="B1020" s="2">
        <v>201302</v>
      </c>
      <c r="C1020" s="2">
        <v>201404</v>
      </c>
      <c r="D1020" s="10">
        <v>44825.024006079875</v>
      </c>
      <c r="E1020" s="10">
        <v>811716.44457827508</v>
      </c>
      <c r="F1020" s="1">
        <v>23</v>
      </c>
      <c r="G1020" s="1">
        <v>2370</v>
      </c>
      <c r="H1020">
        <f t="shared" si="45"/>
        <v>2013</v>
      </c>
      <c r="I1020">
        <f t="shared" si="46"/>
        <v>2014</v>
      </c>
      <c r="J1020" s="7">
        <f t="shared" si="47"/>
        <v>856541.46858435497</v>
      </c>
      <c r="K1020" s="7"/>
    </row>
    <row r="1021" spans="1:11" x14ac:dyDescent="0.25">
      <c r="A1021" s="1" t="s">
        <v>18</v>
      </c>
      <c r="B1021" s="2">
        <v>201302</v>
      </c>
      <c r="C1021" s="2">
        <v>201501</v>
      </c>
      <c r="D1021" s="10">
        <v>35805.652255087531</v>
      </c>
      <c r="E1021" s="10">
        <v>547498.65612851083</v>
      </c>
      <c r="F1021" s="1">
        <v>11</v>
      </c>
      <c r="G1021" s="1">
        <v>1977</v>
      </c>
      <c r="H1021">
        <f t="shared" si="45"/>
        <v>2013</v>
      </c>
      <c r="I1021">
        <f t="shared" si="46"/>
        <v>2015</v>
      </c>
      <c r="J1021" s="7">
        <f t="shared" si="47"/>
        <v>583304.30838359834</v>
      </c>
      <c r="K1021" s="7"/>
    </row>
    <row r="1022" spans="1:11" x14ac:dyDescent="0.25">
      <c r="A1022" s="1" t="s">
        <v>18</v>
      </c>
      <c r="B1022" s="2">
        <v>201302</v>
      </c>
      <c r="C1022" s="2">
        <v>201502</v>
      </c>
      <c r="D1022" s="10">
        <v>33364.274707692035</v>
      </c>
      <c r="E1022" s="10">
        <v>517468.59634824522</v>
      </c>
      <c r="F1022" s="1">
        <v>18</v>
      </c>
      <c r="G1022" s="1">
        <v>1697</v>
      </c>
      <c r="H1022">
        <f t="shared" si="45"/>
        <v>2013</v>
      </c>
      <c r="I1022">
        <f t="shared" si="46"/>
        <v>2015</v>
      </c>
      <c r="J1022" s="7">
        <f t="shared" si="47"/>
        <v>550832.87105593726</v>
      </c>
      <c r="K1022" s="7"/>
    </row>
    <row r="1023" spans="1:11" x14ac:dyDescent="0.25">
      <c r="A1023" s="1" t="s">
        <v>18</v>
      </c>
      <c r="B1023" s="2">
        <v>201302</v>
      </c>
      <c r="C1023" s="2">
        <v>201503</v>
      </c>
      <c r="D1023" s="10">
        <v>29612.910796100048</v>
      </c>
      <c r="E1023" s="10">
        <v>497289.35982928792</v>
      </c>
      <c r="F1023" s="1">
        <v>22</v>
      </c>
      <c r="G1023" s="1">
        <v>1504</v>
      </c>
      <c r="H1023">
        <f t="shared" si="45"/>
        <v>2013</v>
      </c>
      <c r="I1023">
        <f t="shared" si="46"/>
        <v>2015</v>
      </c>
      <c r="J1023" s="7">
        <f t="shared" si="47"/>
        <v>526902.27062538802</v>
      </c>
      <c r="K1023" s="7"/>
    </row>
    <row r="1024" spans="1:11" x14ac:dyDescent="0.25">
      <c r="A1024" s="1" t="s">
        <v>18</v>
      </c>
      <c r="B1024" s="2">
        <v>201302</v>
      </c>
      <c r="C1024" s="2">
        <v>201504</v>
      </c>
      <c r="D1024" s="10">
        <v>29040.314729814789</v>
      </c>
      <c r="E1024" s="10">
        <v>622314.22634331556</v>
      </c>
      <c r="F1024" s="1">
        <v>5</v>
      </c>
      <c r="G1024" s="1">
        <v>1306</v>
      </c>
      <c r="H1024">
        <f t="shared" si="45"/>
        <v>2013</v>
      </c>
      <c r="I1024">
        <f t="shared" si="46"/>
        <v>2015</v>
      </c>
      <c r="J1024" s="7">
        <f t="shared" si="47"/>
        <v>651354.54107313033</v>
      </c>
      <c r="K1024" s="7"/>
    </row>
    <row r="1025" spans="1:11" x14ac:dyDescent="0.25">
      <c r="A1025" s="1" t="s">
        <v>18</v>
      </c>
      <c r="B1025" s="2">
        <v>201302</v>
      </c>
      <c r="C1025" s="2">
        <v>201601</v>
      </c>
      <c r="D1025" s="10">
        <v>26868.190940127301</v>
      </c>
      <c r="E1025" s="10">
        <v>377148.78973109473</v>
      </c>
      <c r="F1025" s="1">
        <v>12</v>
      </c>
      <c r="G1025" s="1">
        <v>1080</v>
      </c>
      <c r="H1025">
        <f t="shared" si="45"/>
        <v>2013</v>
      </c>
      <c r="I1025">
        <f t="shared" si="46"/>
        <v>2016</v>
      </c>
      <c r="J1025" s="7">
        <f t="shared" si="47"/>
        <v>404016.98067122203</v>
      </c>
      <c r="K1025" s="7"/>
    </row>
    <row r="1026" spans="1:11" x14ac:dyDescent="0.25">
      <c r="A1026" s="1" t="s">
        <v>18</v>
      </c>
      <c r="B1026" s="2">
        <v>201302</v>
      </c>
      <c r="C1026" s="2">
        <v>201602</v>
      </c>
      <c r="D1026" s="10">
        <v>15803.697235540081</v>
      </c>
      <c r="E1026" s="10">
        <v>343956.53234151978</v>
      </c>
      <c r="F1026" s="1">
        <v>4</v>
      </c>
      <c r="G1026" s="1">
        <v>911</v>
      </c>
      <c r="H1026">
        <f t="shared" si="45"/>
        <v>2013</v>
      </c>
      <c r="I1026">
        <f t="shared" si="46"/>
        <v>2016</v>
      </c>
      <c r="J1026" s="7">
        <f t="shared" si="47"/>
        <v>359760.22957705986</v>
      </c>
      <c r="K1026" s="7"/>
    </row>
    <row r="1027" spans="1:11" x14ac:dyDescent="0.25">
      <c r="A1027" s="1" t="s">
        <v>18</v>
      </c>
      <c r="B1027" s="2">
        <v>201302</v>
      </c>
      <c r="C1027" s="2">
        <v>201603</v>
      </c>
      <c r="D1027" s="10">
        <v>11265.480658569126</v>
      </c>
      <c r="E1027" s="10">
        <v>311970.15375308559</v>
      </c>
      <c r="F1027" s="1">
        <v>3</v>
      </c>
      <c r="G1027" s="1">
        <v>720</v>
      </c>
      <c r="H1027">
        <f t="shared" si="45"/>
        <v>2013</v>
      </c>
      <c r="I1027">
        <f t="shared" si="46"/>
        <v>2016</v>
      </c>
      <c r="J1027" s="7">
        <f t="shared" si="47"/>
        <v>323235.63441165473</v>
      </c>
      <c r="K1027" s="7"/>
    </row>
    <row r="1028" spans="1:11" x14ac:dyDescent="0.25">
      <c r="A1028" s="1" t="s">
        <v>18</v>
      </c>
      <c r="B1028" s="2">
        <v>201302</v>
      </c>
      <c r="C1028" s="2">
        <v>201604</v>
      </c>
      <c r="D1028" s="10">
        <v>1686.8301113145228</v>
      </c>
      <c r="E1028" s="10">
        <v>452725.50808643695</v>
      </c>
      <c r="F1028" s="1">
        <v>1</v>
      </c>
      <c r="G1028" s="1">
        <v>581</v>
      </c>
      <c r="H1028">
        <f t="shared" ref="H1028:H1091" si="48">VALUE(LEFT(B1028,4))</f>
        <v>2013</v>
      </c>
      <c r="I1028">
        <f t="shared" ref="I1028:I1091" si="49">VALUE(LEFT(C1028,4))</f>
        <v>2016</v>
      </c>
      <c r="J1028" s="7">
        <f t="shared" si="47"/>
        <v>454412.33819775149</v>
      </c>
      <c r="K1028" s="7"/>
    </row>
    <row r="1029" spans="1:11" x14ac:dyDescent="0.25">
      <c r="A1029" s="1" t="s">
        <v>18</v>
      </c>
      <c r="B1029" s="2">
        <v>201302</v>
      </c>
      <c r="C1029" s="2">
        <v>201701</v>
      </c>
      <c r="D1029" s="10">
        <v>6662.9384620119554</v>
      </c>
      <c r="E1029" s="10">
        <v>280434.25272150472</v>
      </c>
      <c r="F1029" s="1">
        <v>0</v>
      </c>
      <c r="G1029" s="1">
        <v>503</v>
      </c>
      <c r="H1029">
        <f t="shared" si="48"/>
        <v>2013</v>
      </c>
      <c r="I1029">
        <f t="shared" si="49"/>
        <v>2017</v>
      </c>
      <c r="J1029" s="7">
        <f t="shared" ref="J1029:J1092" si="50">D1029+E1029</f>
        <v>287097.1911835167</v>
      </c>
      <c r="K1029" s="7"/>
    </row>
    <row r="1030" spans="1:11" x14ac:dyDescent="0.25">
      <c r="A1030" s="1" t="s">
        <v>18</v>
      </c>
      <c r="B1030" s="2">
        <v>201302</v>
      </c>
      <c r="C1030" s="2">
        <v>201702</v>
      </c>
      <c r="D1030" s="10">
        <v>5094.3456119851926</v>
      </c>
      <c r="E1030" s="10">
        <v>265918.29292374378</v>
      </c>
      <c r="F1030" s="1">
        <v>0</v>
      </c>
      <c r="G1030" s="1">
        <v>403</v>
      </c>
      <c r="H1030">
        <f t="shared" si="48"/>
        <v>2013</v>
      </c>
      <c r="I1030">
        <f t="shared" si="49"/>
        <v>2017</v>
      </c>
      <c r="J1030" s="7">
        <f t="shared" si="50"/>
        <v>271012.63853572897</v>
      </c>
      <c r="K1030" s="7"/>
    </row>
    <row r="1031" spans="1:11" x14ac:dyDescent="0.25">
      <c r="A1031" s="1" t="s">
        <v>18</v>
      </c>
      <c r="B1031" s="2">
        <v>201302</v>
      </c>
      <c r="C1031" s="2">
        <v>201703</v>
      </c>
      <c r="D1031" s="10">
        <v>4838.0107195897062</v>
      </c>
      <c r="E1031" s="10">
        <v>243331.19961731782</v>
      </c>
      <c r="F1031" s="1">
        <v>1</v>
      </c>
      <c r="G1031" s="1">
        <v>316</v>
      </c>
      <c r="H1031">
        <f t="shared" si="48"/>
        <v>2013</v>
      </c>
      <c r="I1031">
        <f t="shared" si="49"/>
        <v>2017</v>
      </c>
      <c r="J1031" s="7">
        <f t="shared" si="50"/>
        <v>248169.21033690753</v>
      </c>
      <c r="K1031" s="7"/>
    </row>
    <row r="1032" spans="1:11" x14ac:dyDescent="0.25">
      <c r="A1032" s="1" t="s">
        <v>18</v>
      </c>
      <c r="B1032" s="2">
        <v>201302</v>
      </c>
      <c r="C1032" s="2">
        <v>201704</v>
      </c>
      <c r="D1032" s="10">
        <v>12417.778325653426</v>
      </c>
      <c r="E1032" s="10">
        <v>375872.94953986484</v>
      </c>
      <c r="F1032" s="1">
        <v>1</v>
      </c>
      <c r="G1032" s="1">
        <v>259</v>
      </c>
      <c r="H1032">
        <f t="shared" si="48"/>
        <v>2013</v>
      </c>
      <c r="I1032">
        <f t="shared" si="49"/>
        <v>2017</v>
      </c>
      <c r="J1032" s="7">
        <f t="shared" si="50"/>
        <v>388290.72786551825</v>
      </c>
      <c r="K1032" s="7"/>
    </row>
    <row r="1033" spans="1:11" x14ac:dyDescent="0.25">
      <c r="A1033" s="1" t="s">
        <v>18</v>
      </c>
      <c r="B1033" s="2">
        <v>201302</v>
      </c>
      <c r="C1033" s="2">
        <v>201801</v>
      </c>
      <c r="D1033" s="10">
        <v>2621.8597387303657</v>
      </c>
      <c r="E1033" s="10">
        <v>284676.51798142097</v>
      </c>
      <c r="F1033" s="1">
        <v>0</v>
      </c>
      <c r="G1033" s="1">
        <v>305</v>
      </c>
      <c r="H1033">
        <f t="shared" si="48"/>
        <v>2013</v>
      </c>
      <c r="I1033">
        <f t="shared" si="49"/>
        <v>2018</v>
      </c>
      <c r="J1033" s="7">
        <f t="shared" si="50"/>
        <v>287298.37772015133</v>
      </c>
      <c r="K1033" s="7"/>
    </row>
    <row r="1034" spans="1:11" x14ac:dyDescent="0.25">
      <c r="A1034" s="1" t="s">
        <v>18</v>
      </c>
      <c r="B1034" s="2">
        <v>201302</v>
      </c>
      <c r="C1034" s="2">
        <v>201802</v>
      </c>
      <c r="D1034" s="10">
        <v>20069.715344747106</v>
      </c>
      <c r="E1034" s="10">
        <v>336797.86686381401</v>
      </c>
      <c r="F1034" s="1">
        <v>0</v>
      </c>
      <c r="G1034" s="1">
        <v>232</v>
      </c>
      <c r="H1034">
        <f t="shared" si="48"/>
        <v>2013</v>
      </c>
      <c r="I1034">
        <f t="shared" si="49"/>
        <v>2018</v>
      </c>
      <c r="J1034" s="7">
        <f t="shared" si="50"/>
        <v>356867.58220856113</v>
      </c>
      <c r="K1034" s="7"/>
    </row>
    <row r="1035" spans="1:11" x14ac:dyDescent="0.25">
      <c r="A1035" s="1" t="s">
        <v>18</v>
      </c>
      <c r="B1035" s="2">
        <v>201302</v>
      </c>
      <c r="C1035" s="2">
        <v>201803</v>
      </c>
      <c r="D1035" s="10">
        <v>3107.4283422843077</v>
      </c>
      <c r="E1035" s="10">
        <v>340249.24263620347</v>
      </c>
      <c r="F1035" s="1">
        <v>0</v>
      </c>
      <c r="G1035" s="1">
        <v>227</v>
      </c>
      <c r="H1035">
        <f t="shared" si="48"/>
        <v>2013</v>
      </c>
      <c r="I1035">
        <f t="shared" si="49"/>
        <v>2018</v>
      </c>
      <c r="J1035" s="7">
        <f t="shared" si="50"/>
        <v>343356.67097848776</v>
      </c>
      <c r="K1035" s="7"/>
    </row>
    <row r="1036" spans="1:11" x14ac:dyDescent="0.25">
      <c r="A1036" s="1" t="s">
        <v>18</v>
      </c>
      <c r="B1036" s="2">
        <v>201302</v>
      </c>
      <c r="C1036" s="2">
        <v>201804</v>
      </c>
      <c r="D1036" s="10">
        <v>1067.0963261153197</v>
      </c>
      <c r="E1036" s="10">
        <v>321374.20964506047</v>
      </c>
      <c r="F1036" s="1">
        <v>1</v>
      </c>
      <c r="G1036" s="1">
        <v>214</v>
      </c>
      <c r="H1036">
        <f t="shared" si="48"/>
        <v>2013</v>
      </c>
      <c r="I1036">
        <f t="shared" si="49"/>
        <v>2018</v>
      </c>
      <c r="J1036" s="7">
        <f t="shared" si="50"/>
        <v>322441.30597117578</v>
      </c>
      <c r="K1036" s="7"/>
    </row>
    <row r="1037" spans="1:11" x14ac:dyDescent="0.25">
      <c r="A1037" s="1" t="s">
        <v>18</v>
      </c>
      <c r="B1037" s="2">
        <v>201302</v>
      </c>
      <c r="C1037" s="2">
        <v>201901</v>
      </c>
      <c r="D1037" s="10">
        <v>11190.549956498904</v>
      </c>
      <c r="E1037" s="10">
        <v>313526.80237688893</v>
      </c>
      <c r="F1037" s="1">
        <v>0</v>
      </c>
      <c r="G1037" s="1">
        <v>204</v>
      </c>
      <c r="H1037">
        <f t="shared" si="48"/>
        <v>2013</v>
      </c>
      <c r="I1037">
        <f t="shared" si="49"/>
        <v>2019</v>
      </c>
      <c r="J1037" s="7">
        <f t="shared" si="50"/>
        <v>324717.35233338783</v>
      </c>
      <c r="K1037" s="7"/>
    </row>
    <row r="1038" spans="1:11" x14ac:dyDescent="0.25">
      <c r="A1038" s="1" t="s">
        <v>18</v>
      </c>
      <c r="B1038" s="2">
        <v>201302</v>
      </c>
      <c r="C1038" s="2">
        <v>201902</v>
      </c>
      <c r="D1038" s="10">
        <v>5304.6407823315303</v>
      </c>
      <c r="E1038" s="10">
        <v>306755.53866012156</v>
      </c>
      <c r="F1038" s="1">
        <v>0</v>
      </c>
      <c r="G1038" s="1">
        <v>206</v>
      </c>
      <c r="H1038">
        <f t="shared" si="48"/>
        <v>2013</v>
      </c>
      <c r="I1038">
        <f t="shared" si="49"/>
        <v>2019</v>
      </c>
      <c r="J1038" s="7">
        <f t="shared" si="50"/>
        <v>312060.17944245308</v>
      </c>
      <c r="K1038" s="7"/>
    </row>
    <row r="1039" spans="1:11" x14ac:dyDescent="0.25">
      <c r="A1039" s="1" t="s">
        <v>18</v>
      </c>
      <c r="B1039" s="2">
        <v>201302</v>
      </c>
      <c r="C1039" s="2">
        <v>201903</v>
      </c>
      <c r="D1039" s="10">
        <v>966.20440719585577</v>
      </c>
      <c r="E1039" s="10">
        <v>305973.16978724272</v>
      </c>
      <c r="F1039" s="1">
        <v>0</v>
      </c>
      <c r="G1039" s="1">
        <v>197</v>
      </c>
      <c r="H1039">
        <f t="shared" si="48"/>
        <v>2013</v>
      </c>
      <c r="I1039">
        <f t="shared" si="49"/>
        <v>2019</v>
      </c>
      <c r="J1039" s="7">
        <f t="shared" si="50"/>
        <v>306939.37419443857</v>
      </c>
      <c r="K1039" s="7"/>
    </row>
    <row r="1040" spans="1:11" x14ac:dyDescent="0.25">
      <c r="A1040" s="1" t="s">
        <v>18</v>
      </c>
      <c r="B1040" s="2">
        <v>201302</v>
      </c>
      <c r="C1040" s="2">
        <v>201904</v>
      </c>
      <c r="D1040" s="10">
        <v>1852.2689167845665</v>
      </c>
      <c r="E1040" s="10">
        <v>303627.11221183231</v>
      </c>
      <c r="F1040" s="1">
        <v>0</v>
      </c>
      <c r="G1040" s="1">
        <v>187</v>
      </c>
      <c r="H1040">
        <f t="shared" si="48"/>
        <v>2013</v>
      </c>
      <c r="I1040">
        <f t="shared" si="49"/>
        <v>2019</v>
      </c>
      <c r="J1040" s="7">
        <f t="shared" si="50"/>
        <v>305479.38112861686</v>
      </c>
      <c r="K1040" s="7"/>
    </row>
    <row r="1041" spans="1:11" x14ac:dyDescent="0.25">
      <c r="A1041" s="1" t="s">
        <v>18</v>
      </c>
      <c r="B1041" s="2">
        <v>201302</v>
      </c>
      <c r="C1041" s="2">
        <v>202001</v>
      </c>
      <c r="D1041" s="10">
        <v>2712.6285835911135</v>
      </c>
      <c r="E1041" s="10">
        <v>298281.75760929281</v>
      </c>
      <c r="F1041" s="1">
        <v>0</v>
      </c>
      <c r="G1041" s="1">
        <v>183</v>
      </c>
      <c r="H1041">
        <f t="shared" si="48"/>
        <v>2013</v>
      </c>
      <c r="I1041">
        <f t="shared" si="49"/>
        <v>2020</v>
      </c>
      <c r="J1041" s="7">
        <f t="shared" si="50"/>
        <v>300994.38619288395</v>
      </c>
      <c r="K1041" s="7"/>
    </row>
    <row r="1042" spans="1:11" x14ac:dyDescent="0.25">
      <c r="A1042" s="1" t="s">
        <v>18</v>
      </c>
      <c r="B1042" s="2">
        <v>201302</v>
      </c>
      <c r="C1042" s="2">
        <v>202002</v>
      </c>
      <c r="D1042" s="10">
        <v>1726.2936784730528</v>
      </c>
      <c r="E1042" s="10">
        <v>290874.37333275942</v>
      </c>
      <c r="F1042" s="1">
        <v>0</v>
      </c>
      <c r="G1042" s="1">
        <v>176</v>
      </c>
      <c r="H1042">
        <f t="shared" si="48"/>
        <v>2013</v>
      </c>
      <c r="I1042">
        <f t="shared" si="49"/>
        <v>2020</v>
      </c>
      <c r="J1042" s="7">
        <f t="shared" si="50"/>
        <v>292600.66701123246</v>
      </c>
      <c r="K1042" s="7"/>
    </row>
    <row r="1043" spans="1:11" x14ac:dyDescent="0.25">
      <c r="A1043" s="1" t="s">
        <v>18</v>
      </c>
      <c r="B1043" s="2">
        <v>201302</v>
      </c>
      <c r="C1043" s="2">
        <v>202003</v>
      </c>
      <c r="D1043" s="10">
        <v>599.19616472336179</v>
      </c>
      <c r="E1043" s="10">
        <v>318887.08213018585</v>
      </c>
      <c r="F1043" s="1">
        <v>0</v>
      </c>
      <c r="G1043" s="1">
        <v>167</v>
      </c>
      <c r="H1043">
        <f t="shared" si="48"/>
        <v>2013</v>
      </c>
      <c r="I1043">
        <f t="shared" si="49"/>
        <v>2020</v>
      </c>
      <c r="J1043" s="7">
        <f t="shared" si="50"/>
        <v>319486.27829490922</v>
      </c>
      <c r="K1043" s="7"/>
    </row>
    <row r="1044" spans="1:11" x14ac:dyDescent="0.25">
      <c r="A1044" s="1" t="s">
        <v>18</v>
      </c>
      <c r="B1044" s="2">
        <v>201302</v>
      </c>
      <c r="C1044" s="2">
        <v>202004</v>
      </c>
      <c r="D1044" s="10">
        <v>905.46948025874292</v>
      </c>
      <c r="E1044" s="10">
        <v>308627.77739912044</v>
      </c>
      <c r="F1044" s="1">
        <v>0</v>
      </c>
      <c r="G1044" s="1">
        <v>152</v>
      </c>
      <c r="H1044">
        <f t="shared" si="48"/>
        <v>2013</v>
      </c>
      <c r="I1044">
        <f t="shared" si="49"/>
        <v>2020</v>
      </c>
      <c r="J1044" s="7">
        <f t="shared" si="50"/>
        <v>309533.24687937921</v>
      </c>
      <c r="K1044" s="7"/>
    </row>
    <row r="1045" spans="1:11" x14ac:dyDescent="0.25">
      <c r="A1045" s="1" t="s">
        <v>18</v>
      </c>
      <c r="B1045" s="2">
        <v>201302</v>
      </c>
      <c r="C1045" s="2">
        <v>202101</v>
      </c>
      <c r="D1045" s="10">
        <v>2089.6784488027592</v>
      </c>
      <c r="E1045" s="10">
        <v>305706.84047255456</v>
      </c>
      <c r="F1045" s="1">
        <v>0</v>
      </c>
      <c r="G1045" s="1">
        <v>141</v>
      </c>
      <c r="H1045">
        <f t="shared" si="48"/>
        <v>2013</v>
      </c>
      <c r="I1045">
        <f t="shared" si="49"/>
        <v>2021</v>
      </c>
      <c r="J1045" s="7">
        <f t="shared" si="50"/>
        <v>307796.51892135729</v>
      </c>
      <c r="K1045" s="7"/>
    </row>
    <row r="1046" spans="1:11" x14ac:dyDescent="0.25">
      <c r="A1046" s="1" t="s">
        <v>18</v>
      </c>
      <c r="B1046" s="2">
        <v>201302</v>
      </c>
      <c r="C1046" s="2">
        <v>202102</v>
      </c>
      <c r="D1046" s="10">
        <v>3157.9452586237844</v>
      </c>
      <c r="E1046" s="10">
        <v>307861.51044553256</v>
      </c>
      <c r="F1046" s="1">
        <v>0</v>
      </c>
      <c r="G1046" s="1">
        <v>135</v>
      </c>
      <c r="H1046">
        <f t="shared" si="48"/>
        <v>2013</v>
      </c>
      <c r="I1046">
        <f t="shared" si="49"/>
        <v>2021</v>
      </c>
      <c r="J1046" s="7">
        <f t="shared" si="50"/>
        <v>311019.45570415637</v>
      </c>
      <c r="K1046" s="7"/>
    </row>
    <row r="1047" spans="1:11" x14ac:dyDescent="0.25">
      <c r="A1047" s="1" t="s">
        <v>18</v>
      </c>
      <c r="B1047" s="2">
        <v>201302</v>
      </c>
      <c r="C1047" s="2">
        <v>202103</v>
      </c>
      <c r="D1047" s="10">
        <v>1578.5343965895192</v>
      </c>
      <c r="E1047" s="10">
        <v>307648.27186152455</v>
      </c>
      <c r="F1047" s="1">
        <v>0</v>
      </c>
      <c r="G1047" s="1">
        <v>128</v>
      </c>
      <c r="H1047">
        <f t="shared" si="48"/>
        <v>2013</v>
      </c>
      <c r="I1047">
        <f t="shared" si="49"/>
        <v>2021</v>
      </c>
      <c r="J1047" s="7">
        <f t="shared" si="50"/>
        <v>309226.80625811405</v>
      </c>
      <c r="K1047" s="7"/>
    </row>
    <row r="1048" spans="1:11" x14ac:dyDescent="0.25">
      <c r="A1048" s="1" t="s">
        <v>18</v>
      </c>
      <c r="B1048" s="2">
        <v>201302</v>
      </c>
      <c r="C1048" s="2">
        <v>202104</v>
      </c>
      <c r="D1048" s="10">
        <v>20494.227765507309</v>
      </c>
      <c r="E1048" s="10">
        <v>299811.09321520117</v>
      </c>
      <c r="F1048" s="1">
        <v>0</v>
      </c>
      <c r="G1048" s="1">
        <v>127</v>
      </c>
      <c r="H1048">
        <f t="shared" si="48"/>
        <v>2013</v>
      </c>
      <c r="I1048">
        <f t="shared" si="49"/>
        <v>2021</v>
      </c>
      <c r="J1048" s="7">
        <f t="shared" si="50"/>
        <v>320305.32098070846</v>
      </c>
      <c r="K1048" s="7"/>
    </row>
    <row r="1049" spans="1:11" x14ac:dyDescent="0.25">
      <c r="A1049" s="1" t="s">
        <v>18</v>
      </c>
      <c r="B1049" s="2">
        <v>201303</v>
      </c>
      <c r="C1049" s="2">
        <v>201303</v>
      </c>
      <c r="D1049" s="10">
        <v>572299.16482736962</v>
      </c>
      <c r="E1049" s="10">
        <v>1251343.8299467731</v>
      </c>
      <c r="F1049" s="1">
        <v>15330</v>
      </c>
      <c r="G1049" s="1">
        <v>9403</v>
      </c>
      <c r="H1049">
        <f t="shared" si="48"/>
        <v>2013</v>
      </c>
      <c r="I1049">
        <f t="shared" si="49"/>
        <v>2013</v>
      </c>
      <c r="J1049" s="7">
        <f t="shared" si="50"/>
        <v>1823642.9947741427</v>
      </c>
      <c r="K1049" s="7"/>
    </row>
    <row r="1050" spans="1:11" x14ac:dyDescent="0.25">
      <c r="A1050" s="1" t="s">
        <v>18</v>
      </c>
      <c r="B1050" s="2">
        <v>201303</v>
      </c>
      <c r="C1050" s="2">
        <v>201304</v>
      </c>
      <c r="D1050" s="10">
        <v>649537.93537447415</v>
      </c>
      <c r="E1050" s="10">
        <v>1283114.6797331059</v>
      </c>
      <c r="F1050" s="1">
        <v>2813</v>
      </c>
      <c r="G1050" s="1">
        <v>6083</v>
      </c>
      <c r="H1050">
        <f t="shared" si="48"/>
        <v>2013</v>
      </c>
      <c r="I1050">
        <f t="shared" si="49"/>
        <v>2013</v>
      </c>
      <c r="J1050" s="7">
        <f t="shared" si="50"/>
        <v>1932652.6151075801</v>
      </c>
      <c r="K1050" s="7"/>
    </row>
    <row r="1051" spans="1:11" x14ac:dyDescent="0.25">
      <c r="A1051" s="1" t="s">
        <v>18</v>
      </c>
      <c r="B1051" s="2">
        <v>201303</v>
      </c>
      <c r="C1051" s="2">
        <v>201401</v>
      </c>
      <c r="D1051" s="10">
        <v>220484.04088901504</v>
      </c>
      <c r="E1051" s="10">
        <v>1127573.5630246126</v>
      </c>
      <c r="F1051" s="1">
        <v>424</v>
      </c>
      <c r="G1051" s="1">
        <v>4712</v>
      </c>
      <c r="H1051">
        <f t="shared" si="48"/>
        <v>2013</v>
      </c>
      <c r="I1051">
        <f t="shared" si="49"/>
        <v>2014</v>
      </c>
      <c r="J1051" s="7">
        <f t="shared" si="50"/>
        <v>1348057.6039136276</v>
      </c>
      <c r="K1051" s="7"/>
    </row>
    <row r="1052" spans="1:11" x14ac:dyDescent="0.25">
      <c r="A1052" s="1" t="s">
        <v>18</v>
      </c>
      <c r="B1052" s="2">
        <v>201303</v>
      </c>
      <c r="C1052" s="2">
        <v>201402</v>
      </c>
      <c r="D1052" s="10">
        <v>144160.6199739062</v>
      </c>
      <c r="E1052" s="10">
        <v>876831.67088250187</v>
      </c>
      <c r="F1052" s="1">
        <v>170</v>
      </c>
      <c r="G1052" s="1">
        <v>3891</v>
      </c>
      <c r="H1052">
        <f t="shared" si="48"/>
        <v>2013</v>
      </c>
      <c r="I1052">
        <f t="shared" si="49"/>
        <v>2014</v>
      </c>
      <c r="J1052" s="7">
        <f t="shared" si="50"/>
        <v>1020992.2908564081</v>
      </c>
      <c r="K1052" s="7"/>
    </row>
    <row r="1053" spans="1:11" x14ac:dyDescent="0.25">
      <c r="A1053" s="1" t="s">
        <v>18</v>
      </c>
      <c r="B1053" s="2">
        <v>201303</v>
      </c>
      <c r="C1053" s="2">
        <v>201403</v>
      </c>
      <c r="D1053" s="10">
        <v>90256.512188765599</v>
      </c>
      <c r="E1053" s="10">
        <v>797201.3124284388</v>
      </c>
      <c r="F1053" s="1">
        <v>80</v>
      </c>
      <c r="G1053" s="1">
        <v>3349</v>
      </c>
      <c r="H1053">
        <f t="shared" si="48"/>
        <v>2013</v>
      </c>
      <c r="I1053">
        <f t="shared" si="49"/>
        <v>2014</v>
      </c>
      <c r="J1053" s="7">
        <f t="shared" si="50"/>
        <v>887457.82461720437</v>
      </c>
      <c r="K1053" s="7"/>
    </row>
    <row r="1054" spans="1:11" x14ac:dyDescent="0.25">
      <c r="A1054" s="1" t="s">
        <v>18</v>
      </c>
      <c r="B1054" s="2">
        <v>201303</v>
      </c>
      <c r="C1054" s="2">
        <v>201404</v>
      </c>
      <c r="D1054" s="10">
        <v>59035.495009594204</v>
      </c>
      <c r="E1054" s="10">
        <v>822783.83980896627</v>
      </c>
      <c r="F1054" s="1">
        <v>39</v>
      </c>
      <c r="G1054" s="1">
        <v>2796</v>
      </c>
      <c r="H1054">
        <f t="shared" si="48"/>
        <v>2013</v>
      </c>
      <c r="I1054">
        <f t="shared" si="49"/>
        <v>2014</v>
      </c>
      <c r="J1054" s="7">
        <f t="shared" si="50"/>
        <v>881819.33481856051</v>
      </c>
      <c r="K1054" s="7"/>
    </row>
    <row r="1055" spans="1:11" x14ac:dyDescent="0.25">
      <c r="A1055" s="1" t="s">
        <v>18</v>
      </c>
      <c r="B1055" s="2">
        <v>201303</v>
      </c>
      <c r="C1055" s="2">
        <v>201501</v>
      </c>
      <c r="D1055" s="10">
        <v>54055.465833145186</v>
      </c>
      <c r="E1055" s="10">
        <v>696288.51743786444</v>
      </c>
      <c r="F1055" s="1">
        <v>25</v>
      </c>
      <c r="G1055" s="1">
        <v>2244</v>
      </c>
      <c r="H1055">
        <f t="shared" si="48"/>
        <v>2013</v>
      </c>
      <c r="I1055">
        <f t="shared" si="49"/>
        <v>2015</v>
      </c>
      <c r="J1055" s="7">
        <f t="shared" si="50"/>
        <v>750343.98327100964</v>
      </c>
      <c r="K1055" s="7"/>
    </row>
    <row r="1056" spans="1:11" x14ac:dyDescent="0.25">
      <c r="A1056" s="1" t="s">
        <v>18</v>
      </c>
      <c r="B1056" s="2">
        <v>201303</v>
      </c>
      <c r="C1056" s="2">
        <v>201502</v>
      </c>
      <c r="D1056" s="10">
        <v>40353.583583593303</v>
      </c>
      <c r="E1056" s="10">
        <v>669959.70002315019</v>
      </c>
      <c r="F1056" s="1">
        <v>16</v>
      </c>
      <c r="G1056" s="1">
        <v>2008</v>
      </c>
      <c r="H1056">
        <f t="shared" si="48"/>
        <v>2013</v>
      </c>
      <c r="I1056">
        <f t="shared" si="49"/>
        <v>2015</v>
      </c>
      <c r="J1056" s="7">
        <f t="shared" si="50"/>
        <v>710313.28360674344</v>
      </c>
      <c r="K1056" s="7"/>
    </row>
    <row r="1057" spans="1:11" x14ac:dyDescent="0.25">
      <c r="A1057" s="1" t="s">
        <v>18</v>
      </c>
      <c r="B1057" s="2">
        <v>201303</v>
      </c>
      <c r="C1057" s="2">
        <v>201503</v>
      </c>
      <c r="D1057" s="10">
        <v>28477.454044522849</v>
      </c>
      <c r="E1057" s="10">
        <v>620261.09209283651</v>
      </c>
      <c r="F1057" s="1">
        <v>16</v>
      </c>
      <c r="G1057" s="1">
        <v>1763</v>
      </c>
      <c r="H1057">
        <f t="shared" si="48"/>
        <v>2013</v>
      </c>
      <c r="I1057">
        <f t="shared" si="49"/>
        <v>2015</v>
      </c>
      <c r="J1057" s="7">
        <f t="shared" si="50"/>
        <v>648738.54613735934</v>
      </c>
      <c r="K1057" s="7"/>
    </row>
    <row r="1058" spans="1:11" x14ac:dyDescent="0.25">
      <c r="A1058" s="1" t="s">
        <v>18</v>
      </c>
      <c r="B1058" s="2">
        <v>201303</v>
      </c>
      <c r="C1058" s="2">
        <v>201504</v>
      </c>
      <c r="D1058" s="10">
        <v>24142.356244450712</v>
      </c>
      <c r="E1058" s="10">
        <v>671215.87188449828</v>
      </c>
      <c r="F1058" s="1">
        <v>15</v>
      </c>
      <c r="G1058" s="1">
        <v>1555</v>
      </c>
      <c r="H1058">
        <f t="shared" si="48"/>
        <v>2013</v>
      </c>
      <c r="I1058">
        <f t="shared" si="49"/>
        <v>2015</v>
      </c>
      <c r="J1058" s="7">
        <f t="shared" si="50"/>
        <v>695358.22812894895</v>
      </c>
      <c r="K1058" s="7"/>
    </row>
    <row r="1059" spans="1:11" x14ac:dyDescent="0.25">
      <c r="A1059" s="1" t="s">
        <v>18</v>
      </c>
      <c r="B1059" s="2">
        <v>201303</v>
      </c>
      <c r="C1059" s="2">
        <v>201601</v>
      </c>
      <c r="D1059" s="10">
        <v>13694.851012552292</v>
      </c>
      <c r="E1059" s="10">
        <v>590695.12581232516</v>
      </c>
      <c r="F1059" s="1">
        <v>8</v>
      </c>
      <c r="G1059" s="1">
        <v>1292</v>
      </c>
      <c r="H1059">
        <f t="shared" si="48"/>
        <v>2013</v>
      </c>
      <c r="I1059">
        <f t="shared" si="49"/>
        <v>2016</v>
      </c>
      <c r="J1059" s="7">
        <f t="shared" si="50"/>
        <v>604389.97682487743</v>
      </c>
      <c r="K1059" s="7"/>
    </row>
    <row r="1060" spans="1:11" x14ac:dyDescent="0.25">
      <c r="A1060" s="1" t="s">
        <v>18</v>
      </c>
      <c r="B1060" s="2">
        <v>201303</v>
      </c>
      <c r="C1060" s="2">
        <v>201602</v>
      </c>
      <c r="D1060" s="10">
        <v>19096.489965042612</v>
      </c>
      <c r="E1060" s="10">
        <v>551010.78647914226</v>
      </c>
      <c r="F1060" s="1">
        <v>1</v>
      </c>
      <c r="G1060" s="1">
        <v>1088</v>
      </c>
      <c r="H1060">
        <f t="shared" si="48"/>
        <v>2013</v>
      </c>
      <c r="I1060">
        <f t="shared" si="49"/>
        <v>2016</v>
      </c>
      <c r="J1060" s="7">
        <f t="shared" si="50"/>
        <v>570107.27644418483</v>
      </c>
      <c r="K1060" s="7"/>
    </row>
    <row r="1061" spans="1:11" x14ac:dyDescent="0.25">
      <c r="A1061" s="1" t="s">
        <v>18</v>
      </c>
      <c r="B1061" s="2">
        <v>201303</v>
      </c>
      <c r="C1061" s="2">
        <v>201603</v>
      </c>
      <c r="D1061" s="10">
        <v>51360.708155336404</v>
      </c>
      <c r="E1061" s="10">
        <v>505709.20469233813</v>
      </c>
      <c r="F1061" s="1">
        <v>7</v>
      </c>
      <c r="G1061" s="1">
        <v>977</v>
      </c>
      <c r="H1061">
        <f t="shared" si="48"/>
        <v>2013</v>
      </c>
      <c r="I1061">
        <f t="shared" si="49"/>
        <v>2016</v>
      </c>
      <c r="J1061" s="7">
        <f t="shared" si="50"/>
        <v>557069.91284767457</v>
      </c>
      <c r="K1061" s="7"/>
    </row>
    <row r="1062" spans="1:11" x14ac:dyDescent="0.25">
      <c r="A1062" s="1" t="s">
        <v>18</v>
      </c>
      <c r="B1062" s="2">
        <v>201303</v>
      </c>
      <c r="C1062" s="2">
        <v>201604</v>
      </c>
      <c r="D1062" s="10">
        <v>5708.9187594476398</v>
      </c>
      <c r="E1062" s="10">
        <v>501849.21217214211</v>
      </c>
      <c r="F1062" s="1">
        <v>3</v>
      </c>
      <c r="G1062" s="1">
        <v>723</v>
      </c>
      <c r="H1062">
        <f t="shared" si="48"/>
        <v>2013</v>
      </c>
      <c r="I1062">
        <f t="shared" si="49"/>
        <v>2016</v>
      </c>
      <c r="J1062" s="7">
        <f t="shared" si="50"/>
        <v>507558.13093158975</v>
      </c>
      <c r="K1062" s="7"/>
    </row>
    <row r="1063" spans="1:11" x14ac:dyDescent="0.25">
      <c r="A1063" s="1" t="s">
        <v>18</v>
      </c>
      <c r="B1063" s="2">
        <v>201303</v>
      </c>
      <c r="C1063" s="2">
        <v>201701</v>
      </c>
      <c r="D1063" s="10">
        <v>20425.877911083462</v>
      </c>
      <c r="E1063" s="10">
        <v>441850.83249535767</v>
      </c>
      <c r="F1063" s="1">
        <v>1</v>
      </c>
      <c r="G1063" s="1">
        <v>629</v>
      </c>
      <c r="H1063">
        <f t="shared" si="48"/>
        <v>2013</v>
      </c>
      <c r="I1063">
        <f t="shared" si="49"/>
        <v>2017</v>
      </c>
      <c r="J1063" s="7">
        <f t="shared" si="50"/>
        <v>462276.71040644113</v>
      </c>
      <c r="K1063" s="7"/>
    </row>
    <row r="1064" spans="1:11" x14ac:dyDescent="0.25">
      <c r="A1064" s="1" t="s">
        <v>18</v>
      </c>
      <c r="B1064" s="2">
        <v>201303</v>
      </c>
      <c r="C1064" s="2">
        <v>201702</v>
      </c>
      <c r="D1064" s="10">
        <v>9228.0295593209412</v>
      </c>
      <c r="E1064" s="10">
        <v>429132.71166586265</v>
      </c>
      <c r="F1064" s="1">
        <v>0</v>
      </c>
      <c r="G1064" s="1">
        <v>440</v>
      </c>
      <c r="H1064">
        <f t="shared" si="48"/>
        <v>2013</v>
      </c>
      <c r="I1064">
        <f t="shared" si="49"/>
        <v>2017</v>
      </c>
      <c r="J1064" s="7">
        <f t="shared" si="50"/>
        <v>438360.74122518359</v>
      </c>
      <c r="K1064" s="7"/>
    </row>
    <row r="1065" spans="1:11" x14ac:dyDescent="0.25">
      <c r="A1065" s="1" t="s">
        <v>18</v>
      </c>
      <c r="B1065" s="2">
        <v>201303</v>
      </c>
      <c r="C1065" s="2">
        <v>201703</v>
      </c>
      <c r="D1065" s="10">
        <v>21997.660239501936</v>
      </c>
      <c r="E1065" s="10">
        <v>403402.19269503746</v>
      </c>
      <c r="F1065" s="1">
        <v>0</v>
      </c>
      <c r="G1065" s="1">
        <v>347</v>
      </c>
      <c r="H1065">
        <f t="shared" si="48"/>
        <v>2013</v>
      </c>
      <c r="I1065">
        <f t="shared" si="49"/>
        <v>2017</v>
      </c>
      <c r="J1065" s="7">
        <f t="shared" si="50"/>
        <v>425399.85293453938</v>
      </c>
      <c r="K1065" s="7"/>
    </row>
    <row r="1066" spans="1:11" x14ac:dyDescent="0.25">
      <c r="A1066" s="1" t="s">
        <v>18</v>
      </c>
      <c r="B1066" s="2">
        <v>201303</v>
      </c>
      <c r="C1066" s="2">
        <v>201704</v>
      </c>
      <c r="D1066" s="10">
        <v>5857.5348645803115</v>
      </c>
      <c r="E1066" s="10">
        <v>411159.85482739541</v>
      </c>
      <c r="F1066" s="1">
        <v>0</v>
      </c>
      <c r="G1066" s="1">
        <v>261</v>
      </c>
      <c r="H1066">
        <f t="shared" si="48"/>
        <v>2013</v>
      </c>
      <c r="I1066">
        <f t="shared" si="49"/>
        <v>2017</v>
      </c>
      <c r="J1066" s="7">
        <f t="shared" si="50"/>
        <v>417017.38969197572</v>
      </c>
      <c r="K1066" s="7"/>
    </row>
    <row r="1067" spans="1:11" x14ac:dyDescent="0.25">
      <c r="A1067" s="1" t="s">
        <v>18</v>
      </c>
      <c r="B1067" s="2">
        <v>201303</v>
      </c>
      <c r="C1067" s="2">
        <v>201801</v>
      </c>
      <c r="D1067" s="10">
        <v>2479.0831766256183</v>
      </c>
      <c r="E1067" s="10">
        <v>403211.19035223237</v>
      </c>
      <c r="F1067" s="1">
        <v>0</v>
      </c>
      <c r="G1067" s="1">
        <v>324</v>
      </c>
      <c r="H1067">
        <f t="shared" si="48"/>
        <v>2013</v>
      </c>
      <c r="I1067">
        <f t="shared" si="49"/>
        <v>2018</v>
      </c>
      <c r="J1067" s="7">
        <f t="shared" si="50"/>
        <v>405690.27352885797</v>
      </c>
      <c r="K1067" s="7"/>
    </row>
    <row r="1068" spans="1:11" x14ac:dyDescent="0.25">
      <c r="A1068" s="1" t="s">
        <v>18</v>
      </c>
      <c r="B1068" s="2">
        <v>201303</v>
      </c>
      <c r="C1068" s="2">
        <v>201802</v>
      </c>
      <c r="D1068" s="10">
        <v>63890.371492228041</v>
      </c>
      <c r="E1068" s="10">
        <v>381434.97613418469</v>
      </c>
      <c r="F1068" s="1">
        <v>0</v>
      </c>
      <c r="G1068" s="1">
        <v>229</v>
      </c>
      <c r="H1068">
        <f t="shared" si="48"/>
        <v>2013</v>
      </c>
      <c r="I1068">
        <f t="shared" si="49"/>
        <v>2018</v>
      </c>
      <c r="J1068" s="7">
        <f t="shared" si="50"/>
        <v>445325.34762641275</v>
      </c>
      <c r="K1068" s="7"/>
    </row>
    <row r="1069" spans="1:11" x14ac:dyDescent="0.25">
      <c r="A1069" s="1" t="s">
        <v>18</v>
      </c>
      <c r="B1069" s="2">
        <v>201303</v>
      </c>
      <c r="C1069" s="2">
        <v>201803</v>
      </c>
      <c r="D1069" s="10">
        <v>12705.448614341603</v>
      </c>
      <c r="E1069" s="10">
        <v>374644.2509767203</v>
      </c>
      <c r="F1069" s="1">
        <v>0</v>
      </c>
      <c r="G1069" s="1">
        <v>222</v>
      </c>
      <c r="H1069">
        <f t="shared" si="48"/>
        <v>2013</v>
      </c>
      <c r="I1069">
        <f t="shared" si="49"/>
        <v>2018</v>
      </c>
      <c r="J1069" s="7">
        <f t="shared" si="50"/>
        <v>387349.69959106192</v>
      </c>
      <c r="K1069" s="7"/>
    </row>
    <row r="1070" spans="1:11" x14ac:dyDescent="0.25">
      <c r="A1070" s="1" t="s">
        <v>18</v>
      </c>
      <c r="B1070" s="2">
        <v>201303</v>
      </c>
      <c r="C1070" s="2">
        <v>201804</v>
      </c>
      <c r="D1070" s="10">
        <v>5459.2227247733917</v>
      </c>
      <c r="E1070" s="10">
        <v>367600.99819844024</v>
      </c>
      <c r="F1070" s="1">
        <v>0</v>
      </c>
      <c r="G1070" s="1">
        <v>209</v>
      </c>
      <c r="H1070">
        <f t="shared" si="48"/>
        <v>2013</v>
      </c>
      <c r="I1070">
        <f t="shared" si="49"/>
        <v>2018</v>
      </c>
      <c r="J1070" s="7">
        <f t="shared" si="50"/>
        <v>373060.22092321364</v>
      </c>
      <c r="K1070" s="7"/>
    </row>
    <row r="1071" spans="1:11" x14ac:dyDescent="0.25">
      <c r="A1071" s="1" t="s">
        <v>18</v>
      </c>
      <c r="B1071" s="2">
        <v>201303</v>
      </c>
      <c r="C1071" s="2">
        <v>201901</v>
      </c>
      <c r="D1071" s="10">
        <v>17932.503290589702</v>
      </c>
      <c r="E1071" s="10">
        <v>354628.94603240798</v>
      </c>
      <c r="F1071" s="1">
        <v>0</v>
      </c>
      <c r="G1071" s="1">
        <v>201</v>
      </c>
      <c r="H1071">
        <f t="shared" si="48"/>
        <v>2013</v>
      </c>
      <c r="I1071">
        <f t="shared" si="49"/>
        <v>2019</v>
      </c>
      <c r="J1071" s="7">
        <f t="shared" si="50"/>
        <v>372561.44932299771</v>
      </c>
      <c r="K1071" s="7"/>
    </row>
    <row r="1072" spans="1:11" x14ac:dyDescent="0.25">
      <c r="A1072" s="1" t="s">
        <v>18</v>
      </c>
      <c r="B1072" s="2">
        <v>201303</v>
      </c>
      <c r="C1072" s="2">
        <v>201902</v>
      </c>
      <c r="D1072" s="10">
        <v>10991.32645531088</v>
      </c>
      <c r="E1072" s="10">
        <v>325933.58764027373</v>
      </c>
      <c r="F1072" s="1">
        <v>0</v>
      </c>
      <c r="G1072" s="1">
        <v>188</v>
      </c>
      <c r="H1072">
        <f t="shared" si="48"/>
        <v>2013</v>
      </c>
      <c r="I1072">
        <f t="shared" si="49"/>
        <v>2019</v>
      </c>
      <c r="J1072" s="7">
        <f t="shared" si="50"/>
        <v>336924.91409558459</v>
      </c>
      <c r="K1072" s="7"/>
    </row>
    <row r="1073" spans="1:11" x14ac:dyDescent="0.25">
      <c r="A1073" s="1" t="s">
        <v>18</v>
      </c>
      <c r="B1073" s="2">
        <v>201303</v>
      </c>
      <c r="C1073" s="2">
        <v>201903</v>
      </c>
      <c r="D1073" s="10">
        <v>3594.7307443461164</v>
      </c>
      <c r="E1073" s="10">
        <v>332062.97352627694</v>
      </c>
      <c r="F1073" s="1">
        <v>0</v>
      </c>
      <c r="G1073" s="1">
        <v>183</v>
      </c>
      <c r="H1073">
        <f t="shared" si="48"/>
        <v>2013</v>
      </c>
      <c r="I1073">
        <f t="shared" si="49"/>
        <v>2019</v>
      </c>
      <c r="J1073" s="7">
        <f t="shared" si="50"/>
        <v>335657.70427062304</v>
      </c>
      <c r="K1073" s="7"/>
    </row>
    <row r="1074" spans="1:11" x14ac:dyDescent="0.25">
      <c r="A1074" s="1" t="s">
        <v>18</v>
      </c>
      <c r="B1074" s="2">
        <v>201303</v>
      </c>
      <c r="C1074" s="2">
        <v>201904</v>
      </c>
      <c r="D1074" s="10">
        <v>8238.4736018475087</v>
      </c>
      <c r="E1074" s="10">
        <v>305076.71702624887</v>
      </c>
      <c r="F1074" s="1">
        <v>0</v>
      </c>
      <c r="G1074" s="1">
        <v>171</v>
      </c>
      <c r="H1074">
        <f t="shared" si="48"/>
        <v>2013</v>
      </c>
      <c r="I1074">
        <f t="shared" si="49"/>
        <v>2019</v>
      </c>
      <c r="J1074" s="7">
        <f t="shared" si="50"/>
        <v>313315.19062809634</v>
      </c>
      <c r="K1074" s="7"/>
    </row>
    <row r="1075" spans="1:11" x14ac:dyDescent="0.25">
      <c r="A1075" s="1" t="s">
        <v>18</v>
      </c>
      <c r="B1075" s="2">
        <v>201303</v>
      </c>
      <c r="C1075" s="2">
        <v>202001</v>
      </c>
      <c r="D1075" s="10">
        <v>21660.911064264121</v>
      </c>
      <c r="E1075" s="10">
        <v>281736.43950955261</v>
      </c>
      <c r="F1075" s="1">
        <v>0</v>
      </c>
      <c r="G1075" s="1">
        <v>163</v>
      </c>
      <c r="H1075">
        <f t="shared" si="48"/>
        <v>2013</v>
      </c>
      <c r="I1075">
        <f t="shared" si="49"/>
        <v>2020</v>
      </c>
      <c r="J1075" s="7">
        <f t="shared" si="50"/>
        <v>303397.35057381674</v>
      </c>
      <c r="K1075" s="7"/>
    </row>
    <row r="1076" spans="1:11" x14ac:dyDescent="0.25">
      <c r="A1076" s="1" t="s">
        <v>18</v>
      </c>
      <c r="B1076" s="2">
        <v>201303</v>
      </c>
      <c r="C1076" s="2">
        <v>202002</v>
      </c>
      <c r="D1076" s="10">
        <v>5510.9697223769435</v>
      </c>
      <c r="E1076" s="10">
        <v>274224.58566972183</v>
      </c>
      <c r="F1076" s="1">
        <v>0</v>
      </c>
      <c r="G1076" s="1">
        <v>155</v>
      </c>
      <c r="H1076">
        <f t="shared" si="48"/>
        <v>2013</v>
      </c>
      <c r="I1076">
        <f t="shared" si="49"/>
        <v>2020</v>
      </c>
      <c r="J1076" s="7">
        <f t="shared" si="50"/>
        <v>279735.55539209879</v>
      </c>
      <c r="K1076" s="7"/>
    </row>
    <row r="1077" spans="1:11" x14ac:dyDescent="0.25">
      <c r="A1077" s="1" t="s">
        <v>18</v>
      </c>
      <c r="B1077" s="2">
        <v>201303</v>
      </c>
      <c r="C1077" s="2">
        <v>202003</v>
      </c>
      <c r="D1077" s="10">
        <v>5364.5110821864428</v>
      </c>
      <c r="E1077" s="10">
        <v>265384.89520586544</v>
      </c>
      <c r="F1077" s="1">
        <v>0</v>
      </c>
      <c r="G1077" s="1">
        <v>150</v>
      </c>
      <c r="H1077">
        <f t="shared" si="48"/>
        <v>2013</v>
      </c>
      <c r="I1077">
        <f t="shared" si="49"/>
        <v>2020</v>
      </c>
      <c r="J1077" s="7">
        <f t="shared" si="50"/>
        <v>270749.40628805186</v>
      </c>
      <c r="K1077" s="7"/>
    </row>
    <row r="1078" spans="1:11" x14ac:dyDescent="0.25">
      <c r="A1078" s="1" t="s">
        <v>18</v>
      </c>
      <c r="B1078" s="2">
        <v>201303</v>
      </c>
      <c r="C1078" s="2">
        <v>202004</v>
      </c>
      <c r="D1078" s="10">
        <v>12550.137102777566</v>
      </c>
      <c r="E1078" s="10">
        <v>252665.45095597749</v>
      </c>
      <c r="F1078" s="1">
        <v>0</v>
      </c>
      <c r="G1078" s="1">
        <v>137</v>
      </c>
      <c r="H1078">
        <f t="shared" si="48"/>
        <v>2013</v>
      </c>
      <c r="I1078">
        <f t="shared" si="49"/>
        <v>2020</v>
      </c>
      <c r="J1078" s="7">
        <f t="shared" si="50"/>
        <v>265215.58805875503</v>
      </c>
      <c r="K1078" s="7"/>
    </row>
    <row r="1079" spans="1:11" x14ac:dyDescent="0.25">
      <c r="A1079" s="1" t="s">
        <v>18</v>
      </c>
      <c r="B1079" s="2">
        <v>201303</v>
      </c>
      <c r="C1079" s="2">
        <v>202101</v>
      </c>
      <c r="D1079" s="10">
        <v>11327.381865549474</v>
      </c>
      <c r="E1079" s="10">
        <v>254325.37092534357</v>
      </c>
      <c r="F1079" s="1">
        <v>0</v>
      </c>
      <c r="G1079" s="1">
        <v>126</v>
      </c>
      <c r="H1079">
        <f t="shared" si="48"/>
        <v>2013</v>
      </c>
      <c r="I1079">
        <f t="shared" si="49"/>
        <v>2021</v>
      </c>
      <c r="J1079" s="7">
        <f t="shared" si="50"/>
        <v>265652.75279089302</v>
      </c>
      <c r="K1079" s="7"/>
    </row>
    <row r="1080" spans="1:11" x14ac:dyDescent="0.25">
      <c r="A1080" s="1" t="s">
        <v>18</v>
      </c>
      <c r="B1080" s="2">
        <v>201303</v>
      </c>
      <c r="C1080" s="2">
        <v>202102</v>
      </c>
      <c r="D1080" s="10">
        <v>4485.8700899607138</v>
      </c>
      <c r="E1080" s="10">
        <v>253173.85427187712</v>
      </c>
      <c r="F1080" s="1">
        <v>0</v>
      </c>
      <c r="G1080" s="1">
        <v>126</v>
      </c>
      <c r="H1080">
        <f t="shared" si="48"/>
        <v>2013</v>
      </c>
      <c r="I1080">
        <f t="shared" si="49"/>
        <v>2021</v>
      </c>
      <c r="J1080" s="7">
        <f t="shared" si="50"/>
        <v>257659.72436183784</v>
      </c>
      <c r="K1080" s="7"/>
    </row>
    <row r="1081" spans="1:11" x14ac:dyDescent="0.25">
      <c r="A1081" s="1" t="s">
        <v>18</v>
      </c>
      <c r="B1081" s="2">
        <v>201303</v>
      </c>
      <c r="C1081" s="2">
        <v>202103</v>
      </c>
      <c r="D1081" s="10">
        <v>3826.2429756739884</v>
      </c>
      <c r="E1081" s="10">
        <v>251423.21541792536</v>
      </c>
      <c r="F1081" s="1">
        <v>0</v>
      </c>
      <c r="G1081" s="1">
        <v>123</v>
      </c>
      <c r="H1081">
        <f t="shared" si="48"/>
        <v>2013</v>
      </c>
      <c r="I1081">
        <f t="shared" si="49"/>
        <v>2021</v>
      </c>
      <c r="J1081" s="7">
        <f t="shared" si="50"/>
        <v>255249.45839359934</v>
      </c>
      <c r="K1081" s="7"/>
    </row>
    <row r="1082" spans="1:11" x14ac:dyDescent="0.25">
      <c r="A1082" s="1" t="s">
        <v>18</v>
      </c>
      <c r="B1082" s="2">
        <v>201303</v>
      </c>
      <c r="C1082" s="2">
        <v>202104</v>
      </c>
      <c r="D1082" s="10">
        <v>3221.6346339841189</v>
      </c>
      <c r="E1082" s="10">
        <v>403262.44901728811</v>
      </c>
      <c r="F1082" s="1">
        <v>0</v>
      </c>
      <c r="G1082" s="1">
        <v>117</v>
      </c>
      <c r="H1082">
        <f t="shared" si="48"/>
        <v>2013</v>
      </c>
      <c r="I1082">
        <f t="shared" si="49"/>
        <v>2021</v>
      </c>
      <c r="J1082" s="7">
        <f t="shared" si="50"/>
        <v>406484.08365127223</v>
      </c>
      <c r="K1082" s="7"/>
    </row>
    <row r="1083" spans="1:11" x14ac:dyDescent="0.25">
      <c r="A1083" s="1" t="s">
        <v>18</v>
      </c>
      <c r="B1083" s="2">
        <v>201304</v>
      </c>
      <c r="C1083" s="2">
        <v>201304</v>
      </c>
      <c r="D1083" s="10">
        <v>532081.31485111208</v>
      </c>
      <c r="E1083" s="10">
        <v>1618798.2587836043</v>
      </c>
      <c r="F1083" s="1">
        <v>15854</v>
      </c>
      <c r="G1083" s="1">
        <v>10335</v>
      </c>
      <c r="H1083">
        <f t="shared" si="48"/>
        <v>2013</v>
      </c>
      <c r="I1083">
        <f t="shared" si="49"/>
        <v>2013</v>
      </c>
      <c r="J1083" s="7">
        <f t="shared" si="50"/>
        <v>2150879.5736347162</v>
      </c>
      <c r="K1083" s="7"/>
    </row>
    <row r="1084" spans="1:11" x14ac:dyDescent="0.25">
      <c r="A1084" s="1" t="s">
        <v>18</v>
      </c>
      <c r="B1084" s="2">
        <v>201304</v>
      </c>
      <c r="C1084" s="2">
        <v>201401</v>
      </c>
      <c r="D1084" s="10">
        <v>752157.47420196433</v>
      </c>
      <c r="E1084" s="10">
        <v>1034658.4396909275</v>
      </c>
      <c r="F1084" s="1">
        <v>3337</v>
      </c>
      <c r="G1084" s="1">
        <v>6685</v>
      </c>
      <c r="H1084">
        <f t="shared" si="48"/>
        <v>2013</v>
      </c>
      <c r="I1084">
        <f t="shared" si="49"/>
        <v>2014</v>
      </c>
      <c r="J1084" s="7">
        <f t="shared" si="50"/>
        <v>1786815.9138928917</v>
      </c>
      <c r="K1084" s="7"/>
    </row>
    <row r="1085" spans="1:11" x14ac:dyDescent="0.25">
      <c r="A1085" s="1" t="s">
        <v>18</v>
      </c>
      <c r="B1085" s="2">
        <v>201304</v>
      </c>
      <c r="C1085" s="2">
        <v>201402</v>
      </c>
      <c r="D1085" s="10">
        <v>207454.47596912706</v>
      </c>
      <c r="E1085" s="10">
        <v>868281.3707509964</v>
      </c>
      <c r="F1085" s="1">
        <v>511</v>
      </c>
      <c r="G1085" s="1">
        <v>5261</v>
      </c>
      <c r="H1085">
        <f t="shared" si="48"/>
        <v>2013</v>
      </c>
      <c r="I1085">
        <f t="shared" si="49"/>
        <v>2014</v>
      </c>
      <c r="J1085" s="7">
        <f t="shared" si="50"/>
        <v>1075735.8467201234</v>
      </c>
      <c r="K1085" s="7"/>
    </row>
    <row r="1086" spans="1:11" x14ac:dyDescent="0.25">
      <c r="A1086" s="1" t="s">
        <v>18</v>
      </c>
      <c r="B1086" s="2">
        <v>201304</v>
      </c>
      <c r="C1086" s="2">
        <v>201403</v>
      </c>
      <c r="D1086" s="10">
        <v>122596.37846262497</v>
      </c>
      <c r="E1086" s="10">
        <v>768483.82653895824</v>
      </c>
      <c r="F1086" s="1">
        <v>185</v>
      </c>
      <c r="G1086" s="1">
        <v>4285</v>
      </c>
      <c r="H1086">
        <f t="shared" si="48"/>
        <v>2013</v>
      </c>
      <c r="I1086">
        <f t="shared" si="49"/>
        <v>2014</v>
      </c>
      <c r="J1086" s="7">
        <f t="shared" si="50"/>
        <v>891080.20500158321</v>
      </c>
      <c r="K1086" s="7"/>
    </row>
    <row r="1087" spans="1:11" x14ac:dyDescent="0.25">
      <c r="A1087" s="1" t="s">
        <v>18</v>
      </c>
      <c r="B1087" s="2">
        <v>201304</v>
      </c>
      <c r="C1087" s="2">
        <v>201404</v>
      </c>
      <c r="D1087" s="10">
        <v>79714.96913266927</v>
      </c>
      <c r="E1087" s="10">
        <v>756118.80097760272</v>
      </c>
      <c r="F1087" s="1">
        <v>85</v>
      </c>
      <c r="G1087" s="1">
        <v>3473</v>
      </c>
      <c r="H1087">
        <f t="shared" si="48"/>
        <v>2013</v>
      </c>
      <c r="I1087">
        <f t="shared" si="49"/>
        <v>2014</v>
      </c>
      <c r="J1087" s="7">
        <f t="shared" si="50"/>
        <v>835833.77011027199</v>
      </c>
      <c r="K1087" s="7"/>
    </row>
    <row r="1088" spans="1:11" x14ac:dyDescent="0.25">
      <c r="A1088" s="1" t="s">
        <v>18</v>
      </c>
      <c r="B1088" s="2">
        <v>201304</v>
      </c>
      <c r="C1088" s="2">
        <v>201501</v>
      </c>
      <c r="D1088" s="10">
        <v>58304.799249987875</v>
      </c>
      <c r="E1088" s="10">
        <v>593863.93044113799</v>
      </c>
      <c r="F1088" s="1">
        <v>50</v>
      </c>
      <c r="G1088" s="1">
        <v>2865</v>
      </c>
      <c r="H1088">
        <f t="shared" si="48"/>
        <v>2013</v>
      </c>
      <c r="I1088">
        <f t="shared" si="49"/>
        <v>2015</v>
      </c>
      <c r="J1088" s="7">
        <f t="shared" si="50"/>
        <v>652168.72969112592</v>
      </c>
      <c r="K1088" s="7"/>
    </row>
    <row r="1089" spans="1:11" x14ac:dyDescent="0.25">
      <c r="A1089" s="1" t="s">
        <v>18</v>
      </c>
      <c r="B1089" s="2">
        <v>201304</v>
      </c>
      <c r="C1089" s="2">
        <v>201502</v>
      </c>
      <c r="D1089" s="10">
        <v>37910.222884787894</v>
      </c>
      <c r="E1089" s="10">
        <v>536469.52039081091</v>
      </c>
      <c r="F1089" s="1">
        <v>31</v>
      </c>
      <c r="G1089" s="1">
        <v>2415</v>
      </c>
      <c r="H1089">
        <f t="shared" si="48"/>
        <v>2013</v>
      </c>
      <c r="I1089">
        <f t="shared" si="49"/>
        <v>2015</v>
      </c>
      <c r="J1089" s="7">
        <f t="shared" si="50"/>
        <v>574379.74327559886</v>
      </c>
      <c r="K1089" s="7"/>
    </row>
    <row r="1090" spans="1:11" x14ac:dyDescent="0.25">
      <c r="A1090" s="1" t="s">
        <v>18</v>
      </c>
      <c r="B1090" s="2">
        <v>201304</v>
      </c>
      <c r="C1090" s="2">
        <v>201503</v>
      </c>
      <c r="D1090" s="10">
        <v>33903.182135405252</v>
      </c>
      <c r="E1090" s="10">
        <v>488056.5094365672</v>
      </c>
      <c r="F1090" s="1">
        <v>40</v>
      </c>
      <c r="G1090" s="1">
        <v>2106</v>
      </c>
      <c r="H1090">
        <f t="shared" si="48"/>
        <v>2013</v>
      </c>
      <c r="I1090">
        <f t="shared" si="49"/>
        <v>2015</v>
      </c>
      <c r="J1090" s="7">
        <f t="shared" si="50"/>
        <v>521959.69157197245</v>
      </c>
      <c r="K1090" s="7"/>
    </row>
    <row r="1091" spans="1:11" x14ac:dyDescent="0.25">
      <c r="A1091" s="1" t="s">
        <v>18</v>
      </c>
      <c r="B1091" s="2">
        <v>201304</v>
      </c>
      <c r="C1091" s="2">
        <v>201504</v>
      </c>
      <c r="D1091" s="10">
        <v>28704.420445165459</v>
      </c>
      <c r="E1091" s="10">
        <v>476422.88396545657</v>
      </c>
      <c r="F1091" s="1">
        <v>20</v>
      </c>
      <c r="G1091" s="1">
        <v>1792</v>
      </c>
      <c r="H1091">
        <f t="shared" si="48"/>
        <v>2013</v>
      </c>
      <c r="I1091">
        <f t="shared" si="49"/>
        <v>2015</v>
      </c>
      <c r="J1091" s="7">
        <f t="shared" si="50"/>
        <v>505127.30441062205</v>
      </c>
      <c r="K1091" s="7"/>
    </row>
    <row r="1092" spans="1:11" x14ac:dyDescent="0.25">
      <c r="A1092" s="1" t="s">
        <v>18</v>
      </c>
      <c r="B1092" s="2">
        <v>201304</v>
      </c>
      <c r="C1092" s="2">
        <v>201601</v>
      </c>
      <c r="D1092" s="10">
        <v>24475.848742616698</v>
      </c>
      <c r="E1092" s="10">
        <v>375134.44346659549</v>
      </c>
      <c r="F1092" s="1">
        <v>9</v>
      </c>
      <c r="G1092" s="1">
        <v>1433</v>
      </c>
      <c r="H1092">
        <f t="shared" ref="H1092:H1155" si="51">VALUE(LEFT(B1092,4))</f>
        <v>2013</v>
      </c>
      <c r="I1092">
        <f t="shared" ref="I1092:I1155" si="52">VALUE(LEFT(C1092,4))</f>
        <v>2016</v>
      </c>
      <c r="J1092" s="7">
        <f t="shared" si="50"/>
        <v>399610.2922092122</v>
      </c>
      <c r="K1092" s="7"/>
    </row>
    <row r="1093" spans="1:11" x14ac:dyDescent="0.25">
      <c r="A1093" s="1" t="s">
        <v>18</v>
      </c>
      <c r="B1093" s="2">
        <v>201304</v>
      </c>
      <c r="C1093" s="2">
        <v>201602</v>
      </c>
      <c r="D1093" s="10">
        <v>16594.678686616207</v>
      </c>
      <c r="E1093" s="10">
        <v>340004.01959976688</v>
      </c>
      <c r="F1093" s="1">
        <v>9</v>
      </c>
      <c r="G1093" s="1">
        <v>1260</v>
      </c>
      <c r="H1093">
        <f t="shared" si="51"/>
        <v>2013</v>
      </c>
      <c r="I1093">
        <f t="shared" si="52"/>
        <v>2016</v>
      </c>
      <c r="J1093" s="7">
        <f t="shared" ref="J1093:J1156" si="53">D1093+E1093</f>
        <v>356598.69828638306</v>
      </c>
      <c r="K1093" s="7"/>
    </row>
    <row r="1094" spans="1:11" x14ac:dyDescent="0.25">
      <c r="A1094" s="1" t="s">
        <v>18</v>
      </c>
      <c r="B1094" s="2">
        <v>201304</v>
      </c>
      <c r="C1094" s="2">
        <v>201603</v>
      </c>
      <c r="D1094" s="10">
        <v>13602.711866443253</v>
      </c>
      <c r="E1094" s="10">
        <v>314347.5429633272</v>
      </c>
      <c r="F1094" s="1">
        <v>12</v>
      </c>
      <c r="G1094" s="1">
        <v>1094</v>
      </c>
      <c r="H1094">
        <f t="shared" si="51"/>
        <v>2013</v>
      </c>
      <c r="I1094">
        <f t="shared" si="52"/>
        <v>2016</v>
      </c>
      <c r="J1094" s="7">
        <f t="shared" si="53"/>
        <v>327950.25482977048</v>
      </c>
      <c r="K1094" s="7"/>
    </row>
    <row r="1095" spans="1:11" x14ac:dyDescent="0.25">
      <c r="A1095" s="1" t="s">
        <v>18</v>
      </c>
      <c r="B1095" s="2">
        <v>201304</v>
      </c>
      <c r="C1095" s="2">
        <v>201604</v>
      </c>
      <c r="D1095" s="10">
        <v>14663.363257791871</v>
      </c>
      <c r="E1095" s="10">
        <v>299545.38576510368</v>
      </c>
      <c r="F1095" s="1">
        <v>8</v>
      </c>
      <c r="G1095" s="1">
        <v>837</v>
      </c>
      <c r="H1095">
        <f t="shared" si="51"/>
        <v>2013</v>
      </c>
      <c r="I1095">
        <f t="shared" si="52"/>
        <v>2016</v>
      </c>
      <c r="J1095" s="7">
        <f t="shared" si="53"/>
        <v>314208.74902289553</v>
      </c>
      <c r="K1095" s="7"/>
    </row>
    <row r="1096" spans="1:11" x14ac:dyDescent="0.25">
      <c r="A1096" s="1" t="s">
        <v>18</v>
      </c>
      <c r="B1096" s="2">
        <v>201304</v>
      </c>
      <c r="C1096" s="2">
        <v>201701</v>
      </c>
      <c r="D1096" s="10">
        <v>11134.40784349087</v>
      </c>
      <c r="E1096" s="10">
        <v>243374.51882605947</v>
      </c>
      <c r="F1096" s="1">
        <v>5</v>
      </c>
      <c r="G1096" s="1">
        <v>713</v>
      </c>
      <c r="H1096">
        <f t="shared" si="51"/>
        <v>2013</v>
      </c>
      <c r="I1096">
        <f t="shared" si="52"/>
        <v>2017</v>
      </c>
      <c r="J1096" s="7">
        <f t="shared" si="53"/>
        <v>254508.92666955033</v>
      </c>
      <c r="K1096" s="7"/>
    </row>
    <row r="1097" spans="1:11" x14ac:dyDescent="0.25">
      <c r="A1097" s="1" t="s">
        <v>18</v>
      </c>
      <c r="B1097" s="2">
        <v>201304</v>
      </c>
      <c r="C1097" s="2">
        <v>201702</v>
      </c>
      <c r="D1097" s="10">
        <v>7111.3840830016397</v>
      </c>
      <c r="E1097" s="10">
        <v>237045.27725842077</v>
      </c>
      <c r="F1097" s="1">
        <v>1</v>
      </c>
      <c r="G1097" s="1">
        <v>514</v>
      </c>
      <c r="H1097">
        <f t="shared" si="51"/>
        <v>2013</v>
      </c>
      <c r="I1097">
        <f t="shared" si="52"/>
        <v>2017</v>
      </c>
      <c r="J1097" s="7">
        <f t="shared" si="53"/>
        <v>244156.66134142241</v>
      </c>
      <c r="K1097" s="7"/>
    </row>
    <row r="1098" spans="1:11" x14ac:dyDescent="0.25">
      <c r="A1098" s="1" t="s">
        <v>18</v>
      </c>
      <c r="B1098" s="2">
        <v>201304</v>
      </c>
      <c r="C1098" s="2">
        <v>201703</v>
      </c>
      <c r="D1098" s="10">
        <v>9719.2115438728124</v>
      </c>
      <c r="E1098" s="10">
        <v>194619.39668916169</v>
      </c>
      <c r="F1098" s="1">
        <v>0</v>
      </c>
      <c r="G1098" s="1">
        <v>381</v>
      </c>
      <c r="H1098">
        <f t="shared" si="51"/>
        <v>2013</v>
      </c>
      <c r="I1098">
        <f t="shared" si="52"/>
        <v>2017</v>
      </c>
      <c r="J1098" s="7">
        <f t="shared" si="53"/>
        <v>204338.60823303449</v>
      </c>
      <c r="K1098" s="7"/>
    </row>
    <row r="1099" spans="1:11" x14ac:dyDescent="0.25">
      <c r="A1099" s="1" t="s">
        <v>18</v>
      </c>
      <c r="B1099" s="2">
        <v>201304</v>
      </c>
      <c r="C1099" s="2">
        <v>201704</v>
      </c>
      <c r="D1099" s="10">
        <v>2742.9088612242426</v>
      </c>
      <c r="E1099" s="10">
        <v>191838.27720078806</v>
      </c>
      <c r="F1099" s="1">
        <v>0</v>
      </c>
      <c r="G1099" s="1">
        <v>277</v>
      </c>
      <c r="H1099">
        <f t="shared" si="51"/>
        <v>2013</v>
      </c>
      <c r="I1099">
        <f t="shared" si="52"/>
        <v>2017</v>
      </c>
      <c r="J1099" s="7">
        <f t="shared" si="53"/>
        <v>194581.1860620123</v>
      </c>
      <c r="K1099" s="7"/>
    </row>
    <row r="1100" spans="1:11" x14ac:dyDescent="0.25">
      <c r="A1100" s="1" t="s">
        <v>18</v>
      </c>
      <c r="B1100" s="2">
        <v>201304</v>
      </c>
      <c r="C1100" s="2">
        <v>201801</v>
      </c>
      <c r="D1100" s="10">
        <v>6653.2305574872753</v>
      </c>
      <c r="E1100" s="10">
        <v>191848.15752258996</v>
      </c>
      <c r="F1100" s="1">
        <v>0</v>
      </c>
      <c r="G1100" s="1">
        <v>311</v>
      </c>
      <c r="H1100">
        <f t="shared" si="51"/>
        <v>2013</v>
      </c>
      <c r="I1100">
        <f t="shared" si="52"/>
        <v>2018</v>
      </c>
      <c r="J1100" s="7">
        <f t="shared" si="53"/>
        <v>198501.38808007725</v>
      </c>
      <c r="K1100" s="7"/>
    </row>
    <row r="1101" spans="1:11" x14ac:dyDescent="0.25">
      <c r="A1101" s="1" t="s">
        <v>18</v>
      </c>
      <c r="B1101" s="2">
        <v>201304</v>
      </c>
      <c r="C1101" s="2">
        <v>201802</v>
      </c>
      <c r="D1101" s="10">
        <v>3006.0797548095843</v>
      </c>
      <c r="E1101" s="10">
        <v>177595.37650750851</v>
      </c>
      <c r="F1101" s="1">
        <v>0</v>
      </c>
      <c r="G1101" s="1">
        <v>239</v>
      </c>
      <c r="H1101">
        <f t="shared" si="51"/>
        <v>2013</v>
      </c>
      <c r="I1101">
        <f t="shared" si="52"/>
        <v>2018</v>
      </c>
      <c r="J1101" s="7">
        <f t="shared" si="53"/>
        <v>180601.4562623181</v>
      </c>
      <c r="K1101" s="7"/>
    </row>
    <row r="1102" spans="1:11" x14ac:dyDescent="0.25">
      <c r="A1102" s="1" t="s">
        <v>18</v>
      </c>
      <c r="B1102" s="2">
        <v>201304</v>
      </c>
      <c r="C1102" s="2">
        <v>201803</v>
      </c>
      <c r="D1102" s="10">
        <v>6743.1998403118305</v>
      </c>
      <c r="E1102" s="10">
        <v>168903.41066977766</v>
      </c>
      <c r="F1102" s="1">
        <v>0</v>
      </c>
      <c r="G1102" s="1">
        <v>234</v>
      </c>
      <c r="H1102">
        <f t="shared" si="51"/>
        <v>2013</v>
      </c>
      <c r="I1102">
        <f t="shared" si="52"/>
        <v>2018</v>
      </c>
      <c r="J1102" s="7">
        <f t="shared" si="53"/>
        <v>175646.61051008949</v>
      </c>
      <c r="K1102" s="7"/>
    </row>
    <row r="1103" spans="1:11" x14ac:dyDescent="0.25">
      <c r="A1103" s="1" t="s">
        <v>18</v>
      </c>
      <c r="B1103" s="2">
        <v>201304</v>
      </c>
      <c r="C1103" s="2">
        <v>201804</v>
      </c>
      <c r="D1103" s="10">
        <v>-1205.4537644633972</v>
      </c>
      <c r="E1103" s="10">
        <v>150533.05691110081</v>
      </c>
      <c r="F1103" s="1">
        <v>0</v>
      </c>
      <c r="G1103" s="1">
        <v>190</v>
      </c>
      <c r="H1103">
        <f t="shared" si="51"/>
        <v>2013</v>
      </c>
      <c r="I1103">
        <f t="shared" si="52"/>
        <v>2018</v>
      </c>
      <c r="J1103" s="7">
        <f t="shared" si="53"/>
        <v>149327.60314663741</v>
      </c>
      <c r="K1103" s="7"/>
    </row>
    <row r="1104" spans="1:11" x14ac:dyDescent="0.25">
      <c r="A1104" s="1" t="s">
        <v>18</v>
      </c>
      <c r="B1104" s="2">
        <v>201304</v>
      </c>
      <c r="C1104" s="2">
        <v>201901</v>
      </c>
      <c r="D1104" s="10">
        <v>4564.6277853980091</v>
      </c>
      <c r="E1104" s="10">
        <v>152320.52187632647</v>
      </c>
      <c r="F1104" s="1">
        <v>0</v>
      </c>
      <c r="G1104" s="1">
        <v>186</v>
      </c>
      <c r="H1104">
        <f t="shared" si="51"/>
        <v>2013</v>
      </c>
      <c r="I1104">
        <f t="shared" si="52"/>
        <v>2019</v>
      </c>
      <c r="J1104" s="7">
        <f t="shared" si="53"/>
        <v>156885.14966172448</v>
      </c>
      <c r="K1104" s="7"/>
    </row>
    <row r="1105" spans="1:11" x14ac:dyDescent="0.25">
      <c r="A1105" s="1" t="s">
        <v>18</v>
      </c>
      <c r="B1105" s="2">
        <v>201304</v>
      </c>
      <c r="C1105" s="2">
        <v>201902</v>
      </c>
      <c r="D1105" s="10">
        <v>3229.286617201305</v>
      </c>
      <c r="E1105" s="10">
        <v>147788.98933762222</v>
      </c>
      <c r="F1105" s="1">
        <v>0</v>
      </c>
      <c r="G1105" s="1">
        <v>185</v>
      </c>
      <c r="H1105">
        <f t="shared" si="51"/>
        <v>2013</v>
      </c>
      <c r="I1105">
        <f t="shared" si="52"/>
        <v>2019</v>
      </c>
      <c r="J1105" s="7">
        <f t="shared" si="53"/>
        <v>151018.27595482353</v>
      </c>
      <c r="K1105" s="7"/>
    </row>
    <row r="1106" spans="1:11" x14ac:dyDescent="0.25">
      <c r="A1106" s="1" t="s">
        <v>18</v>
      </c>
      <c r="B1106" s="2">
        <v>201304</v>
      </c>
      <c r="C1106" s="2">
        <v>201903</v>
      </c>
      <c r="D1106" s="10">
        <v>186.689130048468</v>
      </c>
      <c r="E1106" s="10">
        <v>140174.5615075159</v>
      </c>
      <c r="F1106" s="1">
        <v>0</v>
      </c>
      <c r="G1106" s="1">
        <v>181</v>
      </c>
      <c r="H1106">
        <f t="shared" si="51"/>
        <v>2013</v>
      </c>
      <c r="I1106">
        <f t="shared" si="52"/>
        <v>2019</v>
      </c>
      <c r="J1106" s="7">
        <f t="shared" si="53"/>
        <v>140361.25063756437</v>
      </c>
      <c r="K1106" s="7"/>
    </row>
    <row r="1107" spans="1:11" x14ac:dyDescent="0.25">
      <c r="A1107" s="1" t="s">
        <v>18</v>
      </c>
      <c r="B1107" s="2">
        <v>201304</v>
      </c>
      <c r="C1107" s="2">
        <v>201904</v>
      </c>
      <c r="D1107" s="10">
        <v>-57.338185494909702</v>
      </c>
      <c r="E1107" s="10">
        <v>131669.85540186078</v>
      </c>
      <c r="F1107" s="1">
        <v>0</v>
      </c>
      <c r="G1107" s="1">
        <v>174</v>
      </c>
      <c r="H1107">
        <f t="shared" si="51"/>
        <v>2013</v>
      </c>
      <c r="I1107">
        <f t="shared" si="52"/>
        <v>2019</v>
      </c>
      <c r="J1107" s="7">
        <f t="shared" si="53"/>
        <v>131612.51721636587</v>
      </c>
      <c r="K1107" s="7"/>
    </row>
    <row r="1108" spans="1:11" x14ac:dyDescent="0.25">
      <c r="A1108" s="1" t="s">
        <v>18</v>
      </c>
      <c r="B1108" s="2">
        <v>201304</v>
      </c>
      <c r="C1108" s="2">
        <v>202001</v>
      </c>
      <c r="D1108" s="10">
        <v>3520.6962328934533</v>
      </c>
      <c r="E1108" s="10">
        <v>125899.4758312898</v>
      </c>
      <c r="F1108" s="1">
        <v>0</v>
      </c>
      <c r="G1108" s="1">
        <v>160</v>
      </c>
      <c r="H1108">
        <f t="shared" si="51"/>
        <v>2013</v>
      </c>
      <c r="I1108">
        <f t="shared" si="52"/>
        <v>2020</v>
      </c>
      <c r="J1108" s="7">
        <f t="shared" si="53"/>
        <v>129420.17206418325</v>
      </c>
      <c r="K1108" s="7"/>
    </row>
    <row r="1109" spans="1:11" x14ac:dyDescent="0.25">
      <c r="A1109" s="1" t="s">
        <v>18</v>
      </c>
      <c r="B1109" s="2">
        <v>201304</v>
      </c>
      <c r="C1109" s="2">
        <v>202002</v>
      </c>
      <c r="D1109" s="10">
        <v>2978.3027915348312</v>
      </c>
      <c r="E1109" s="10">
        <v>117728.84021343413</v>
      </c>
      <c r="F1109" s="1">
        <v>0</v>
      </c>
      <c r="G1109" s="1">
        <v>148</v>
      </c>
      <c r="H1109">
        <f t="shared" si="51"/>
        <v>2013</v>
      </c>
      <c r="I1109">
        <f t="shared" si="52"/>
        <v>2020</v>
      </c>
      <c r="J1109" s="7">
        <f t="shared" si="53"/>
        <v>120707.14300496897</v>
      </c>
      <c r="K1109" s="7"/>
    </row>
    <row r="1110" spans="1:11" x14ac:dyDescent="0.25">
      <c r="A1110" s="1" t="s">
        <v>18</v>
      </c>
      <c r="B1110" s="2">
        <v>201304</v>
      </c>
      <c r="C1110" s="2">
        <v>202003</v>
      </c>
      <c r="D1110" s="10">
        <v>1901.8336710140914</v>
      </c>
      <c r="E1110" s="10">
        <v>116819.51641530771</v>
      </c>
      <c r="F1110" s="1">
        <v>0</v>
      </c>
      <c r="G1110" s="1">
        <v>142</v>
      </c>
      <c r="H1110">
        <f t="shared" si="51"/>
        <v>2013</v>
      </c>
      <c r="I1110">
        <f t="shared" si="52"/>
        <v>2020</v>
      </c>
      <c r="J1110" s="7">
        <f t="shared" si="53"/>
        <v>118721.35008632179</v>
      </c>
      <c r="K1110" s="7"/>
    </row>
    <row r="1111" spans="1:11" x14ac:dyDescent="0.25">
      <c r="A1111" s="1" t="s">
        <v>18</v>
      </c>
      <c r="B1111" s="2">
        <v>201304</v>
      </c>
      <c r="C1111" s="2">
        <v>202004</v>
      </c>
      <c r="D1111" s="10">
        <v>-373.96446663775725</v>
      </c>
      <c r="E1111" s="10">
        <v>117623.32871996517</v>
      </c>
      <c r="F1111" s="1">
        <v>0</v>
      </c>
      <c r="G1111" s="1">
        <v>123</v>
      </c>
      <c r="H1111">
        <f t="shared" si="51"/>
        <v>2013</v>
      </c>
      <c r="I1111">
        <f t="shared" si="52"/>
        <v>2020</v>
      </c>
      <c r="J1111" s="7">
        <f t="shared" si="53"/>
        <v>117249.36425332741</v>
      </c>
      <c r="K1111" s="7"/>
    </row>
    <row r="1112" spans="1:11" x14ac:dyDescent="0.25">
      <c r="A1112" s="1" t="s">
        <v>18</v>
      </c>
      <c r="B1112" s="2">
        <v>201304</v>
      </c>
      <c r="C1112" s="2">
        <v>202101</v>
      </c>
      <c r="D1112" s="10">
        <v>154.21568486248572</v>
      </c>
      <c r="E1112" s="10">
        <v>118174.42846477567</v>
      </c>
      <c r="F1112" s="1">
        <v>0</v>
      </c>
      <c r="G1112" s="1">
        <v>120</v>
      </c>
      <c r="H1112">
        <f t="shared" si="51"/>
        <v>2013</v>
      </c>
      <c r="I1112">
        <f t="shared" si="52"/>
        <v>2021</v>
      </c>
      <c r="J1112" s="7">
        <f t="shared" si="53"/>
        <v>118328.64414963816</v>
      </c>
      <c r="K1112" s="7"/>
    </row>
    <row r="1113" spans="1:11" x14ac:dyDescent="0.25">
      <c r="A1113" s="1" t="s">
        <v>18</v>
      </c>
      <c r="B1113" s="2">
        <v>201304</v>
      </c>
      <c r="C1113" s="2">
        <v>202102</v>
      </c>
      <c r="D1113" s="10">
        <v>1090.7729065748788</v>
      </c>
      <c r="E1113" s="10">
        <v>119246.15296421039</v>
      </c>
      <c r="F1113" s="1">
        <v>0</v>
      </c>
      <c r="G1113" s="1">
        <v>119</v>
      </c>
      <c r="H1113">
        <f t="shared" si="51"/>
        <v>2013</v>
      </c>
      <c r="I1113">
        <f t="shared" si="52"/>
        <v>2021</v>
      </c>
      <c r="J1113" s="7">
        <f t="shared" si="53"/>
        <v>120336.92587078526</v>
      </c>
      <c r="K1113" s="7"/>
    </row>
    <row r="1114" spans="1:11" x14ac:dyDescent="0.25">
      <c r="A1114" s="1" t="s">
        <v>18</v>
      </c>
      <c r="B1114" s="2">
        <v>201304</v>
      </c>
      <c r="C1114" s="2">
        <v>202103</v>
      </c>
      <c r="D1114" s="10">
        <v>214.5600287703702</v>
      </c>
      <c r="E1114" s="10">
        <v>119512.03846430939</v>
      </c>
      <c r="F1114" s="1">
        <v>0</v>
      </c>
      <c r="G1114" s="1">
        <v>110</v>
      </c>
      <c r="H1114">
        <f t="shared" si="51"/>
        <v>2013</v>
      </c>
      <c r="I1114">
        <f t="shared" si="52"/>
        <v>2021</v>
      </c>
      <c r="J1114" s="7">
        <f t="shared" si="53"/>
        <v>119726.59849307976</v>
      </c>
      <c r="K1114" s="7"/>
    </row>
    <row r="1115" spans="1:11" x14ac:dyDescent="0.25">
      <c r="A1115" s="1" t="s">
        <v>18</v>
      </c>
      <c r="B1115" s="2">
        <v>201304</v>
      </c>
      <c r="C1115" s="2">
        <v>202104</v>
      </c>
      <c r="D1115" s="10">
        <v>-95.236968833030289</v>
      </c>
      <c r="E1115" s="10">
        <v>115152.56143905636</v>
      </c>
      <c r="F1115" s="1">
        <v>0</v>
      </c>
      <c r="G1115" s="1">
        <v>103</v>
      </c>
      <c r="H1115">
        <f t="shared" si="51"/>
        <v>2013</v>
      </c>
      <c r="I1115">
        <f t="shared" si="52"/>
        <v>2021</v>
      </c>
      <c r="J1115" s="7">
        <f t="shared" si="53"/>
        <v>115057.32447022332</v>
      </c>
      <c r="K1115" s="7"/>
    </row>
    <row r="1116" spans="1:11" x14ac:dyDescent="0.25">
      <c r="A1116" s="1" t="s">
        <v>18</v>
      </c>
      <c r="B1116" s="2">
        <v>201401</v>
      </c>
      <c r="C1116" s="2">
        <v>201401</v>
      </c>
      <c r="D1116" s="10">
        <v>729325.87837610953</v>
      </c>
      <c r="E1116" s="10">
        <v>1214218.0697460787</v>
      </c>
      <c r="F1116" s="1">
        <v>16819</v>
      </c>
      <c r="G1116" s="1">
        <v>9705</v>
      </c>
      <c r="H1116">
        <f t="shared" si="51"/>
        <v>2014</v>
      </c>
      <c r="I1116">
        <f t="shared" si="52"/>
        <v>2014</v>
      </c>
      <c r="J1116" s="7">
        <f t="shared" si="53"/>
        <v>1943543.9481221882</v>
      </c>
      <c r="K1116" s="7"/>
    </row>
    <row r="1117" spans="1:11" x14ac:dyDescent="0.25">
      <c r="A1117" s="1" t="s">
        <v>18</v>
      </c>
      <c r="B1117" s="2">
        <v>201401</v>
      </c>
      <c r="C1117" s="2">
        <v>201402</v>
      </c>
      <c r="D1117" s="10">
        <v>750362.39802908793</v>
      </c>
      <c r="E1117" s="10">
        <v>921998.11827059556</v>
      </c>
      <c r="F1117" s="1">
        <v>2821</v>
      </c>
      <c r="G1117" s="1">
        <v>6365</v>
      </c>
      <c r="H1117">
        <f t="shared" si="51"/>
        <v>2014</v>
      </c>
      <c r="I1117">
        <f t="shared" si="52"/>
        <v>2014</v>
      </c>
      <c r="J1117" s="7">
        <f t="shared" si="53"/>
        <v>1672360.5162996836</v>
      </c>
      <c r="K1117" s="7"/>
    </row>
    <row r="1118" spans="1:11" x14ac:dyDescent="0.25">
      <c r="A1118" s="1" t="s">
        <v>18</v>
      </c>
      <c r="B1118" s="2">
        <v>201401</v>
      </c>
      <c r="C1118" s="2">
        <v>201403</v>
      </c>
      <c r="D1118" s="10">
        <v>335976.95573042886</v>
      </c>
      <c r="E1118" s="10">
        <v>753978.28204925242</v>
      </c>
      <c r="F1118" s="1">
        <v>449</v>
      </c>
      <c r="G1118" s="1">
        <v>4826</v>
      </c>
      <c r="H1118">
        <f t="shared" si="51"/>
        <v>2014</v>
      </c>
      <c r="I1118">
        <f t="shared" si="52"/>
        <v>2014</v>
      </c>
      <c r="J1118" s="7">
        <f t="shared" si="53"/>
        <v>1089955.2377796813</v>
      </c>
      <c r="K1118" s="7"/>
    </row>
    <row r="1119" spans="1:11" x14ac:dyDescent="0.25">
      <c r="A1119" s="1" t="s">
        <v>18</v>
      </c>
      <c r="B1119" s="2">
        <v>201401</v>
      </c>
      <c r="C1119" s="2">
        <v>201404</v>
      </c>
      <c r="D1119" s="10">
        <v>287254.17903391633</v>
      </c>
      <c r="E1119" s="10">
        <v>731960.52813484485</v>
      </c>
      <c r="F1119" s="1">
        <v>209</v>
      </c>
      <c r="G1119" s="1">
        <v>4019</v>
      </c>
      <c r="H1119">
        <f t="shared" si="51"/>
        <v>2014</v>
      </c>
      <c r="I1119">
        <f t="shared" si="52"/>
        <v>2014</v>
      </c>
      <c r="J1119" s="7">
        <f t="shared" si="53"/>
        <v>1019214.7071687612</v>
      </c>
      <c r="K1119" s="7"/>
    </row>
    <row r="1120" spans="1:11" x14ac:dyDescent="0.25">
      <c r="A1120" s="1" t="s">
        <v>18</v>
      </c>
      <c r="B1120" s="2">
        <v>201401</v>
      </c>
      <c r="C1120" s="2">
        <v>201501</v>
      </c>
      <c r="D1120" s="10">
        <v>253101.8261518754</v>
      </c>
      <c r="E1120" s="10">
        <v>549157.28928813571</v>
      </c>
      <c r="F1120" s="1">
        <v>158</v>
      </c>
      <c r="G1120" s="1">
        <v>3218</v>
      </c>
      <c r="H1120">
        <f t="shared" si="51"/>
        <v>2014</v>
      </c>
      <c r="I1120">
        <f t="shared" si="52"/>
        <v>2015</v>
      </c>
      <c r="J1120" s="7">
        <f t="shared" si="53"/>
        <v>802259.11544001114</v>
      </c>
      <c r="K1120" s="7"/>
    </row>
    <row r="1121" spans="1:11" x14ac:dyDescent="0.25">
      <c r="A1121" s="1" t="s">
        <v>18</v>
      </c>
      <c r="B1121" s="2">
        <v>201401</v>
      </c>
      <c r="C1121" s="2">
        <v>201502</v>
      </c>
      <c r="D1121" s="10">
        <v>95648.888316613171</v>
      </c>
      <c r="E1121" s="10">
        <v>482399.61149008013</v>
      </c>
      <c r="F1121" s="1">
        <v>54</v>
      </c>
      <c r="G1121" s="1">
        <v>2820</v>
      </c>
      <c r="H1121">
        <f t="shared" si="51"/>
        <v>2014</v>
      </c>
      <c r="I1121">
        <f t="shared" si="52"/>
        <v>2015</v>
      </c>
      <c r="J1121" s="7">
        <f t="shared" si="53"/>
        <v>578048.49980669329</v>
      </c>
      <c r="K1121" s="7"/>
    </row>
    <row r="1122" spans="1:11" x14ac:dyDescent="0.25">
      <c r="A1122" s="1" t="s">
        <v>18</v>
      </c>
      <c r="B1122" s="2">
        <v>201401</v>
      </c>
      <c r="C1122" s="2">
        <v>201503</v>
      </c>
      <c r="D1122" s="10">
        <v>62856.803819714252</v>
      </c>
      <c r="E1122" s="10">
        <v>433374.73593473306</v>
      </c>
      <c r="F1122" s="1">
        <v>37</v>
      </c>
      <c r="G1122" s="1">
        <v>2469</v>
      </c>
      <c r="H1122">
        <f t="shared" si="51"/>
        <v>2014</v>
      </c>
      <c r="I1122">
        <f t="shared" si="52"/>
        <v>2015</v>
      </c>
      <c r="J1122" s="7">
        <f t="shared" si="53"/>
        <v>496231.53975444729</v>
      </c>
      <c r="K1122" s="7"/>
    </row>
    <row r="1123" spans="1:11" x14ac:dyDescent="0.25">
      <c r="A1123" s="1" t="s">
        <v>18</v>
      </c>
      <c r="B1123" s="2">
        <v>201401</v>
      </c>
      <c r="C1123" s="2">
        <v>201504</v>
      </c>
      <c r="D1123" s="10">
        <v>37567.042845176606</v>
      </c>
      <c r="E1123" s="10">
        <v>439093.70065896132</v>
      </c>
      <c r="F1123" s="1">
        <v>26</v>
      </c>
      <c r="G1123" s="1">
        <v>1994</v>
      </c>
      <c r="H1123">
        <f t="shared" si="51"/>
        <v>2014</v>
      </c>
      <c r="I1123">
        <f t="shared" si="52"/>
        <v>2015</v>
      </c>
      <c r="J1123" s="7">
        <f t="shared" si="53"/>
        <v>476660.74350413791</v>
      </c>
      <c r="K1123" s="7"/>
    </row>
    <row r="1124" spans="1:11" x14ac:dyDescent="0.25">
      <c r="A1124" s="1" t="s">
        <v>18</v>
      </c>
      <c r="B1124" s="2">
        <v>201401</v>
      </c>
      <c r="C1124" s="2">
        <v>201601</v>
      </c>
      <c r="D1124" s="10">
        <v>38997.650554548738</v>
      </c>
      <c r="E1124" s="10">
        <v>327164.2954473361</v>
      </c>
      <c r="F1124" s="1">
        <v>19</v>
      </c>
      <c r="G1124" s="1">
        <v>1607</v>
      </c>
      <c r="H1124">
        <f t="shared" si="51"/>
        <v>2014</v>
      </c>
      <c r="I1124">
        <f t="shared" si="52"/>
        <v>2016</v>
      </c>
      <c r="J1124" s="7">
        <f t="shared" si="53"/>
        <v>366161.94600188482</v>
      </c>
      <c r="K1124" s="7"/>
    </row>
    <row r="1125" spans="1:11" x14ac:dyDescent="0.25">
      <c r="A1125" s="1" t="s">
        <v>18</v>
      </c>
      <c r="B1125" s="2">
        <v>201401</v>
      </c>
      <c r="C1125" s="2">
        <v>201602</v>
      </c>
      <c r="D1125" s="10">
        <v>21302.792730383011</v>
      </c>
      <c r="E1125" s="10">
        <v>299552.85629586608</v>
      </c>
      <c r="F1125" s="1">
        <v>11</v>
      </c>
      <c r="G1125" s="1">
        <v>1415</v>
      </c>
      <c r="H1125">
        <f t="shared" si="51"/>
        <v>2014</v>
      </c>
      <c r="I1125">
        <f t="shared" si="52"/>
        <v>2016</v>
      </c>
      <c r="J1125" s="7">
        <f t="shared" si="53"/>
        <v>320855.64902624907</v>
      </c>
      <c r="K1125" s="7"/>
    </row>
    <row r="1126" spans="1:11" x14ac:dyDescent="0.25">
      <c r="A1126" s="1" t="s">
        <v>18</v>
      </c>
      <c r="B1126" s="2">
        <v>201401</v>
      </c>
      <c r="C1126" s="2">
        <v>201603</v>
      </c>
      <c r="D1126" s="10">
        <v>65139.947904309905</v>
      </c>
      <c r="E1126" s="10">
        <v>277867.34665180417</v>
      </c>
      <c r="F1126" s="1">
        <v>11</v>
      </c>
      <c r="G1126" s="1">
        <v>1308</v>
      </c>
      <c r="H1126">
        <f t="shared" si="51"/>
        <v>2014</v>
      </c>
      <c r="I1126">
        <f t="shared" si="52"/>
        <v>2016</v>
      </c>
      <c r="J1126" s="7">
        <f t="shared" si="53"/>
        <v>343007.29455611407</v>
      </c>
      <c r="K1126" s="7"/>
    </row>
    <row r="1127" spans="1:11" x14ac:dyDescent="0.25">
      <c r="A1127" s="1" t="s">
        <v>18</v>
      </c>
      <c r="B1127" s="2">
        <v>201401</v>
      </c>
      <c r="C1127" s="2">
        <v>201604</v>
      </c>
      <c r="D1127" s="10">
        <v>29962.128493240052</v>
      </c>
      <c r="E1127" s="10">
        <v>278154.74404085783</v>
      </c>
      <c r="F1127" s="1">
        <v>5</v>
      </c>
      <c r="G1127" s="1">
        <v>1012</v>
      </c>
      <c r="H1127">
        <f t="shared" si="51"/>
        <v>2014</v>
      </c>
      <c r="I1127">
        <f t="shared" si="52"/>
        <v>2016</v>
      </c>
      <c r="J1127" s="7">
        <f t="shared" si="53"/>
        <v>308116.87253409787</v>
      </c>
      <c r="K1127" s="7"/>
    </row>
    <row r="1128" spans="1:11" x14ac:dyDescent="0.25">
      <c r="A1128" s="1" t="s">
        <v>18</v>
      </c>
      <c r="B1128" s="2">
        <v>201401</v>
      </c>
      <c r="C1128" s="2">
        <v>201701</v>
      </c>
      <c r="D1128" s="10">
        <v>16062.822484666262</v>
      </c>
      <c r="E1128" s="10">
        <v>225641.26941370778</v>
      </c>
      <c r="F1128" s="1">
        <v>6</v>
      </c>
      <c r="G1128" s="1">
        <v>746</v>
      </c>
      <c r="H1128">
        <f t="shared" si="51"/>
        <v>2014</v>
      </c>
      <c r="I1128">
        <f t="shared" si="52"/>
        <v>2017</v>
      </c>
      <c r="J1128" s="7">
        <f t="shared" si="53"/>
        <v>241704.09189837403</v>
      </c>
      <c r="K1128" s="7"/>
    </row>
    <row r="1129" spans="1:11" x14ac:dyDescent="0.25">
      <c r="A1129" s="1" t="s">
        <v>18</v>
      </c>
      <c r="B1129" s="2">
        <v>201401</v>
      </c>
      <c r="C1129" s="2">
        <v>201702</v>
      </c>
      <c r="D1129" s="10">
        <v>21902.791107227124</v>
      </c>
      <c r="E1129" s="10">
        <v>218434.5667850922</v>
      </c>
      <c r="F1129" s="1">
        <v>0</v>
      </c>
      <c r="G1129" s="1">
        <v>655</v>
      </c>
      <c r="H1129">
        <f t="shared" si="51"/>
        <v>2014</v>
      </c>
      <c r="I1129">
        <f t="shared" si="52"/>
        <v>2017</v>
      </c>
      <c r="J1129" s="7">
        <f t="shared" si="53"/>
        <v>240337.35789231933</v>
      </c>
      <c r="K1129" s="7"/>
    </row>
    <row r="1130" spans="1:11" x14ac:dyDescent="0.25">
      <c r="A1130" s="1" t="s">
        <v>18</v>
      </c>
      <c r="B1130" s="2">
        <v>201401</v>
      </c>
      <c r="C1130" s="2">
        <v>201703</v>
      </c>
      <c r="D1130" s="10">
        <v>9307.1105729482715</v>
      </c>
      <c r="E1130" s="10">
        <v>180617.60230825489</v>
      </c>
      <c r="F1130" s="1">
        <v>0</v>
      </c>
      <c r="G1130" s="1">
        <v>434</v>
      </c>
      <c r="H1130">
        <f t="shared" si="51"/>
        <v>2014</v>
      </c>
      <c r="I1130">
        <f t="shared" si="52"/>
        <v>2017</v>
      </c>
      <c r="J1130" s="7">
        <f t="shared" si="53"/>
        <v>189924.71288120316</v>
      </c>
      <c r="K1130" s="7"/>
    </row>
    <row r="1131" spans="1:11" x14ac:dyDescent="0.25">
      <c r="A1131" s="1" t="s">
        <v>18</v>
      </c>
      <c r="B1131" s="2">
        <v>201401</v>
      </c>
      <c r="C1131" s="2">
        <v>201704</v>
      </c>
      <c r="D1131" s="10">
        <v>10776.051618407357</v>
      </c>
      <c r="E1131" s="10">
        <v>189685.08881547221</v>
      </c>
      <c r="F1131" s="1">
        <v>0</v>
      </c>
      <c r="G1131" s="1">
        <v>275</v>
      </c>
      <c r="H1131">
        <f t="shared" si="51"/>
        <v>2014</v>
      </c>
      <c r="I1131">
        <f t="shared" si="52"/>
        <v>2017</v>
      </c>
      <c r="J1131" s="7">
        <f t="shared" si="53"/>
        <v>200461.14043387957</v>
      </c>
      <c r="K1131" s="7"/>
    </row>
    <row r="1132" spans="1:11" x14ac:dyDescent="0.25">
      <c r="A1132" s="1" t="s">
        <v>18</v>
      </c>
      <c r="B1132" s="2">
        <v>201401</v>
      </c>
      <c r="C1132" s="2">
        <v>201801</v>
      </c>
      <c r="D1132" s="10">
        <v>4717.3015612494137</v>
      </c>
      <c r="E1132" s="10">
        <v>169442.65636057217</v>
      </c>
      <c r="F1132" s="1">
        <v>0</v>
      </c>
      <c r="G1132" s="1">
        <v>316</v>
      </c>
      <c r="H1132">
        <f t="shared" si="51"/>
        <v>2014</v>
      </c>
      <c r="I1132">
        <f t="shared" si="52"/>
        <v>2018</v>
      </c>
      <c r="J1132" s="7">
        <f t="shared" si="53"/>
        <v>174159.95792182159</v>
      </c>
      <c r="K1132" s="7"/>
    </row>
    <row r="1133" spans="1:11" x14ac:dyDescent="0.25">
      <c r="A1133" s="1" t="s">
        <v>18</v>
      </c>
      <c r="B1133" s="2">
        <v>201401</v>
      </c>
      <c r="C1133" s="2">
        <v>201802</v>
      </c>
      <c r="D1133" s="10">
        <v>13791.070597244907</v>
      </c>
      <c r="E1133" s="10">
        <v>165567.99975379475</v>
      </c>
      <c r="F1133" s="1">
        <v>1</v>
      </c>
      <c r="G1133" s="1">
        <v>219</v>
      </c>
      <c r="H1133">
        <f t="shared" si="51"/>
        <v>2014</v>
      </c>
      <c r="I1133">
        <f t="shared" si="52"/>
        <v>2018</v>
      </c>
      <c r="J1133" s="7">
        <f t="shared" si="53"/>
        <v>179359.07035103964</v>
      </c>
      <c r="K1133" s="7"/>
    </row>
    <row r="1134" spans="1:11" x14ac:dyDescent="0.25">
      <c r="A1134" s="1" t="s">
        <v>18</v>
      </c>
      <c r="B1134" s="2">
        <v>201401</v>
      </c>
      <c r="C1134" s="2">
        <v>201803</v>
      </c>
      <c r="D1134" s="10">
        <v>12829.031404221529</v>
      </c>
      <c r="E1134" s="10">
        <v>166002.8765348763</v>
      </c>
      <c r="F1134" s="1">
        <v>1</v>
      </c>
      <c r="G1134" s="1">
        <v>211</v>
      </c>
      <c r="H1134">
        <f t="shared" si="51"/>
        <v>2014</v>
      </c>
      <c r="I1134">
        <f t="shared" si="52"/>
        <v>2018</v>
      </c>
      <c r="J1134" s="7">
        <f t="shared" si="53"/>
        <v>178831.90793909781</v>
      </c>
      <c r="K1134" s="7"/>
    </row>
    <row r="1135" spans="1:11" x14ac:dyDescent="0.25">
      <c r="A1135" s="1" t="s">
        <v>18</v>
      </c>
      <c r="B1135" s="2">
        <v>201401</v>
      </c>
      <c r="C1135" s="2">
        <v>201804</v>
      </c>
      <c r="D1135" s="10">
        <v>4713.3007247927771</v>
      </c>
      <c r="E1135" s="10">
        <v>152703.26604126531</v>
      </c>
      <c r="F1135" s="1">
        <v>0</v>
      </c>
      <c r="G1135" s="1">
        <v>166</v>
      </c>
      <c r="H1135">
        <f t="shared" si="51"/>
        <v>2014</v>
      </c>
      <c r="I1135">
        <f t="shared" si="52"/>
        <v>2018</v>
      </c>
      <c r="J1135" s="7">
        <f t="shared" si="53"/>
        <v>157416.56676605809</v>
      </c>
      <c r="K1135" s="7"/>
    </row>
    <row r="1136" spans="1:11" x14ac:dyDescent="0.25">
      <c r="A1136" s="1" t="s">
        <v>18</v>
      </c>
      <c r="B1136" s="2">
        <v>201401</v>
      </c>
      <c r="C1136" s="2">
        <v>201901</v>
      </c>
      <c r="D1136" s="10">
        <v>-1781.6432251873678</v>
      </c>
      <c r="E1136" s="10">
        <v>147581.47398422123</v>
      </c>
      <c r="F1136" s="1">
        <v>0</v>
      </c>
      <c r="G1136" s="1">
        <v>160</v>
      </c>
      <c r="H1136">
        <f t="shared" si="51"/>
        <v>2014</v>
      </c>
      <c r="I1136">
        <f t="shared" si="52"/>
        <v>2019</v>
      </c>
      <c r="J1136" s="7">
        <f t="shared" si="53"/>
        <v>145799.83075903385</v>
      </c>
      <c r="K1136" s="7"/>
    </row>
    <row r="1137" spans="1:11" x14ac:dyDescent="0.25">
      <c r="A1137" s="1" t="s">
        <v>18</v>
      </c>
      <c r="B1137" s="2">
        <v>201401</v>
      </c>
      <c r="C1137" s="2">
        <v>201902</v>
      </c>
      <c r="D1137" s="10">
        <v>11367.114329705093</v>
      </c>
      <c r="E1137" s="10">
        <v>138276.65760861622</v>
      </c>
      <c r="F1137" s="1">
        <v>0</v>
      </c>
      <c r="G1137" s="1">
        <v>143</v>
      </c>
      <c r="H1137">
        <f t="shared" si="51"/>
        <v>2014</v>
      </c>
      <c r="I1137">
        <f t="shared" si="52"/>
        <v>2019</v>
      </c>
      <c r="J1137" s="7">
        <f t="shared" si="53"/>
        <v>149643.77193832133</v>
      </c>
      <c r="K1137" s="7"/>
    </row>
    <row r="1138" spans="1:11" x14ac:dyDescent="0.25">
      <c r="A1138" s="1" t="s">
        <v>18</v>
      </c>
      <c r="B1138" s="2">
        <v>201401</v>
      </c>
      <c r="C1138" s="2">
        <v>201903</v>
      </c>
      <c r="D1138" s="10">
        <v>28595.547486986052</v>
      </c>
      <c r="E1138" s="10">
        <v>110632.73743622904</v>
      </c>
      <c r="F1138" s="1">
        <v>0</v>
      </c>
      <c r="G1138" s="1">
        <v>138</v>
      </c>
      <c r="H1138">
        <f t="shared" si="51"/>
        <v>2014</v>
      </c>
      <c r="I1138">
        <f t="shared" si="52"/>
        <v>2019</v>
      </c>
      <c r="J1138" s="7">
        <f t="shared" si="53"/>
        <v>139228.28492321511</v>
      </c>
      <c r="K1138" s="7"/>
    </row>
    <row r="1139" spans="1:11" x14ac:dyDescent="0.25">
      <c r="A1139" s="1" t="s">
        <v>18</v>
      </c>
      <c r="B1139" s="2">
        <v>201401</v>
      </c>
      <c r="C1139" s="2">
        <v>201904</v>
      </c>
      <c r="D1139" s="10">
        <v>6295.6154144200054</v>
      </c>
      <c r="E1139" s="10">
        <v>108992.70275261495</v>
      </c>
      <c r="F1139" s="1">
        <v>0</v>
      </c>
      <c r="G1139" s="1">
        <v>134</v>
      </c>
      <c r="H1139">
        <f t="shared" si="51"/>
        <v>2014</v>
      </c>
      <c r="I1139">
        <f t="shared" si="52"/>
        <v>2019</v>
      </c>
      <c r="J1139" s="7">
        <f t="shared" si="53"/>
        <v>115288.31816703496</v>
      </c>
      <c r="K1139" s="7"/>
    </row>
    <row r="1140" spans="1:11" x14ac:dyDescent="0.25">
      <c r="A1140" s="1" t="s">
        <v>18</v>
      </c>
      <c r="B1140" s="2">
        <v>201401</v>
      </c>
      <c r="C1140" s="2">
        <v>202001</v>
      </c>
      <c r="D1140" s="10">
        <v>-4396.4628734174457</v>
      </c>
      <c r="E1140" s="10">
        <v>112640.72008339614</v>
      </c>
      <c r="F1140" s="1">
        <v>0</v>
      </c>
      <c r="G1140" s="1">
        <v>123</v>
      </c>
      <c r="H1140">
        <f t="shared" si="51"/>
        <v>2014</v>
      </c>
      <c r="I1140">
        <f t="shared" si="52"/>
        <v>2020</v>
      </c>
      <c r="J1140" s="7">
        <f t="shared" si="53"/>
        <v>108244.25720997869</v>
      </c>
      <c r="K1140" s="7"/>
    </row>
    <row r="1141" spans="1:11" x14ac:dyDescent="0.25">
      <c r="A1141" s="1" t="s">
        <v>18</v>
      </c>
      <c r="B1141" s="2">
        <v>201401</v>
      </c>
      <c r="C1141" s="2">
        <v>202002</v>
      </c>
      <c r="D1141" s="10">
        <v>2283.173734409871</v>
      </c>
      <c r="E1141" s="10">
        <v>111504.09836918696</v>
      </c>
      <c r="F1141" s="1">
        <v>0</v>
      </c>
      <c r="G1141" s="1">
        <v>122</v>
      </c>
      <c r="H1141">
        <f t="shared" si="51"/>
        <v>2014</v>
      </c>
      <c r="I1141">
        <f t="shared" si="52"/>
        <v>2020</v>
      </c>
      <c r="J1141" s="7">
        <f t="shared" si="53"/>
        <v>113787.27210359683</v>
      </c>
      <c r="K1141" s="7"/>
    </row>
    <row r="1142" spans="1:11" x14ac:dyDescent="0.25">
      <c r="A1142" s="1" t="s">
        <v>18</v>
      </c>
      <c r="B1142" s="2">
        <v>201401</v>
      </c>
      <c r="C1142" s="2">
        <v>202003</v>
      </c>
      <c r="D1142" s="10">
        <v>5616.7967384938875</v>
      </c>
      <c r="E1142" s="10">
        <v>110092.0383761806</v>
      </c>
      <c r="F1142" s="1">
        <v>0</v>
      </c>
      <c r="G1142" s="1">
        <v>119</v>
      </c>
      <c r="H1142">
        <f t="shared" si="51"/>
        <v>2014</v>
      </c>
      <c r="I1142">
        <f t="shared" si="52"/>
        <v>2020</v>
      </c>
      <c r="J1142" s="7">
        <f t="shared" si="53"/>
        <v>115708.83511467448</v>
      </c>
      <c r="K1142" s="7"/>
    </row>
    <row r="1143" spans="1:11" x14ac:dyDescent="0.25">
      <c r="A1143" s="1" t="s">
        <v>18</v>
      </c>
      <c r="B1143" s="2">
        <v>201401</v>
      </c>
      <c r="C1143" s="2">
        <v>202004</v>
      </c>
      <c r="D1143" s="10">
        <v>3384.6766286355064</v>
      </c>
      <c r="E1143" s="10">
        <v>110644.40770117077</v>
      </c>
      <c r="F1143" s="1">
        <v>0</v>
      </c>
      <c r="G1143" s="1">
        <v>111</v>
      </c>
      <c r="H1143">
        <f t="shared" si="51"/>
        <v>2014</v>
      </c>
      <c r="I1143">
        <f t="shared" si="52"/>
        <v>2020</v>
      </c>
      <c r="J1143" s="7">
        <f t="shared" si="53"/>
        <v>114029.08432980628</v>
      </c>
      <c r="K1143" s="7"/>
    </row>
    <row r="1144" spans="1:11" x14ac:dyDescent="0.25">
      <c r="A1144" s="1" t="s">
        <v>18</v>
      </c>
      <c r="B1144" s="2">
        <v>201401</v>
      </c>
      <c r="C1144" s="2">
        <v>202101</v>
      </c>
      <c r="D1144" s="10">
        <v>3393.4202086136661</v>
      </c>
      <c r="E1144" s="10">
        <v>107211.40453094736</v>
      </c>
      <c r="F1144" s="1">
        <v>0</v>
      </c>
      <c r="G1144" s="1">
        <v>102</v>
      </c>
      <c r="H1144">
        <f t="shared" si="51"/>
        <v>2014</v>
      </c>
      <c r="I1144">
        <f t="shared" si="52"/>
        <v>2021</v>
      </c>
      <c r="J1144" s="7">
        <f t="shared" si="53"/>
        <v>110604.82473956102</v>
      </c>
      <c r="K1144" s="7"/>
    </row>
    <row r="1145" spans="1:11" x14ac:dyDescent="0.25">
      <c r="A1145" s="1" t="s">
        <v>18</v>
      </c>
      <c r="B1145" s="2">
        <v>201401</v>
      </c>
      <c r="C1145" s="2">
        <v>202102</v>
      </c>
      <c r="D1145" s="10">
        <v>4286.4382448771275</v>
      </c>
      <c r="E1145" s="10">
        <v>108801.52909019329</v>
      </c>
      <c r="F1145" s="1">
        <v>0</v>
      </c>
      <c r="G1145" s="1">
        <v>98</v>
      </c>
      <c r="H1145">
        <f t="shared" si="51"/>
        <v>2014</v>
      </c>
      <c r="I1145">
        <f t="shared" si="52"/>
        <v>2021</v>
      </c>
      <c r="J1145" s="7">
        <f t="shared" si="53"/>
        <v>113087.96733507041</v>
      </c>
      <c r="K1145" s="7"/>
    </row>
    <row r="1146" spans="1:11" x14ac:dyDescent="0.25">
      <c r="A1146" s="1" t="s">
        <v>18</v>
      </c>
      <c r="B1146" s="2">
        <v>201401</v>
      </c>
      <c r="C1146" s="2">
        <v>202103</v>
      </c>
      <c r="D1146" s="10">
        <v>8669.0572134508257</v>
      </c>
      <c r="E1146" s="10">
        <v>109386.46534991752</v>
      </c>
      <c r="F1146" s="1">
        <v>0</v>
      </c>
      <c r="G1146" s="1">
        <v>91</v>
      </c>
      <c r="H1146">
        <f t="shared" si="51"/>
        <v>2014</v>
      </c>
      <c r="I1146">
        <f t="shared" si="52"/>
        <v>2021</v>
      </c>
      <c r="J1146" s="7">
        <f t="shared" si="53"/>
        <v>118055.52256336834</v>
      </c>
      <c r="K1146" s="7"/>
    </row>
    <row r="1147" spans="1:11" x14ac:dyDescent="0.25">
      <c r="A1147" s="1" t="s">
        <v>18</v>
      </c>
      <c r="B1147" s="2">
        <v>201401</v>
      </c>
      <c r="C1147" s="2">
        <v>202104</v>
      </c>
      <c r="D1147" s="10">
        <v>2656.2597112552853</v>
      </c>
      <c r="E1147" s="10">
        <v>91705.044940881533</v>
      </c>
      <c r="F1147" s="1">
        <v>0</v>
      </c>
      <c r="G1147" s="1">
        <v>89</v>
      </c>
      <c r="H1147">
        <f t="shared" si="51"/>
        <v>2014</v>
      </c>
      <c r="I1147">
        <f t="shared" si="52"/>
        <v>2021</v>
      </c>
      <c r="J1147" s="7">
        <f t="shared" si="53"/>
        <v>94361.304652136823</v>
      </c>
      <c r="K1147" s="7"/>
    </row>
    <row r="1148" spans="1:11" x14ac:dyDescent="0.25">
      <c r="A1148" s="1" t="s">
        <v>18</v>
      </c>
      <c r="B1148" s="2">
        <v>201402</v>
      </c>
      <c r="C1148" s="2">
        <v>201402</v>
      </c>
      <c r="D1148" s="10">
        <v>485990.73698085372</v>
      </c>
      <c r="E1148" s="10">
        <v>1297270.5734720449</v>
      </c>
      <c r="F1148" s="1">
        <v>14527</v>
      </c>
      <c r="G1148" s="1">
        <v>9365</v>
      </c>
      <c r="H1148">
        <f t="shared" si="51"/>
        <v>2014</v>
      </c>
      <c r="I1148">
        <f t="shared" si="52"/>
        <v>2014</v>
      </c>
      <c r="J1148" s="7">
        <f t="shared" si="53"/>
        <v>1783261.3104528985</v>
      </c>
      <c r="K1148" s="7"/>
    </row>
    <row r="1149" spans="1:11" x14ac:dyDescent="0.25">
      <c r="A1149" s="1" t="s">
        <v>18</v>
      </c>
      <c r="B1149" s="2">
        <v>201402</v>
      </c>
      <c r="C1149" s="2">
        <v>201403</v>
      </c>
      <c r="D1149" s="10">
        <v>607715.85531024321</v>
      </c>
      <c r="E1149" s="10">
        <v>1206368.0235639075</v>
      </c>
      <c r="F1149" s="1">
        <v>2789</v>
      </c>
      <c r="G1149" s="1">
        <v>6195</v>
      </c>
      <c r="H1149">
        <f t="shared" si="51"/>
        <v>2014</v>
      </c>
      <c r="I1149">
        <f t="shared" si="52"/>
        <v>2014</v>
      </c>
      <c r="J1149" s="7">
        <f t="shared" si="53"/>
        <v>1814083.8788741506</v>
      </c>
      <c r="K1149" s="7"/>
    </row>
    <row r="1150" spans="1:11" x14ac:dyDescent="0.25">
      <c r="A1150" s="1" t="s">
        <v>18</v>
      </c>
      <c r="B1150" s="2">
        <v>201402</v>
      </c>
      <c r="C1150" s="2">
        <v>201404</v>
      </c>
      <c r="D1150" s="10">
        <v>207243.69940892604</v>
      </c>
      <c r="E1150" s="10">
        <v>1254351.7002447224</v>
      </c>
      <c r="F1150" s="1">
        <v>451</v>
      </c>
      <c r="G1150" s="1">
        <v>4792</v>
      </c>
      <c r="H1150">
        <f t="shared" si="51"/>
        <v>2014</v>
      </c>
      <c r="I1150">
        <f t="shared" si="52"/>
        <v>2014</v>
      </c>
      <c r="J1150" s="7">
        <f t="shared" si="53"/>
        <v>1461595.3996536485</v>
      </c>
      <c r="K1150" s="7"/>
    </row>
    <row r="1151" spans="1:11" x14ac:dyDescent="0.25">
      <c r="A1151" s="1" t="s">
        <v>18</v>
      </c>
      <c r="B1151" s="2">
        <v>201402</v>
      </c>
      <c r="C1151" s="2">
        <v>201501</v>
      </c>
      <c r="D1151" s="10">
        <v>119294.06841239294</v>
      </c>
      <c r="E1151" s="10">
        <v>1025217.3068116113</v>
      </c>
      <c r="F1151" s="1">
        <v>163</v>
      </c>
      <c r="G1151" s="1">
        <v>3738</v>
      </c>
      <c r="H1151">
        <f t="shared" si="51"/>
        <v>2014</v>
      </c>
      <c r="I1151">
        <f t="shared" si="52"/>
        <v>2015</v>
      </c>
      <c r="J1151" s="7">
        <f t="shared" si="53"/>
        <v>1144511.3752240043</v>
      </c>
      <c r="K1151" s="7"/>
    </row>
    <row r="1152" spans="1:11" x14ac:dyDescent="0.25">
      <c r="A1152" s="1" t="s">
        <v>18</v>
      </c>
      <c r="B1152" s="2">
        <v>201402</v>
      </c>
      <c r="C1152" s="2">
        <v>201502</v>
      </c>
      <c r="D1152" s="10">
        <v>72479.73402487296</v>
      </c>
      <c r="E1152" s="10">
        <v>979259.85887342831</v>
      </c>
      <c r="F1152" s="1">
        <v>83</v>
      </c>
      <c r="G1152" s="1">
        <v>3325</v>
      </c>
      <c r="H1152">
        <f t="shared" si="51"/>
        <v>2014</v>
      </c>
      <c r="I1152">
        <f t="shared" si="52"/>
        <v>2015</v>
      </c>
      <c r="J1152" s="7">
        <f t="shared" si="53"/>
        <v>1051739.5928983013</v>
      </c>
      <c r="K1152" s="7"/>
    </row>
    <row r="1153" spans="1:11" x14ac:dyDescent="0.25">
      <c r="A1153" s="1" t="s">
        <v>18</v>
      </c>
      <c r="B1153" s="2">
        <v>201402</v>
      </c>
      <c r="C1153" s="2">
        <v>201503</v>
      </c>
      <c r="D1153" s="10">
        <v>52220.182047522554</v>
      </c>
      <c r="E1153" s="10">
        <v>943115.17825628107</v>
      </c>
      <c r="F1153" s="1">
        <v>53</v>
      </c>
      <c r="G1153" s="1">
        <v>2892</v>
      </c>
      <c r="H1153">
        <f t="shared" si="51"/>
        <v>2014</v>
      </c>
      <c r="I1153">
        <f t="shared" si="52"/>
        <v>2015</v>
      </c>
      <c r="J1153" s="7">
        <f t="shared" si="53"/>
        <v>995335.36030380358</v>
      </c>
      <c r="K1153" s="7"/>
    </row>
    <row r="1154" spans="1:11" x14ac:dyDescent="0.25">
      <c r="A1154" s="1" t="s">
        <v>18</v>
      </c>
      <c r="B1154" s="2">
        <v>201402</v>
      </c>
      <c r="C1154" s="2">
        <v>201504</v>
      </c>
      <c r="D1154" s="10">
        <v>64728.472432262162</v>
      </c>
      <c r="E1154" s="10">
        <v>944832.79150824377</v>
      </c>
      <c r="F1154" s="1">
        <v>29</v>
      </c>
      <c r="G1154" s="1">
        <v>2351</v>
      </c>
      <c r="H1154">
        <f t="shared" si="51"/>
        <v>2014</v>
      </c>
      <c r="I1154">
        <f t="shared" si="52"/>
        <v>2015</v>
      </c>
      <c r="J1154" s="7">
        <f t="shared" si="53"/>
        <v>1009561.2639405059</v>
      </c>
      <c r="K1154" s="7"/>
    </row>
    <row r="1155" spans="1:11" x14ac:dyDescent="0.25">
      <c r="A1155" s="1" t="s">
        <v>18</v>
      </c>
      <c r="B1155" s="2">
        <v>201402</v>
      </c>
      <c r="C1155" s="2">
        <v>201601</v>
      </c>
      <c r="D1155" s="10">
        <v>45207.519218792317</v>
      </c>
      <c r="E1155" s="10">
        <v>713542.53027074237</v>
      </c>
      <c r="F1155" s="1">
        <v>22</v>
      </c>
      <c r="G1155" s="1">
        <v>1957</v>
      </c>
      <c r="H1155">
        <f t="shared" si="51"/>
        <v>2014</v>
      </c>
      <c r="I1155">
        <f t="shared" si="52"/>
        <v>2016</v>
      </c>
      <c r="J1155" s="7">
        <f t="shared" si="53"/>
        <v>758750.04948953469</v>
      </c>
      <c r="K1155" s="7"/>
    </row>
    <row r="1156" spans="1:11" x14ac:dyDescent="0.25">
      <c r="A1156" s="1" t="s">
        <v>18</v>
      </c>
      <c r="B1156" s="2">
        <v>201402</v>
      </c>
      <c r="C1156" s="2">
        <v>201602</v>
      </c>
      <c r="D1156" s="10">
        <v>27487.9459405136</v>
      </c>
      <c r="E1156" s="10">
        <v>683185.17705146503</v>
      </c>
      <c r="F1156" s="1">
        <v>27</v>
      </c>
      <c r="G1156" s="1">
        <v>1782</v>
      </c>
      <c r="H1156">
        <f t="shared" ref="H1156:H1219" si="54">VALUE(LEFT(B1156,4))</f>
        <v>2014</v>
      </c>
      <c r="I1156">
        <f t="shared" ref="I1156:I1219" si="55">VALUE(LEFT(C1156,4))</f>
        <v>2016</v>
      </c>
      <c r="J1156" s="7">
        <f t="shared" si="53"/>
        <v>710673.12299197866</v>
      </c>
      <c r="K1156" s="7"/>
    </row>
    <row r="1157" spans="1:11" x14ac:dyDescent="0.25">
      <c r="A1157" s="1" t="s">
        <v>18</v>
      </c>
      <c r="B1157" s="2">
        <v>201402</v>
      </c>
      <c r="C1157" s="2">
        <v>201603</v>
      </c>
      <c r="D1157" s="10">
        <v>20657.68891854084</v>
      </c>
      <c r="E1157" s="10">
        <v>675736.13567270245</v>
      </c>
      <c r="F1157" s="1">
        <v>14</v>
      </c>
      <c r="G1157" s="1">
        <v>1661</v>
      </c>
      <c r="H1157">
        <f t="shared" si="54"/>
        <v>2014</v>
      </c>
      <c r="I1157">
        <f t="shared" si="55"/>
        <v>2016</v>
      </c>
      <c r="J1157" s="7">
        <f t="shared" ref="J1157:J1220" si="56">D1157+E1157</f>
        <v>696393.82459124329</v>
      </c>
      <c r="K1157" s="7"/>
    </row>
    <row r="1158" spans="1:11" x14ac:dyDescent="0.25">
      <c r="A1158" s="1" t="s">
        <v>18</v>
      </c>
      <c r="B1158" s="2">
        <v>201402</v>
      </c>
      <c r="C1158" s="2">
        <v>201604</v>
      </c>
      <c r="D1158" s="10">
        <v>20969.87403164414</v>
      </c>
      <c r="E1158" s="10">
        <v>694368.18304439506</v>
      </c>
      <c r="F1158" s="1">
        <v>6</v>
      </c>
      <c r="G1158" s="1">
        <v>1307</v>
      </c>
      <c r="H1158">
        <f t="shared" si="54"/>
        <v>2014</v>
      </c>
      <c r="I1158">
        <f t="shared" si="55"/>
        <v>2016</v>
      </c>
      <c r="J1158" s="7">
        <f t="shared" si="56"/>
        <v>715338.05707603926</v>
      </c>
      <c r="K1158" s="7"/>
    </row>
    <row r="1159" spans="1:11" x14ac:dyDescent="0.25">
      <c r="A1159" s="1" t="s">
        <v>18</v>
      </c>
      <c r="B1159" s="2">
        <v>201402</v>
      </c>
      <c r="C1159" s="2">
        <v>201701</v>
      </c>
      <c r="D1159" s="10">
        <v>18854.409635156841</v>
      </c>
      <c r="E1159" s="10">
        <v>549491.6425647249</v>
      </c>
      <c r="F1159" s="1">
        <v>9</v>
      </c>
      <c r="G1159" s="1">
        <v>991</v>
      </c>
      <c r="H1159">
        <f t="shared" si="54"/>
        <v>2014</v>
      </c>
      <c r="I1159">
        <f t="shared" si="55"/>
        <v>2017</v>
      </c>
      <c r="J1159" s="7">
        <f t="shared" si="56"/>
        <v>568346.05219988176</v>
      </c>
      <c r="K1159" s="7"/>
    </row>
    <row r="1160" spans="1:11" x14ac:dyDescent="0.25">
      <c r="A1160" s="1" t="s">
        <v>18</v>
      </c>
      <c r="B1160" s="2">
        <v>201402</v>
      </c>
      <c r="C1160" s="2">
        <v>201702</v>
      </c>
      <c r="D1160" s="10">
        <v>9986.4682823526618</v>
      </c>
      <c r="E1160" s="10">
        <v>536244.02112650604</v>
      </c>
      <c r="F1160" s="1">
        <v>6</v>
      </c>
      <c r="G1160" s="1">
        <v>858</v>
      </c>
      <c r="H1160">
        <f t="shared" si="54"/>
        <v>2014</v>
      </c>
      <c r="I1160">
        <f t="shared" si="55"/>
        <v>2017</v>
      </c>
      <c r="J1160" s="7">
        <f t="shared" si="56"/>
        <v>546230.4894088587</v>
      </c>
      <c r="K1160" s="7"/>
    </row>
    <row r="1161" spans="1:11" x14ac:dyDescent="0.25">
      <c r="A1161" s="1" t="s">
        <v>18</v>
      </c>
      <c r="B1161" s="2">
        <v>201402</v>
      </c>
      <c r="C1161" s="2">
        <v>201703</v>
      </c>
      <c r="D1161" s="10">
        <v>9974.2494371443099</v>
      </c>
      <c r="E1161" s="10">
        <v>505926.1956913452</v>
      </c>
      <c r="F1161" s="1">
        <v>0</v>
      </c>
      <c r="G1161" s="1">
        <v>606</v>
      </c>
      <c r="H1161">
        <f t="shared" si="54"/>
        <v>2014</v>
      </c>
      <c r="I1161">
        <f t="shared" si="55"/>
        <v>2017</v>
      </c>
      <c r="J1161" s="7">
        <f t="shared" si="56"/>
        <v>515900.44512848952</v>
      </c>
      <c r="K1161" s="7"/>
    </row>
    <row r="1162" spans="1:11" x14ac:dyDescent="0.25">
      <c r="A1162" s="1" t="s">
        <v>18</v>
      </c>
      <c r="B1162" s="2">
        <v>201402</v>
      </c>
      <c r="C1162" s="2">
        <v>201704</v>
      </c>
      <c r="D1162" s="10">
        <v>5872.4382624079781</v>
      </c>
      <c r="E1162" s="10">
        <v>542974.49589726038</v>
      </c>
      <c r="F1162" s="1">
        <v>1</v>
      </c>
      <c r="G1162" s="1">
        <v>404</v>
      </c>
      <c r="H1162">
        <f t="shared" si="54"/>
        <v>2014</v>
      </c>
      <c r="I1162">
        <f t="shared" si="55"/>
        <v>2017</v>
      </c>
      <c r="J1162" s="7">
        <f t="shared" si="56"/>
        <v>548846.9341596684</v>
      </c>
      <c r="K1162" s="7"/>
    </row>
    <row r="1163" spans="1:11" x14ac:dyDescent="0.25">
      <c r="A1163" s="1" t="s">
        <v>18</v>
      </c>
      <c r="B1163" s="2">
        <v>201402</v>
      </c>
      <c r="C1163" s="2">
        <v>201801</v>
      </c>
      <c r="D1163" s="10">
        <v>15968.280929679537</v>
      </c>
      <c r="E1163" s="10">
        <v>485609.85589558101</v>
      </c>
      <c r="F1163" s="1">
        <v>0</v>
      </c>
      <c r="G1163" s="1">
        <v>436</v>
      </c>
      <c r="H1163">
        <f t="shared" si="54"/>
        <v>2014</v>
      </c>
      <c r="I1163">
        <f t="shared" si="55"/>
        <v>2018</v>
      </c>
      <c r="J1163" s="7">
        <f t="shared" si="56"/>
        <v>501578.13682526053</v>
      </c>
      <c r="K1163" s="7"/>
    </row>
    <row r="1164" spans="1:11" x14ac:dyDescent="0.25">
      <c r="A1164" s="1" t="s">
        <v>18</v>
      </c>
      <c r="B1164" s="2">
        <v>201402</v>
      </c>
      <c r="C1164" s="2">
        <v>201802</v>
      </c>
      <c r="D1164" s="10">
        <v>9043.9560214747307</v>
      </c>
      <c r="E1164" s="10">
        <v>499409.95178006339</v>
      </c>
      <c r="F1164" s="1">
        <v>0</v>
      </c>
      <c r="G1164" s="1">
        <v>324</v>
      </c>
      <c r="H1164">
        <f t="shared" si="54"/>
        <v>2014</v>
      </c>
      <c r="I1164">
        <f t="shared" si="55"/>
        <v>2018</v>
      </c>
      <c r="J1164" s="7">
        <f t="shared" si="56"/>
        <v>508453.90780153812</v>
      </c>
      <c r="K1164" s="7"/>
    </row>
    <row r="1165" spans="1:11" x14ac:dyDescent="0.25">
      <c r="A1165" s="1" t="s">
        <v>18</v>
      </c>
      <c r="B1165" s="2">
        <v>201402</v>
      </c>
      <c r="C1165" s="2">
        <v>201803</v>
      </c>
      <c r="D1165" s="10">
        <v>5721.9967284254772</v>
      </c>
      <c r="E1165" s="10">
        <v>492133.85534026753</v>
      </c>
      <c r="F1165" s="1">
        <v>0</v>
      </c>
      <c r="G1165" s="1">
        <v>298</v>
      </c>
      <c r="H1165">
        <f t="shared" si="54"/>
        <v>2014</v>
      </c>
      <c r="I1165">
        <f t="shared" si="55"/>
        <v>2018</v>
      </c>
      <c r="J1165" s="7">
        <f t="shared" si="56"/>
        <v>497855.85206869303</v>
      </c>
      <c r="K1165" s="7"/>
    </row>
    <row r="1166" spans="1:11" x14ac:dyDescent="0.25">
      <c r="A1166" s="1" t="s">
        <v>18</v>
      </c>
      <c r="B1166" s="2">
        <v>201402</v>
      </c>
      <c r="C1166" s="2">
        <v>201804</v>
      </c>
      <c r="D1166" s="10">
        <v>5444.6056309510232</v>
      </c>
      <c r="E1166" s="10">
        <v>481173.84955874289</v>
      </c>
      <c r="F1166" s="1">
        <v>0</v>
      </c>
      <c r="G1166" s="1">
        <v>219</v>
      </c>
      <c r="H1166">
        <f t="shared" si="54"/>
        <v>2014</v>
      </c>
      <c r="I1166">
        <f t="shared" si="55"/>
        <v>2018</v>
      </c>
      <c r="J1166" s="7">
        <f t="shared" si="56"/>
        <v>486618.45518969389</v>
      </c>
      <c r="K1166" s="7"/>
    </row>
    <row r="1167" spans="1:11" x14ac:dyDescent="0.25">
      <c r="A1167" s="1" t="s">
        <v>18</v>
      </c>
      <c r="B1167" s="2">
        <v>201402</v>
      </c>
      <c r="C1167" s="2">
        <v>201901</v>
      </c>
      <c r="D1167" s="10">
        <v>5854.5709689645064</v>
      </c>
      <c r="E1167" s="10">
        <v>472081.80384473538</v>
      </c>
      <c r="F1167" s="1">
        <v>0</v>
      </c>
      <c r="G1167" s="1">
        <v>207</v>
      </c>
      <c r="H1167">
        <f t="shared" si="54"/>
        <v>2014</v>
      </c>
      <c r="I1167">
        <f t="shared" si="55"/>
        <v>2019</v>
      </c>
      <c r="J1167" s="7">
        <f t="shared" si="56"/>
        <v>477936.37481369986</v>
      </c>
      <c r="K1167" s="7"/>
    </row>
    <row r="1168" spans="1:11" x14ac:dyDescent="0.25">
      <c r="A1168" s="1" t="s">
        <v>18</v>
      </c>
      <c r="B1168" s="2">
        <v>201402</v>
      </c>
      <c r="C1168" s="2">
        <v>201902</v>
      </c>
      <c r="D1168" s="10">
        <v>7262.9013592640131</v>
      </c>
      <c r="E1168" s="10">
        <v>460439.10121397651</v>
      </c>
      <c r="F1168" s="1">
        <v>0</v>
      </c>
      <c r="G1168" s="1">
        <v>197</v>
      </c>
      <c r="H1168">
        <f t="shared" si="54"/>
        <v>2014</v>
      </c>
      <c r="I1168">
        <f t="shared" si="55"/>
        <v>2019</v>
      </c>
      <c r="J1168" s="7">
        <f t="shared" si="56"/>
        <v>467702.00257324055</v>
      </c>
      <c r="K1168" s="7"/>
    </row>
    <row r="1169" spans="1:11" x14ac:dyDescent="0.25">
      <c r="A1169" s="1" t="s">
        <v>18</v>
      </c>
      <c r="B1169" s="2">
        <v>201402</v>
      </c>
      <c r="C1169" s="2">
        <v>201903</v>
      </c>
      <c r="D1169" s="10">
        <v>5659.3369604851587</v>
      </c>
      <c r="E1169" s="10">
        <v>468034.48404539522</v>
      </c>
      <c r="F1169" s="1">
        <v>0</v>
      </c>
      <c r="G1169" s="1">
        <v>180</v>
      </c>
      <c r="H1169">
        <f t="shared" si="54"/>
        <v>2014</v>
      </c>
      <c r="I1169">
        <f t="shared" si="55"/>
        <v>2019</v>
      </c>
      <c r="J1169" s="7">
        <f t="shared" si="56"/>
        <v>473693.82100588037</v>
      </c>
      <c r="K1169" s="7"/>
    </row>
    <row r="1170" spans="1:11" x14ac:dyDescent="0.25">
      <c r="A1170" s="1" t="s">
        <v>18</v>
      </c>
      <c r="B1170" s="2">
        <v>201402</v>
      </c>
      <c r="C1170" s="2">
        <v>201904</v>
      </c>
      <c r="D1170" s="10">
        <v>4007.1669740068692</v>
      </c>
      <c r="E1170" s="10">
        <v>463663.16753855959</v>
      </c>
      <c r="F1170" s="1">
        <v>0</v>
      </c>
      <c r="G1170" s="1">
        <v>169</v>
      </c>
      <c r="H1170">
        <f t="shared" si="54"/>
        <v>2014</v>
      </c>
      <c r="I1170">
        <f t="shared" si="55"/>
        <v>2019</v>
      </c>
      <c r="J1170" s="7">
        <f t="shared" si="56"/>
        <v>467670.33451256645</v>
      </c>
      <c r="K1170" s="7"/>
    </row>
    <row r="1171" spans="1:11" x14ac:dyDescent="0.25">
      <c r="A1171" s="1" t="s">
        <v>18</v>
      </c>
      <c r="B1171" s="2">
        <v>201402</v>
      </c>
      <c r="C1171" s="2">
        <v>202001</v>
      </c>
      <c r="D1171" s="10">
        <v>6012.5256236853429</v>
      </c>
      <c r="E1171" s="10">
        <v>453932.97947834298</v>
      </c>
      <c r="F1171" s="1">
        <v>0</v>
      </c>
      <c r="G1171" s="1">
        <v>163</v>
      </c>
      <c r="H1171">
        <f t="shared" si="54"/>
        <v>2014</v>
      </c>
      <c r="I1171">
        <f t="shared" si="55"/>
        <v>2020</v>
      </c>
      <c r="J1171" s="7">
        <f t="shared" si="56"/>
        <v>459945.50510202831</v>
      </c>
      <c r="K1171" s="7"/>
    </row>
    <row r="1172" spans="1:11" x14ac:dyDescent="0.25">
      <c r="A1172" s="1" t="s">
        <v>18</v>
      </c>
      <c r="B1172" s="2">
        <v>201402</v>
      </c>
      <c r="C1172" s="2">
        <v>202002</v>
      </c>
      <c r="D1172" s="10">
        <v>6713.2512535982587</v>
      </c>
      <c r="E1172" s="10">
        <v>448618.8300795398</v>
      </c>
      <c r="F1172" s="1">
        <v>0</v>
      </c>
      <c r="G1172" s="1">
        <v>151</v>
      </c>
      <c r="H1172">
        <f t="shared" si="54"/>
        <v>2014</v>
      </c>
      <c r="I1172">
        <f t="shared" si="55"/>
        <v>2020</v>
      </c>
      <c r="J1172" s="7">
        <f t="shared" si="56"/>
        <v>455332.08133313805</v>
      </c>
      <c r="K1172" s="7"/>
    </row>
    <row r="1173" spans="1:11" x14ac:dyDescent="0.25">
      <c r="A1173" s="1" t="s">
        <v>18</v>
      </c>
      <c r="B1173" s="2">
        <v>201402</v>
      </c>
      <c r="C1173" s="2">
        <v>202003</v>
      </c>
      <c r="D1173" s="10">
        <v>15539.958434347671</v>
      </c>
      <c r="E1173" s="10">
        <v>432784.13473858353</v>
      </c>
      <c r="F1173" s="1">
        <v>0</v>
      </c>
      <c r="G1173" s="1">
        <v>145</v>
      </c>
      <c r="H1173">
        <f t="shared" si="54"/>
        <v>2014</v>
      </c>
      <c r="I1173">
        <f t="shared" si="55"/>
        <v>2020</v>
      </c>
      <c r="J1173" s="7">
        <f t="shared" si="56"/>
        <v>448324.09317293117</v>
      </c>
      <c r="K1173" s="7"/>
    </row>
    <row r="1174" spans="1:11" x14ac:dyDescent="0.25">
      <c r="A1174" s="1" t="s">
        <v>18</v>
      </c>
      <c r="B1174" s="2">
        <v>201402</v>
      </c>
      <c r="C1174" s="2">
        <v>202004</v>
      </c>
      <c r="D1174" s="10">
        <v>5991.1695098667897</v>
      </c>
      <c r="E1174" s="10">
        <v>420422.56288655993</v>
      </c>
      <c r="F1174" s="1">
        <v>0</v>
      </c>
      <c r="G1174" s="1">
        <v>139</v>
      </c>
      <c r="H1174">
        <f t="shared" si="54"/>
        <v>2014</v>
      </c>
      <c r="I1174">
        <f t="shared" si="55"/>
        <v>2020</v>
      </c>
      <c r="J1174" s="7">
        <f t="shared" si="56"/>
        <v>426413.73239642673</v>
      </c>
      <c r="K1174" s="7"/>
    </row>
    <row r="1175" spans="1:11" x14ac:dyDescent="0.25">
      <c r="A1175" s="1" t="s">
        <v>18</v>
      </c>
      <c r="B1175" s="2">
        <v>201402</v>
      </c>
      <c r="C1175" s="2">
        <v>202101</v>
      </c>
      <c r="D1175" s="10">
        <v>14229.337284049818</v>
      </c>
      <c r="E1175" s="10">
        <v>425425.00136876974</v>
      </c>
      <c r="F1175" s="1">
        <v>0</v>
      </c>
      <c r="G1175" s="1">
        <v>123</v>
      </c>
      <c r="H1175">
        <f t="shared" si="54"/>
        <v>2014</v>
      </c>
      <c r="I1175">
        <f t="shared" si="55"/>
        <v>2021</v>
      </c>
      <c r="J1175" s="7">
        <f t="shared" si="56"/>
        <v>439654.33865281957</v>
      </c>
      <c r="K1175" s="7"/>
    </row>
    <row r="1176" spans="1:11" x14ac:dyDescent="0.25">
      <c r="A1176" s="1" t="s">
        <v>18</v>
      </c>
      <c r="B1176" s="2">
        <v>201402</v>
      </c>
      <c r="C1176" s="2">
        <v>202102</v>
      </c>
      <c r="D1176" s="10">
        <v>7155.8128942561461</v>
      </c>
      <c r="E1176" s="10">
        <v>423431.18056237645</v>
      </c>
      <c r="F1176" s="1">
        <v>1</v>
      </c>
      <c r="G1176" s="1">
        <v>121</v>
      </c>
      <c r="H1176">
        <f t="shared" si="54"/>
        <v>2014</v>
      </c>
      <c r="I1176">
        <f t="shared" si="55"/>
        <v>2021</v>
      </c>
      <c r="J1176" s="7">
        <f t="shared" si="56"/>
        <v>430586.9934566326</v>
      </c>
      <c r="K1176" s="7"/>
    </row>
    <row r="1177" spans="1:11" x14ac:dyDescent="0.25">
      <c r="A1177" s="1" t="s">
        <v>18</v>
      </c>
      <c r="B1177" s="2">
        <v>201402</v>
      </c>
      <c r="C1177" s="2">
        <v>202103</v>
      </c>
      <c r="D1177" s="10">
        <v>5416.3898792554264</v>
      </c>
      <c r="E1177" s="10">
        <v>414761.5799456691</v>
      </c>
      <c r="F1177" s="1">
        <v>0</v>
      </c>
      <c r="G1177" s="1">
        <v>114</v>
      </c>
      <c r="H1177">
        <f t="shared" si="54"/>
        <v>2014</v>
      </c>
      <c r="I1177">
        <f t="shared" si="55"/>
        <v>2021</v>
      </c>
      <c r="J1177" s="7">
        <f t="shared" si="56"/>
        <v>420177.96982492454</v>
      </c>
      <c r="K1177" s="7"/>
    </row>
    <row r="1178" spans="1:11" x14ac:dyDescent="0.25">
      <c r="A1178" s="1" t="s">
        <v>18</v>
      </c>
      <c r="B1178" s="2">
        <v>201402</v>
      </c>
      <c r="C1178" s="2">
        <v>202104</v>
      </c>
      <c r="D1178" s="10">
        <v>7761.5913862971465</v>
      </c>
      <c r="E1178" s="10">
        <v>383430.80959627847</v>
      </c>
      <c r="F1178" s="1">
        <v>0</v>
      </c>
      <c r="G1178" s="1">
        <v>105</v>
      </c>
      <c r="H1178">
        <f t="shared" si="54"/>
        <v>2014</v>
      </c>
      <c r="I1178">
        <f t="shared" si="55"/>
        <v>2021</v>
      </c>
      <c r="J1178" s="7">
        <f t="shared" si="56"/>
        <v>391192.40098257561</v>
      </c>
      <c r="K1178" s="7"/>
    </row>
    <row r="1179" spans="1:11" x14ac:dyDescent="0.25">
      <c r="A1179" s="1" t="s">
        <v>18</v>
      </c>
      <c r="B1179" s="2">
        <v>201403</v>
      </c>
      <c r="C1179" s="2">
        <v>201403</v>
      </c>
      <c r="D1179" s="10">
        <v>540020.58035499649</v>
      </c>
      <c r="E1179" s="10">
        <v>1324469.8485066362</v>
      </c>
      <c r="F1179" s="1">
        <v>14817</v>
      </c>
      <c r="G1179" s="1">
        <v>9233</v>
      </c>
      <c r="H1179">
        <f t="shared" si="54"/>
        <v>2014</v>
      </c>
      <c r="I1179">
        <f t="shared" si="55"/>
        <v>2014</v>
      </c>
      <c r="J1179" s="7">
        <f t="shared" si="56"/>
        <v>1864490.4288616327</v>
      </c>
      <c r="K1179" s="7"/>
    </row>
    <row r="1180" spans="1:11" x14ac:dyDescent="0.25">
      <c r="A1180" s="1" t="s">
        <v>18</v>
      </c>
      <c r="B1180" s="2">
        <v>201403</v>
      </c>
      <c r="C1180" s="2">
        <v>201404</v>
      </c>
      <c r="D1180" s="10">
        <v>639547.13392940164</v>
      </c>
      <c r="E1180" s="10">
        <v>1405239.5900040872</v>
      </c>
      <c r="F1180" s="1">
        <v>2802</v>
      </c>
      <c r="G1180" s="1">
        <v>6301</v>
      </c>
      <c r="H1180">
        <f t="shared" si="54"/>
        <v>2014</v>
      </c>
      <c r="I1180">
        <f t="shared" si="55"/>
        <v>2014</v>
      </c>
      <c r="J1180" s="7">
        <f t="shared" si="56"/>
        <v>2044786.7239334888</v>
      </c>
      <c r="K1180" s="7"/>
    </row>
    <row r="1181" spans="1:11" x14ac:dyDescent="0.25">
      <c r="A1181" s="1" t="s">
        <v>18</v>
      </c>
      <c r="B1181" s="2">
        <v>201403</v>
      </c>
      <c r="C1181" s="2">
        <v>201501</v>
      </c>
      <c r="D1181" s="10">
        <v>233472.16633038901</v>
      </c>
      <c r="E1181" s="10">
        <v>1107120.0200667137</v>
      </c>
      <c r="F1181" s="1">
        <v>427</v>
      </c>
      <c r="G1181" s="1">
        <v>4766</v>
      </c>
      <c r="H1181">
        <f t="shared" si="54"/>
        <v>2014</v>
      </c>
      <c r="I1181">
        <f t="shared" si="55"/>
        <v>2015</v>
      </c>
      <c r="J1181" s="7">
        <f t="shared" si="56"/>
        <v>1340592.1863971027</v>
      </c>
      <c r="K1181" s="7"/>
    </row>
    <row r="1182" spans="1:11" x14ac:dyDescent="0.25">
      <c r="A1182" s="1" t="s">
        <v>18</v>
      </c>
      <c r="B1182" s="2">
        <v>201403</v>
      </c>
      <c r="C1182" s="2">
        <v>201502</v>
      </c>
      <c r="D1182" s="10">
        <v>122732.95024368788</v>
      </c>
      <c r="E1182" s="10">
        <v>979982.81389939808</v>
      </c>
      <c r="F1182" s="1">
        <v>154</v>
      </c>
      <c r="G1182" s="1">
        <v>3943</v>
      </c>
      <c r="H1182">
        <f t="shared" si="54"/>
        <v>2014</v>
      </c>
      <c r="I1182">
        <f t="shared" si="55"/>
        <v>2015</v>
      </c>
      <c r="J1182" s="7">
        <f t="shared" si="56"/>
        <v>1102715.764143086</v>
      </c>
      <c r="K1182" s="7"/>
    </row>
    <row r="1183" spans="1:11" x14ac:dyDescent="0.25">
      <c r="A1183" s="1" t="s">
        <v>18</v>
      </c>
      <c r="B1183" s="2">
        <v>201403</v>
      </c>
      <c r="C1183" s="2">
        <v>201503</v>
      </c>
      <c r="D1183" s="10">
        <v>74545.977799766668</v>
      </c>
      <c r="E1183" s="10">
        <v>882907.82019149791</v>
      </c>
      <c r="F1183" s="1">
        <v>84</v>
      </c>
      <c r="G1183" s="1">
        <v>3458</v>
      </c>
      <c r="H1183">
        <f t="shared" si="54"/>
        <v>2014</v>
      </c>
      <c r="I1183">
        <f t="shared" si="55"/>
        <v>2015</v>
      </c>
      <c r="J1183" s="7">
        <f t="shared" si="56"/>
        <v>957453.79799126461</v>
      </c>
      <c r="K1183" s="7"/>
    </row>
    <row r="1184" spans="1:11" x14ac:dyDescent="0.25">
      <c r="A1184" s="1" t="s">
        <v>18</v>
      </c>
      <c r="B1184" s="2">
        <v>201403</v>
      </c>
      <c r="C1184" s="2">
        <v>201504</v>
      </c>
      <c r="D1184" s="10">
        <v>52619.171107416645</v>
      </c>
      <c r="E1184" s="10">
        <v>1043222.805124702</v>
      </c>
      <c r="F1184" s="1">
        <v>40</v>
      </c>
      <c r="G1184" s="1">
        <v>2925</v>
      </c>
      <c r="H1184">
        <f t="shared" si="54"/>
        <v>2014</v>
      </c>
      <c r="I1184">
        <f t="shared" si="55"/>
        <v>2015</v>
      </c>
      <c r="J1184" s="7">
        <f t="shared" si="56"/>
        <v>1095841.9762321187</v>
      </c>
      <c r="K1184" s="7"/>
    </row>
    <row r="1185" spans="1:11" x14ac:dyDescent="0.25">
      <c r="A1185" s="1" t="s">
        <v>18</v>
      </c>
      <c r="B1185" s="2">
        <v>201403</v>
      </c>
      <c r="C1185" s="2">
        <v>201601</v>
      </c>
      <c r="D1185" s="10">
        <v>74454.33668881061</v>
      </c>
      <c r="E1185" s="10">
        <v>815080.5478639215</v>
      </c>
      <c r="F1185" s="1">
        <v>19</v>
      </c>
      <c r="G1185" s="1">
        <v>2378</v>
      </c>
      <c r="H1185">
        <f t="shared" si="54"/>
        <v>2014</v>
      </c>
      <c r="I1185">
        <f t="shared" si="55"/>
        <v>2016</v>
      </c>
      <c r="J1185" s="7">
        <f t="shared" si="56"/>
        <v>889534.88455273211</v>
      </c>
      <c r="K1185" s="7"/>
    </row>
    <row r="1186" spans="1:11" x14ac:dyDescent="0.25">
      <c r="A1186" s="1" t="s">
        <v>18</v>
      </c>
      <c r="B1186" s="2">
        <v>201403</v>
      </c>
      <c r="C1186" s="2">
        <v>201602</v>
      </c>
      <c r="D1186" s="10">
        <v>60347.618341468253</v>
      </c>
      <c r="E1186" s="10">
        <v>774144.9941358373</v>
      </c>
      <c r="F1186" s="1">
        <v>23</v>
      </c>
      <c r="G1186" s="1">
        <v>2127</v>
      </c>
      <c r="H1186">
        <f t="shared" si="54"/>
        <v>2014</v>
      </c>
      <c r="I1186">
        <f t="shared" si="55"/>
        <v>2016</v>
      </c>
      <c r="J1186" s="7">
        <f t="shared" si="56"/>
        <v>834492.61247730558</v>
      </c>
      <c r="K1186" s="7"/>
    </row>
    <row r="1187" spans="1:11" x14ac:dyDescent="0.25">
      <c r="A1187" s="1" t="s">
        <v>18</v>
      </c>
      <c r="B1187" s="2">
        <v>201403</v>
      </c>
      <c r="C1187" s="2">
        <v>201603</v>
      </c>
      <c r="D1187" s="10">
        <v>34359.718057047183</v>
      </c>
      <c r="E1187" s="10">
        <v>741515.52209040406</v>
      </c>
      <c r="F1187" s="1">
        <v>30</v>
      </c>
      <c r="G1187" s="1">
        <v>1948</v>
      </c>
      <c r="H1187">
        <f t="shared" si="54"/>
        <v>2014</v>
      </c>
      <c r="I1187">
        <f t="shared" si="55"/>
        <v>2016</v>
      </c>
      <c r="J1187" s="7">
        <f t="shared" si="56"/>
        <v>775875.24014745129</v>
      </c>
      <c r="K1187" s="7"/>
    </row>
    <row r="1188" spans="1:11" x14ac:dyDescent="0.25">
      <c r="A1188" s="1" t="s">
        <v>18</v>
      </c>
      <c r="B1188" s="2">
        <v>201403</v>
      </c>
      <c r="C1188" s="2">
        <v>201604</v>
      </c>
      <c r="D1188" s="10">
        <v>25699.474400224379</v>
      </c>
      <c r="E1188" s="10">
        <v>728465.25514865038</v>
      </c>
      <c r="F1188" s="1">
        <v>8</v>
      </c>
      <c r="G1188" s="1">
        <v>1585</v>
      </c>
      <c r="H1188">
        <f t="shared" si="54"/>
        <v>2014</v>
      </c>
      <c r="I1188">
        <f t="shared" si="55"/>
        <v>2016</v>
      </c>
      <c r="J1188" s="7">
        <f t="shared" si="56"/>
        <v>754164.72954887478</v>
      </c>
      <c r="K1188" s="7"/>
    </row>
    <row r="1189" spans="1:11" x14ac:dyDescent="0.25">
      <c r="A1189" s="1" t="s">
        <v>18</v>
      </c>
      <c r="B1189" s="2">
        <v>201403</v>
      </c>
      <c r="C1189" s="2">
        <v>201701</v>
      </c>
      <c r="D1189" s="10">
        <v>32673.529178665052</v>
      </c>
      <c r="E1189" s="10">
        <v>602386.82361794892</v>
      </c>
      <c r="F1189" s="1">
        <v>6</v>
      </c>
      <c r="G1189" s="1">
        <v>1262</v>
      </c>
      <c r="H1189">
        <f t="shared" si="54"/>
        <v>2014</v>
      </c>
      <c r="I1189">
        <f t="shared" si="55"/>
        <v>2017</v>
      </c>
      <c r="J1189" s="7">
        <f t="shared" si="56"/>
        <v>635060.35279661394</v>
      </c>
      <c r="K1189" s="7"/>
    </row>
    <row r="1190" spans="1:11" x14ac:dyDescent="0.25">
      <c r="A1190" s="1" t="s">
        <v>18</v>
      </c>
      <c r="B1190" s="2">
        <v>201403</v>
      </c>
      <c r="C1190" s="2">
        <v>201702</v>
      </c>
      <c r="D1190" s="10">
        <v>21265.853560739375</v>
      </c>
      <c r="E1190" s="10">
        <v>582500.78269642615</v>
      </c>
      <c r="F1190" s="1">
        <v>3</v>
      </c>
      <c r="G1190" s="1">
        <v>1102</v>
      </c>
      <c r="H1190">
        <f t="shared" si="54"/>
        <v>2014</v>
      </c>
      <c r="I1190">
        <f t="shared" si="55"/>
        <v>2017</v>
      </c>
      <c r="J1190" s="7">
        <f t="shared" si="56"/>
        <v>603766.63625716558</v>
      </c>
      <c r="K1190" s="7"/>
    </row>
    <row r="1191" spans="1:11" x14ac:dyDescent="0.25">
      <c r="A1191" s="1" t="s">
        <v>18</v>
      </c>
      <c r="B1191" s="2">
        <v>201403</v>
      </c>
      <c r="C1191" s="2">
        <v>201703</v>
      </c>
      <c r="D1191" s="10">
        <v>24439.916364102413</v>
      </c>
      <c r="E1191" s="10">
        <v>565338.6048175511</v>
      </c>
      <c r="F1191" s="1">
        <v>3</v>
      </c>
      <c r="G1191" s="1">
        <v>958</v>
      </c>
      <c r="H1191">
        <f t="shared" si="54"/>
        <v>2014</v>
      </c>
      <c r="I1191">
        <f t="shared" si="55"/>
        <v>2017</v>
      </c>
      <c r="J1191" s="7">
        <f t="shared" si="56"/>
        <v>589778.52118165349</v>
      </c>
      <c r="K1191" s="7"/>
    </row>
    <row r="1192" spans="1:11" x14ac:dyDescent="0.25">
      <c r="A1192" s="1" t="s">
        <v>18</v>
      </c>
      <c r="B1192" s="2">
        <v>201403</v>
      </c>
      <c r="C1192" s="2">
        <v>201704</v>
      </c>
      <c r="D1192" s="10">
        <v>11992.987814753149</v>
      </c>
      <c r="E1192" s="10">
        <v>564903.6171190117</v>
      </c>
      <c r="F1192" s="1">
        <v>2</v>
      </c>
      <c r="G1192" s="1">
        <v>777</v>
      </c>
      <c r="H1192">
        <f t="shared" si="54"/>
        <v>2014</v>
      </c>
      <c r="I1192">
        <f t="shared" si="55"/>
        <v>2017</v>
      </c>
      <c r="J1192" s="7">
        <f t="shared" si="56"/>
        <v>576896.6049337649</v>
      </c>
      <c r="K1192" s="7"/>
    </row>
    <row r="1193" spans="1:11" x14ac:dyDescent="0.25">
      <c r="A1193" s="1" t="s">
        <v>18</v>
      </c>
      <c r="B1193" s="2">
        <v>201403</v>
      </c>
      <c r="C1193" s="2">
        <v>201801</v>
      </c>
      <c r="D1193" s="10">
        <v>21843.308480770353</v>
      </c>
      <c r="E1193" s="10">
        <v>532839.03977539018</v>
      </c>
      <c r="F1193" s="1">
        <v>0</v>
      </c>
      <c r="G1193" s="1">
        <v>721</v>
      </c>
      <c r="H1193">
        <f t="shared" si="54"/>
        <v>2014</v>
      </c>
      <c r="I1193">
        <f t="shared" si="55"/>
        <v>2018</v>
      </c>
      <c r="J1193" s="7">
        <f t="shared" si="56"/>
        <v>554682.34825616051</v>
      </c>
      <c r="K1193" s="7"/>
    </row>
    <row r="1194" spans="1:11" x14ac:dyDescent="0.25">
      <c r="A1194" s="1" t="s">
        <v>18</v>
      </c>
      <c r="B1194" s="2">
        <v>201403</v>
      </c>
      <c r="C1194" s="2">
        <v>201802</v>
      </c>
      <c r="D1194" s="10">
        <v>12709.685087098738</v>
      </c>
      <c r="E1194" s="10">
        <v>509532.63705796958</v>
      </c>
      <c r="F1194" s="1">
        <v>3</v>
      </c>
      <c r="G1194" s="1">
        <v>538</v>
      </c>
      <c r="H1194">
        <f t="shared" si="54"/>
        <v>2014</v>
      </c>
      <c r="I1194">
        <f t="shared" si="55"/>
        <v>2018</v>
      </c>
      <c r="J1194" s="7">
        <f t="shared" si="56"/>
        <v>522242.32214506832</v>
      </c>
      <c r="K1194" s="7"/>
    </row>
    <row r="1195" spans="1:11" x14ac:dyDescent="0.25">
      <c r="A1195" s="1" t="s">
        <v>18</v>
      </c>
      <c r="B1195" s="2">
        <v>201403</v>
      </c>
      <c r="C1195" s="2">
        <v>201803</v>
      </c>
      <c r="D1195" s="10">
        <v>11619.486624600469</v>
      </c>
      <c r="E1195" s="10">
        <v>505341.00119700929</v>
      </c>
      <c r="F1195" s="1">
        <v>0</v>
      </c>
      <c r="G1195" s="1">
        <v>484</v>
      </c>
      <c r="H1195">
        <f t="shared" si="54"/>
        <v>2014</v>
      </c>
      <c r="I1195">
        <f t="shared" si="55"/>
        <v>2018</v>
      </c>
      <c r="J1195" s="7">
        <f t="shared" si="56"/>
        <v>516960.48782160977</v>
      </c>
      <c r="K1195" s="7"/>
    </row>
    <row r="1196" spans="1:11" x14ac:dyDescent="0.25">
      <c r="A1196" s="1" t="s">
        <v>18</v>
      </c>
      <c r="B1196" s="2">
        <v>201403</v>
      </c>
      <c r="C1196" s="2">
        <v>201804</v>
      </c>
      <c r="D1196" s="10">
        <v>11029.288023399386</v>
      </c>
      <c r="E1196" s="10">
        <v>468955.98401247687</v>
      </c>
      <c r="F1196" s="1">
        <v>0</v>
      </c>
      <c r="G1196" s="1">
        <v>314</v>
      </c>
      <c r="H1196">
        <f t="shared" si="54"/>
        <v>2014</v>
      </c>
      <c r="I1196">
        <f t="shared" si="55"/>
        <v>2018</v>
      </c>
      <c r="J1196" s="7">
        <f t="shared" si="56"/>
        <v>479985.27203587623</v>
      </c>
      <c r="K1196" s="7"/>
    </row>
    <row r="1197" spans="1:11" x14ac:dyDescent="0.25">
      <c r="A1197" s="1" t="s">
        <v>18</v>
      </c>
      <c r="B1197" s="2">
        <v>201403</v>
      </c>
      <c r="C1197" s="2">
        <v>201901</v>
      </c>
      <c r="D1197" s="10">
        <v>6204.4507014022811</v>
      </c>
      <c r="E1197" s="10">
        <v>468426.13493199699</v>
      </c>
      <c r="F1197" s="1">
        <v>0</v>
      </c>
      <c r="G1197" s="1">
        <v>292</v>
      </c>
      <c r="H1197">
        <f t="shared" si="54"/>
        <v>2014</v>
      </c>
      <c r="I1197">
        <f t="shared" si="55"/>
        <v>2019</v>
      </c>
      <c r="J1197" s="7">
        <f t="shared" si="56"/>
        <v>474630.58563339926</v>
      </c>
      <c r="K1197" s="7"/>
    </row>
    <row r="1198" spans="1:11" x14ac:dyDescent="0.25">
      <c r="A1198" s="1" t="s">
        <v>18</v>
      </c>
      <c r="B1198" s="2">
        <v>201403</v>
      </c>
      <c r="C1198" s="2">
        <v>201902</v>
      </c>
      <c r="D1198" s="10">
        <v>3785.1572381087631</v>
      </c>
      <c r="E1198" s="10">
        <v>449440.92251416581</v>
      </c>
      <c r="F1198" s="1">
        <v>1</v>
      </c>
      <c r="G1198" s="1">
        <v>275</v>
      </c>
      <c r="H1198">
        <f t="shared" si="54"/>
        <v>2014</v>
      </c>
      <c r="I1198">
        <f t="shared" si="55"/>
        <v>2019</v>
      </c>
      <c r="J1198" s="7">
        <f t="shared" si="56"/>
        <v>453226.07975227456</v>
      </c>
      <c r="K1198" s="7"/>
    </row>
    <row r="1199" spans="1:11" x14ac:dyDescent="0.25">
      <c r="A1199" s="1" t="s">
        <v>18</v>
      </c>
      <c r="B1199" s="2">
        <v>201403</v>
      </c>
      <c r="C1199" s="2">
        <v>201903</v>
      </c>
      <c r="D1199" s="10">
        <v>4539.2130820041639</v>
      </c>
      <c r="E1199" s="10">
        <v>454126.72014604893</v>
      </c>
      <c r="F1199" s="1">
        <v>0</v>
      </c>
      <c r="G1199" s="1">
        <v>260</v>
      </c>
      <c r="H1199">
        <f t="shared" si="54"/>
        <v>2014</v>
      </c>
      <c r="I1199">
        <f t="shared" si="55"/>
        <v>2019</v>
      </c>
      <c r="J1199" s="7">
        <f t="shared" si="56"/>
        <v>458665.93322805309</v>
      </c>
      <c r="K1199" s="7"/>
    </row>
    <row r="1200" spans="1:11" x14ac:dyDescent="0.25">
      <c r="A1200" s="1" t="s">
        <v>18</v>
      </c>
      <c r="B1200" s="2">
        <v>201403</v>
      </c>
      <c r="C1200" s="2">
        <v>201904</v>
      </c>
      <c r="D1200" s="10">
        <v>3807.2403375233339</v>
      </c>
      <c r="E1200" s="10">
        <v>438371.15248681826</v>
      </c>
      <c r="F1200" s="1">
        <v>0</v>
      </c>
      <c r="G1200" s="1">
        <v>231</v>
      </c>
      <c r="H1200">
        <f t="shared" si="54"/>
        <v>2014</v>
      </c>
      <c r="I1200">
        <f t="shared" si="55"/>
        <v>2019</v>
      </c>
      <c r="J1200" s="7">
        <f t="shared" si="56"/>
        <v>442178.3928243416</v>
      </c>
      <c r="K1200" s="7"/>
    </row>
    <row r="1201" spans="1:11" x14ac:dyDescent="0.25">
      <c r="A1201" s="1" t="s">
        <v>18</v>
      </c>
      <c r="B1201" s="2">
        <v>201403</v>
      </c>
      <c r="C1201" s="2">
        <v>202001</v>
      </c>
      <c r="D1201" s="10">
        <v>3694.8898992224404</v>
      </c>
      <c r="E1201" s="10">
        <v>424763.19455989299</v>
      </c>
      <c r="F1201" s="1">
        <v>0</v>
      </c>
      <c r="G1201" s="1">
        <v>215</v>
      </c>
      <c r="H1201">
        <f t="shared" si="54"/>
        <v>2014</v>
      </c>
      <c r="I1201">
        <f t="shared" si="55"/>
        <v>2020</v>
      </c>
      <c r="J1201" s="7">
        <f t="shared" si="56"/>
        <v>428458.0844591154</v>
      </c>
      <c r="K1201" s="7"/>
    </row>
    <row r="1202" spans="1:11" x14ac:dyDescent="0.25">
      <c r="A1202" s="1" t="s">
        <v>18</v>
      </c>
      <c r="B1202" s="2">
        <v>201403</v>
      </c>
      <c r="C1202" s="2">
        <v>202002</v>
      </c>
      <c r="D1202" s="10">
        <v>4869.3898018061973</v>
      </c>
      <c r="E1202" s="10">
        <v>408174.52770442155</v>
      </c>
      <c r="F1202" s="1">
        <v>0</v>
      </c>
      <c r="G1202" s="1">
        <v>200</v>
      </c>
      <c r="H1202">
        <f t="shared" si="54"/>
        <v>2014</v>
      </c>
      <c r="I1202">
        <f t="shared" si="55"/>
        <v>2020</v>
      </c>
      <c r="J1202" s="7">
        <f t="shared" si="56"/>
        <v>413043.91750622774</v>
      </c>
      <c r="K1202" s="7"/>
    </row>
    <row r="1203" spans="1:11" x14ac:dyDescent="0.25">
      <c r="A1203" s="1" t="s">
        <v>18</v>
      </c>
      <c r="B1203" s="2">
        <v>201403</v>
      </c>
      <c r="C1203" s="2">
        <v>202003</v>
      </c>
      <c r="D1203" s="10">
        <v>15139.75705981791</v>
      </c>
      <c r="E1203" s="10">
        <v>400962.62879438937</v>
      </c>
      <c r="F1203" s="1">
        <v>0</v>
      </c>
      <c r="G1203" s="1">
        <v>193</v>
      </c>
      <c r="H1203">
        <f t="shared" si="54"/>
        <v>2014</v>
      </c>
      <c r="I1203">
        <f t="shared" si="55"/>
        <v>2020</v>
      </c>
      <c r="J1203" s="7">
        <f t="shared" si="56"/>
        <v>416102.38585420727</v>
      </c>
      <c r="K1203" s="7"/>
    </row>
    <row r="1204" spans="1:11" x14ac:dyDescent="0.25">
      <c r="A1204" s="1" t="s">
        <v>18</v>
      </c>
      <c r="B1204" s="2">
        <v>201403</v>
      </c>
      <c r="C1204" s="2">
        <v>202004</v>
      </c>
      <c r="D1204" s="10">
        <v>2920.8218687295007</v>
      </c>
      <c r="E1204" s="10">
        <v>422264.34700105753</v>
      </c>
      <c r="F1204" s="1">
        <v>0</v>
      </c>
      <c r="G1204" s="1">
        <v>179</v>
      </c>
      <c r="H1204">
        <f t="shared" si="54"/>
        <v>2014</v>
      </c>
      <c r="I1204">
        <f t="shared" si="55"/>
        <v>2020</v>
      </c>
      <c r="J1204" s="7">
        <f t="shared" si="56"/>
        <v>425185.16886978701</v>
      </c>
      <c r="K1204" s="7"/>
    </row>
    <row r="1205" spans="1:11" x14ac:dyDescent="0.25">
      <c r="A1205" s="1" t="s">
        <v>18</v>
      </c>
      <c r="B1205" s="2">
        <v>201403</v>
      </c>
      <c r="C1205" s="2">
        <v>202101</v>
      </c>
      <c r="D1205" s="10">
        <v>2876.5119487531524</v>
      </c>
      <c r="E1205" s="10">
        <v>426536.85970729979</v>
      </c>
      <c r="F1205" s="1">
        <v>0</v>
      </c>
      <c r="G1205" s="1">
        <v>172</v>
      </c>
      <c r="H1205">
        <f t="shared" si="54"/>
        <v>2014</v>
      </c>
      <c r="I1205">
        <f t="shared" si="55"/>
        <v>2021</v>
      </c>
      <c r="J1205" s="7">
        <f t="shared" si="56"/>
        <v>429413.37165605294</v>
      </c>
      <c r="K1205" s="7"/>
    </row>
    <row r="1206" spans="1:11" x14ac:dyDescent="0.25">
      <c r="A1206" s="1" t="s">
        <v>18</v>
      </c>
      <c r="B1206" s="2">
        <v>201403</v>
      </c>
      <c r="C1206" s="2">
        <v>202102</v>
      </c>
      <c r="D1206" s="10">
        <v>16560.438483922546</v>
      </c>
      <c r="E1206" s="10">
        <v>425976.01295648864</v>
      </c>
      <c r="F1206" s="1">
        <v>0</v>
      </c>
      <c r="G1206" s="1">
        <v>165</v>
      </c>
      <c r="H1206">
        <f t="shared" si="54"/>
        <v>2014</v>
      </c>
      <c r="I1206">
        <f t="shared" si="55"/>
        <v>2021</v>
      </c>
      <c r="J1206" s="7">
        <f t="shared" si="56"/>
        <v>442536.45144041121</v>
      </c>
      <c r="K1206" s="7"/>
    </row>
    <row r="1207" spans="1:11" x14ac:dyDescent="0.25">
      <c r="A1207" s="1" t="s">
        <v>18</v>
      </c>
      <c r="B1207" s="2">
        <v>201403</v>
      </c>
      <c r="C1207" s="2">
        <v>202103</v>
      </c>
      <c r="D1207" s="10">
        <v>868.76909120372068</v>
      </c>
      <c r="E1207" s="10">
        <v>409701.31685816753</v>
      </c>
      <c r="F1207" s="1">
        <v>0</v>
      </c>
      <c r="G1207" s="1">
        <v>157</v>
      </c>
      <c r="H1207">
        <f t="shared" si="54"/>
        <v>2014</v>
      </c>
      <c r="I1207">
        <f t="shared" si="55"/>
        <v>2021</v>
      </c>
      <c r="J1207" s="7">
        <f t="shared" si="56"/>
        <v>410570.08594937122</v>
      </c>
      <c r="K1207" s="7"/>
    </row>
    <row r="1208" spans="1:11" x14ac:dyDescent="0.25">
      <c r="A1208" s="1" t="s">
        <v>18</v>
      </c>
      <c r="B1208" s="2">
        <v>201403</v>
      </c>
      <c r="C1208" s="2">
        <v>202104</v>
      </c>
      <c r="D1208" s="10">
        <v>2291.9560308464615</v>
      </c>
      <c r="E1208" s="10">
        <v>378326.47324093455</v>
      </c>
      <c r="F1208" s="1">
        <v>0</v>
      </c>
      <c r="G1208" s="1">
        <v>153</v>
      </c>
      <c r="H1208">
        <f t="shared" si="54"/>
        <v>2014</v>
      </c>
      <c r="I1208">
        <f t="shared" si="55"/>
        <v>2021</v>
      </c>
      <c r="J1208" s="7">
        <f t="shared" si="56"/>
        <v>380618.429271781</v>
      </c>
      <c r="K1208" s="7"/>
    </row>
    <row r="1209" spans="1:11" x14ac:dyDescent="0.25">
      <c r="A1209" s="1" t="s">
        <v>18</v>
      </c>
      <c r="B1209" s="2">
        <v>201404</v>
      </c>
      <c r="C1209" s="2">
        <v>201404</v>
      </c>
      <c r="D1209" s="10">
        <v>542218.06824624364</v>
      </c>
      <c r="E1209" s="10">
        <v>1593534.4364670943</v>
      </c>
      <c r="F1209" s="1">
        <v>14281</v>
      </c>
      <c r="G1209" s="1">
        <v>9257</v>
      </c>
      <c r="H1209">
        <f t="shared" si="54"/>
        <v>2014</v>
      </c>
      <c r="I1209">
        <f t="shared" si="55"/>
        <v>2014</v>
      </c>
      <c r="J1209" s="7">
        <f t="shared" si="56"/>
        <v>2135752.5047133379</v>
      </c>
      <c r="K1209" s="7"/>
    </row>
    <row r="1210" spans="1:11" x14ac:dyDescent="0.25">
      <c r="A1210" s="1" t="s">
        <v>18</v>
      </c>
      <c r="B1210" s="2">
        <v>201404</v>
      </c>
      <c r="C1210" s="2">
        <v>201501</v>
      </c>
      <c r="D1210" s="10">
        <v>678499.52227014757</v>
      </c>
      <c r="E1210" s="10">
        <v>1103207.2449427282</v>
      </c>
      <c r="F1210" s="1">
        <v>3069</v>
      </c>
      <c r="G1210" s="1">
        <v>5928</v>
      </c>
      <c r="H1210">
        <f t="shared" si="54"/>
        <v>2014</v>
      </c>
      <c r="I1210">
        <f t="shared" si="55"/>
        <v>2015</v>
      </c>
      <c r="J1210" s="7">
        <f t="shared" si="56"/>
        <v>1781706.7672128757</v>
      </c>
      <c r="K1210" s="7"/>
    </row>
    <row r="1211" spans="1:11" x14ac:dyDescent="0.25">
      <c r="A1211" s="1" t="s">
        <v>18</v>
      </c>
      <c r="B1211" s="2">
        <v>201404</v>
      </c>
      <c r="C1211" s="2">
        <v>201502</v>
      </c>
      <c r="D1211" s="10">
        <v>173095.35628995998</v>
      </c>
      <c r="E1211" s="10">
        <v>1035362.5308498864</v>
      </c>
      <c r="F1211" s="1">
        <v>348</v>
      </c>
      <c r="G1211" s="1">
        <v>4555</v>
      </c>
      <c r="H1211">
        <f t="shared" si="54"/>
        <v>2014</v>
      </c>
      <c r="I1211">
        <f t="shared" si="55"/>
        <v>2015</v>
      </c>
      <c r="J1211" s="7">
        <f t="shared" si="56"/>
        <v>1208457.8871398463</v>
      </c>
      <c r="K1211" s="7"/>
    </row>
    <row r="1212" spans="1:11" x14ac:dyDescent="0.25">
      <c r="A1212" s="1" t="s">
        <v>18</v>
      </c>
      <c r="B1212" s="2">
        <v>201404</v>
      </c>
      <c r="C1212" s="2">
        <v>201503</v>
      </c>
      <c r="D1212" s="10">
        <v>88164.540848787059</v>
      </c>
      <c r="E1212" s="10">
        <v>954745.27664517146</v>
      </c>
      <c r="F1212" s="1">
        <v>162</v>
      </c>
      <c r="G1212" s="1">
        <v>3830</v>
      </c>
      <c r="H1212">
        <f t="shared" si="54"/>
        <v>2014</v>
      </c>
      <c r="I1212">
        <f t="shared" si="55"/>
        <v>2015</v>
      </c>
      <c r="J1212" s="7">
        <f t="shared" si="56"/>
        <v>1042909.8174939585</v>
      </c>
      <c r="K1212" s="7"/>
    </row>
    <row r="1213" spans="1:11" x14ac:dyDescent="0.25">
      <c r="A1213" s="1" t="s">
        <v>18</v>
      </c>
      <c r="B1213" s="2">
        <v>201404</v>
      </c>
      <c r="C1213" s="2">
        <v>201504</v>
      </c>
      <c r="D1213" s="10">
        <v>112993.34741709288</v>
      </c>
      <c r="E1213" s="10">
        <v>863964.78212378733</v>
      </c>
      <c r="F1213" s="1">
        <v>71</v>
      </c>
      <c r="G1213" s="1">
        <v>3237</v>
      </c>
      <c r="H1213">
        <f t="shared" si="54"/>
        <v>2014</v>
      </c>
      <c r="I1213">
        <f t="shared" si="55"/>
        <v>2015</v>
      </c>
      <c r="J1213" s="7">
        <f t="shared" si="56"/>
        <v>976958.12954088021</v>
      </c>
      <c r="K1213" s="7"/>
    </row>
    <row r="1214" spans="1:11" x14ac:dyDescent="0.25">
      <c r="A1214" s="1" t="s">
        <v>18</v>
      </c>
      <c r="B1214" s="2">
        <v>201404</v>
      </c>
      <c r="C1214" s="2">
        <v>201601</v>
      </c>
      <c r="D1214" s="10">
        <v>45221.620564579847</v>
      </c>
      <c r="E1214" s="10">
        <v>719982.33559778298</v>
      </c>
      <c r="F1214" s="1">
        <v>37</v>
      </c>
      <c r="G1214" s="1">
        <v>2584</v>
      </c>
      <c r="H1214">
        <f t="shared" si="54"/>
        <v>2014</v>
      </c>
      <c r="I1214">
        <f t="shared" si="55"/>
        <v>2016</v>
      </c>
      <c r="J1214" s="7">
        <f t="shared" si="56"/>
        <v>765203.95616236283</v>
      </c>
      <c r="K1214" s="7"/>
    </row>
    <row r="1215" spans="1:11" x14ac:dyDescent="0.25">
      <c r="A1215" s="1" t="s">
        <v>18</v>
      </c>
      <c r="B1215" s="2">
        <v>201404</v>
      </c>
      <c r="C1215" s="2">
        <v>201602</v>
      </c>
      <c r="D1215" s="10">
        <v>42401.555338639781</v>
      </c>
      <c r="E1215" s="10">
        <v>653425.29925354116</v>
      </c>
      <c r="F1215" s="1">
        <v>33</v>
      </c>
      <c r="G1215" s="1">
        <v>2264</v>
      </c>
      <c r="H1215">
        <f t="shared" si="54"/>
        <v>2014</v>
      </c>
      <c r="I1215">
        <f t="shared" si="55"/>
        <v>2016</v>
      </c>
      <c r="J1215" s="7">
        <f t="shared" si="56"/>
        <v>695826.85459218093</v>
      </c>
      <c r="K1215" s="7"/>
    </row>
    <row r="1216" spans="1:11" x14ac:dyDescent="0.25">
      <c r="A1216" s="1" t="s">
        <v>18</v>
      </c>
      <c r="B1216" s="2">
        <v>201404</v>
      </c>
      <c r="C1216" s="2">
        <v>201603</v>
      </c>
      <c r="D1216" s="10">
        <v>27182.844182173383</v>
      </c>
      <c r="E1216" s="10">
        <v>618746.33039052249</v>
      </c>
      <c r="F1216" s="1">
        <v>23</v>
      </c>
      <c r="G1216" s="1">
        <v>2036</v>
      </c>
      <c r="H1216">
        <f t="shared" si="54"/>
        <v>2014</v>
      </c>
      <c r="I1216">
        <f t="shared" si="55"/>
        <v>2016</v>
      </c>
      <c r="J1216" s="7">
        <f t="shared" si="56"/>
        <v>645929.17457269586</v>
      </c>
      <c r="K1216" s="7"/>
    </row>
    <row r="1217" spans="1:11" x14ac:dyDescent="0.25">
      <c r="A1217" s="1" t="s">
        <v>18</v>
      </c>
      <c r="B1217" s="2">
        <v>201404</v>
      </c>
      <c r="C1217" s="2">
        <v>201604</v>
      </c>
      <c r="D1217" s="10">
        <v>36126.296280194743</v>
      </c>
      <c r="E1217" s="10">
        <v>614931.37951206812</v>
      </c>
      <c r="F1217" s="1">
        <v>20</v>
      </c>
      <c r="G1217" s="1">
        <v>1672</v>
      </c>
      <c r="H1217">
        <f t="shared" si="54"/>
        <v>2014</v>
      </c>
      <c r="I1217">
        <f t="shared" si="55"/>
        <v>2016</v>
      </c>
      <c r="J1217" s="7">
        <f t="shared" si="56"/>
        <v>651057.67579226289</v>
      </c>
      <c r="K1217" s="7"/>
    </row>
    <row r="1218" spans="1:11" x14ac:dyDescent="0.25">
      <c r="A1218" s="1" t="s">
        <v>18</v>
      </c>
      <c r="B1218" s="2">
        <v>201404</v>
      </c>
      <c r="C1218" s="2">
        <v>201701</v>
      </c>
      <c r="D1218" s="10">
        <v>28647.859189882114</v>
      </c>
      <c r="E1218" s="10">
        <v>540190.14894380223</v>
      </c>
      <c r="F1218" s="1">
        <v>7</v>
      </c>
      <c r="G1218" s="1">
        <v>1415</v>
      </c>
      <c r="H1218">
        <f t="shared" si="54"/>
        <v>2014</v>
      </c>
      <c r="I1218">
        <f t="shared" si="55"/>
        <v>2017</v>
      </c>
      <c r="J1218" s="7">
        <f t="shared" si="56"/>
        <v>568838.00813368428</v>
      </c>
      <c r="K1218" s="7"/>
    </row>
    <row r="1219" spans="1:11" x14ac:dyDescent="0.25">
      <c r="A1219" s="1" t="s">
        <v>18</v>
      </c>
      <c r="B1219" s="2">
        <v>201404</v>
      </c>
      <c r="C1219" s="2">
        <v>201702</v>
      </c>
      <c r="D1219" s="10">
        <v>27158.134218242292</v>
      </c>
      <c r="E1219" s="10">
        <v>493576.66856579715</v>
      </c>
      <c r="F1219" s="1">
        <v>2</v>
      </c>
      <c r="G1219" s="1">
        <v>1242</v>
      </c>
      <c r="H1219">
        <f t="shared" si="54"/>
        <v>2014</v>
      </c>
      <c r="I1219">
        <f t="shared" si="55"/>
        <v>2017</v>
      </c>
      <c r="J1219" s="7">
        <f t="shared" si="56"/>
        <v>520734.80278403946</v>
      </c>
      <c r="K1219" s="7"/>
    </row>
    <row r="1220" spans="1:11" x14ac:dyDescent="0.25">
      <c r="A1220" s="1" t="s">
        <v>18</v>
      </c>
      <c r="B1220" s="2">
        <v>201404</v>
      </c>
      <c r="C1220" s="2">
        <v>201703</v>
      </c>
      <c r="D1220" s="10">
        <v>13824.573936921715</v>
      </c>
      <c r="E1220" s="10">
        <v>421807.27799475781</v>
      </c>
      <c r="F1220" s="1">
        <v>7</v>
      </c>
      <c r="G1220" s="1">
        <v>1119</v>
      </c>
      <c r="H1220">
        <f t="shared" ref="H1220:H1283" si="57">VALUE(LEFT(B1220,4))</f>
        <v>2014</v>
      </c>
      <c r="I1220">
        <f t="shared" ref="I1220:I1283" si="58">VALUE(LEFT(C1220,4))</f>
        <v>2017</v>
      </c>
      <c r="J1220" s="7">
        <f t="shared" si="56"/>
        <v>435631.85193167953</v>
      </c>
      <c r="K1220" s="7"/>
    </row>
    <row r="1221" spans="1:11" x14ac:dyDescent="0.25">
      <c r="A1221" s="1" t="s">
        <v>18</v>
      </c>
      <c r="B1221" s="2">
        <v>201404</v>
      </c>
      <c r="C1221" s="2">
        <v>201704</v>
      </c>
      <c r="D1221" s="10">
        <v>13359.823418667615</v>
      </c>
      <c r="E1221" s="10">
        <v>398115.04272285651</v>
      </c>
      <c r="F1221" s="1">
        <v>2</v>
      </c>
      <c r="G1221" s="1">
        <v>896</v>
      </c>
      <c r="H1221">
        <f t="shared" si="57"/>
        <v>2014</v>
      </c>
      <c r="I1221">
        <f t="shared" si="58"/>
        <v>2017</v>
      </c>
      <c r="J1221" s="7">
        <f t="shared" ref="J1221:J1284" si="59">D1221+E1221</f>
        <v>411474.86614152411</v>
      </c>
      <c r="K1221" s="7"/>
    </row>
    <row r="1222" spans="1:11" x14ac:dyDescent="0.25">
      <c r="A1222" s="1" t="s">
        <v>18</v>
      </c>
      <c r="B1222" s="2">
        <v>201404</v>
      </c>
      <c r="C1222" s="2">
        <v>201801</v>
      </c>
      <c r="D1222" s="10">
        <v>26408.080479192631</v>
      </c>
      <c r="E1222" s="10">
        <v>371360.34969068115</v>
      </c>
      <c r="F1222" s="1">
        <v>2</v>
      </c>
      <c r="G1222" s="1">
        <v>828</v>
      </c>
      <c r="H1222">
        <f t="shared" si="57"/>
        <v>2014</v>
      </c>
      <c r="I1222">
        <f t="shared" si="58"/>
        <v>2018</v>
      </c>
      <c r="J1222" s="7">
        <f t="shared" si="59"/>
        <v>397768.43016987375</v>
      </c>
      <c r="K1222" s="7"/>
    </row>
    <row r="1223" spans="1:11" x14ac:dyDescent="0.25">
      <c r="A1223" s="1" t="s">
        <v>18</v>
      </c>
      <c r="B1223" s="2">
        <v>201404</v>
      </c>
      <c r="C1223" s="2">
        <v>201802</v>
      </c>
      <c r="D1223" s="10">
        <v>7375.6902342733174</v>
      </c>
      <c r="E1223" s="10">
        <v>305651.78037915583</v>
      </c>
      <c r="F1223" s="1">
        <v>0</v>
      </c>
      <c r="G1223" s="1">
        <v>623</v>
      </c>
      <c r="H1223">
        <f t="shared" si="57"/>
        <v>2014</v>
      </c>
      <c r="I1223">
        <f t="shared" si="58"/>
        <v>2018</v>
      </c>
      <c r="J1223" s="7">
        <f t="shared" si="59"/>
        <v>313027.47061342915</v>
      </c>
      <c r="K1223" s="7"/>
    </row>
    <row r="1224" spans="1:11" x14ac:dyDescent="0.25">
      <c r="A1224" s="1" t="s">
        <v>18</v>
      </c>
      <c r="B1224" s="2">
        <v>201404</v>
      </c>
      <c r="C1224" s="2">
        <v>201803</v>
      </c>
      <c r="D1224" s="10">
        <v>5126.3876523914178</v>
      </c>
      <c r="E1224" s="10">
        <v>288546.42193249811</v>
      </c>
      <c r="F1224" s="1">
        <v>0</v>
      </c>
      <c r="G1224" s="1">
        <v>569</v>
      </c>
      <c r="H1224">
        <f t="shared" si="57"/>
        <v>2014</v>
      </c>
      <c r="I1224">
        <f t="shared" si="58"/>
        <v>2018</v>
      </c>
      <c r="J1224" s="7">
        <f t="shared" si="59"/>
        <v>293672.8095848895</v>
      </c>
      <c r="K1224" s="7"/>
    </row>
    <row r="1225" spans="1:11" x14ac:dyDescent="0.25">
      <c r="A1225" s="1" t="s">
        <v>18</v>
      </c>
      <c r="B1225" s="2">
        <v>201404</v>
      </c>
      <c r="C1225" s="2">
        <v>201804</v>
      </c>
      <c r="D1225" s="10">
        <v>6203.9565871174655</v>
      </c>
      <c r="E1225" s="10">
        <v>258948.72736056955</v>
      </c>
      <c r="F1225" s="1">
        <v>0</v>
      </c>
      <c r="G1225" s="1">
        <v>345</v>
      </c>
      <c r="H1225">
        <f t="shared" si="57"/>
        <v>2014</v>
      </c>
      <c r="I1225">
        <f t="shared" si="58"/>
        <v>2018</v>
      </c>
      <c r="J1225" s="7">
        <f t="shared" si="59"/>
        <v>265152.68394768704</v>
      </c>
      <c r="K1225" s="7"/>
    </row>
    <row r="1226" spans="1:11" x14ac:dyDescent="0.25">
      <c r="A1226" s="1" t="s">
        <v>18</v>
      </c>
      <c r="B1226" s="2">
        <v>201404</v>
      </c>
      <c r="C1226" s="2">
        <v>201901</v>
      </c>
      <c r="D1226" s="10">
        <v>12025.00494299863</v>
      </c>
      <c r="E1226" s="10">
        <v>236283.73370964394</v>
      </c>
      <c r="F1226" s="1">
        <v>0</v>
      </c>
      <c r="G1226" s="1">
        <v>313</v>
      </c>
      <c r="H1226">
        <f t="shared" si="57"/>
        <v>2014</v>
      </c>
      <c r="I1226">
        <f t="shared" si="58"/>
        <v>2019</v>
      </c>
      <c r="J1226" s="7">
        <f t="shared" si="59"/>
        <v>248308.73865264258</v>
      </c>
      <c r="K1226" s="7"/>
    </row>
    <row r="1227" spans="1:11" x14ac:dyDescent="0.25">
      <c r="A1227" s="1" t="s">
        <v>18</v>
      </c>
      <c r="B1227" s="2">
        <v>201404</v>
      </c>
      <c r="C1227" s="2">
        <v>201902</v>
      </c>
      <c r="D1227" s="10">
        <v>16601.060130316502</v>
      </c>
      <c r="E1227" s="10">
        <v>226656.04027430384</v>
      </c>
      <c r="F1227" s="1">
        <v>0</v>
      </c>
      <c r="G1227" s="1">
        <v>268</v>
      </c>
      <c r="H1227">
        <f t="shared" si="57"/>
        <v>2014</v>
      </c>
      <c r="I1227">
        <f t="shared" si="58"/>
        <v>2019</v>
      </c>
      <c r="J1227" s="7">
        <f t="shared" si="59"/>
        <v>243257.10040462035</v>
      </c>
      <c r="K1227" s="7"/>
    </row>
    <row r="1228" spans="1:11" x14ac:dyDescent="0.25">
      <c r="A1228" s="1" t="s">
        <v>18</v>
      </c>
      <c r="B1228" s="2">
        <v>201404</v>
      </c>
      <c r="C1228" s="2">
        <v>201903</v>
      </c>
      <c r="D1228" s="10">
        <v>10313.379150796747</v>
      </c>
      <c r="E1228" s="10">
        <v>213739.39671564117</v>
      </c>
      <c r="F1228" s="1">
        <v>0</v>
      </c>
      <c r="G1228" s="1">
        <v>255</v>
      </c>
      <c r="H1228">
        <f t="shared" si="57"/>
        <v>2014</v>
      </c>
      <c r="I1228">
        <f t="shared" si="58"/>
        <v>2019</v>
      </c>
      <c r="J1228" s="7">
        <f t="shared" si="59"/>
        <v>224052.77586643791</v>
      </c>
      <c r="K1228" s="7"/>
    </row>
    <row r="1229" spans="1:11" x14ac:dyDescent="0.25">
      <c r="A1229" s="1" t="s">
        <v>18</v>
      </c>
      <c r="B1229" s="2">
        <v>201404</v>
      </c>
      <c r="C1229" s="2">
        <v>201904</v>
      </c>
      <c r="D1229" s="10">
        <v>2378.114319321397</v>
      </c>
      <c r="E1229" s="10">
        <v>204713.60004296666</v>
      </c>
      <c r="F1229" s="1">
        <v>0</v>
      </c>
      <c r="G1229" s="1">
        <v>222</v>
      </c>
      <c r="H1229">
        <f t="shared" si="57"/>
        <v>2014</v>
      </c>
      <c r="I1229">
        <f t="shared" si="58"/>
        <v>2019</v>
      </c>
      <c r="J1229" s="7">
        <f t="shared" si="59"/>
        <v>207091.71436228807</v>
      </c>
      <c r="K1229" s="7"/>
    </row>
    <row r="1230" spans="1:11" x14ac:dyDescent="0.25">
      <c r="A1230" s="1" t="s">
        <v>18</v>
      </c>
      <c r="B1230" s="2">
        <v>201404</v>
      </c>
      <c r="C1230" s="2">
        <v>202001</v>
      </c>
      <c r="D1230" s="10">
        <v>3264.3823956659649</v>
      </c>
      <c r="E1230" s="10">
        <v>192589.51668369377</v>
      </c>
      <c r="F1230" s="1">
        <v>0</v>
      </c>
      <c r="G1230" s="1">
        <v>213</v>
      </c>
      <c r="H1230">
        <f t="shared" si="57"/>
        <v>2014</v>
      </c>
      <c r="I1230">
        <f t="shared" si="58"/>
        <v>2020</v>
      </c>
      <c r="J1230" s="7">
        <f t="shared" si="59"/>
        <v>195853.89907935975</v>
      </c>
      <c r="K1230" s="7"/>
    </row>
    <row r="1231" spans="1:11" x14ac:dyDescent="0.25">
      <c r="A1231" s="1" t="s">
        <v>18</v>
      </c>
      <c r="B1231" s="2">
        <v>201404</v>
      </c>
      <c r="C1231" s="2">
        <v>202002</v>
      </c>
      <c r="D1231" s="10">
        <v>7252.0744938071975</v>
      </c>
      <c r="E1231" s="10">
        <v>184664.76471090247</v>
      </c>
      <c r="F1231" s="1">
        <v>0</v>
      </c>
      <c r="G1231" s="1">
        <v>194</v>
      </c>
      <c r="H1231">
        <f t="shared" si="57"/>
        <v>2014</v>
      </c>
      <c r="I1231">
        <f t="shared" si="58"/>
        <v>2020</v>
      </c>
      <c r="J1231" s="7">
        <f t="shared" si="59"/>
        <v>191916.83920470966</v>
      </c>
      <c r="K1231" s="7"/>
    </row>
    <row r="1232" spans="1:11" x14ac:dyDescent="0.25">
      <c r="A1232" s="1" t="s">
        <v>18</v>
      </c>
      <c r="B1232" s="2">
        <v>201404</v>
      </c>
      <c r="C1232" s="2">
        <v>202003</v>
      </c>
      <c r="D1232" s="10">
        <v>11486.783836002913</v>
      </c>
      <c r="E1232" s="10">
        <v>187280.93762877496</v>
      </c>
      <c r="F1232" s="1">
        <v>0</v>
      </c>
      <c r="G1232" s="1">
        <v>173</v>
      </c>
      <c r="H1232">
        <f t="shared" si="57"/>
        <v>2014</v>
      </c>
      <c r="I1232">
        <f t="shared" si="58"/>
        <v>2020</v>
      </c>
      <c r="J1232" s="7">
        <f t="shared" si="59"/>
        <v>198767.72146477789</v>
      </c>
      <c r="K1232" s="7"/>
    </row>
    <row r="1233" spans="1:11" x14ac:dyDescent="0.25">
      <c r="A1233" s="1" t="s">
        <v>18</v>
      </c>
      <c r="B1233" s="2">
        <v>201404</v>
      </c>
      <c r="C1233" s="2">
        <v>202004</v>
      </c>
      <c r="D1233" s="10">
        <v>2563.4354686652646</v>
      </c>
      <c r="E1233" s="10">
        <v>179652.68408159071</v>
      </c>
      <c r="F1233" s="1">
        <v>0</v>
      </c>
      <c r="G1233" s="1">
        <v>166</v>
      </c>
      <c r="H1233">
        <f t="shared" si="57"/>
        <v>2014</v>
      </c>
      <c r="I1233">
        <f t="shared" si="58"/>
        <v>2020</v>
      </c>
      <c r="J1233" s="7">
        <f t="shared" si="59"/>
        <v>182216.11955025597</v>
      </c>
      <c r="K1233" s="7"/>
    </row>
    <row r="1234" spans="1:11" x14ac:dyDescent="0.25">
      <c r="A1234" s="1" t="s">
        <v>18</v>
      </c>
      <c r="B1234" s="2">
        <v>201404</v>
      </c>
      <c r="C1234" s="2">
        <v>202101</v>
      </c>
      <c r="D1234" s="10">
        <v>4045.864896311552</v>
      </c>
      <c r="E1234" s="10">
        <v>177479.08733188253</v>
      </c>
      <c r="F1234" s="1">
        <v>0</v>
      </c>
      <c r="G1234" s="1">
        <v>153</v>
      </c>
      <c r="H1234">
        <f t="shared" si="57"/>
        <v>2014</v>
      </c>
      <c r="I1234">
        <f t="shared" si="58"/>
        <v>2021</v>
      </c>
      <c r="J1234" s="7">
        <f t="shared" si="59"/>
        <v>181524.95222819407</v>
      </c>
      <c r="K1234" s="7"/>
    </row>
    <row r="1235" spans="1:11" x14ac:dyDescent="0.25">
      <c r="A1235" s="1" t="s">
        <v>18</v>
      </c>
      <c r="B1235" s="2">
        <v>201404</v>
      </c>
      <c r="C1235" s="2">
        <v>202102</v>
      </c>
      <c r="D1235" s="10">
        <v>1585.6313188637739</v>
      </c>
      <c r="E1235" s="10">
        <v>177595.49303391299</v>
      </c>
      <c r="F1235" s="1">
        <v>0</v>
      </c>
      <c r="G1235" s="1">
        <v>145</v>
      </c>
      <c r="H1235">
        <f t="shared" si="57"/>
        <v>2014</v>
      </c>
      <c r="I1235">
        <f t="shared" si="58"/>
        <v>2021</v>
      </c>
      <c r="J1235" s="7">
        <f t="shared" si="59"/>
        <v>179181.12435277677</v>
      </c>
      <c r="K1235" s="7"/>
    </row>
    <row r="1236" spans="1:11" x14ac:dyDescent="0.25">
      <c r="A1236" s="1" t="s">
        <v>18</v>
      </c>
      <c r="B1236" s="2">
        <v>201404</v>
      </c>
      <c r="C1236" s="2">
        <v>202103</v>
      </c>
      <c r="D1236" s="10">
        <v>1096.579157345773</v>
      </c>
      <c r="E1236" s="10">
        <v>183022.98049042057</v>
      </c>
      <c r="F1236" s="1">
        <v>0</v>
      </c>
      <c r="G1236" s="1">
        <v>137</v>
      </c>
      <c r="H1236">
        <f t="shared" si="57"/>
        <v>2014</v>
      </c>
      <c r="I1236">
        <f t="shared" si="58"/>
        <v>2021</v>
      </c>
      <c r="J1236" s="7">
        <f t="shared" si="59"/>
        <v>184119.55964776635</v>
      </c>
      <c r="K1236" s="7"/>
    </row>
    <row r="1237" spans="1:11" x14ac:dyDescent="0.25">
      <c r="A1237" s="1" t="s">
        <v>18</v>
      </c>
      <c r="B1237" s="2">
        <v>201404</v>
      </c>
      <c r="C1237" s="2">
        <v>202104</v>
      </c>
      <c r="D1237" s="10">
        <v>2208.1601267251986</v>
      </c>
      <c r="E1237" s="10">
        <v>168419.57404253949</v>
      </c>
      <c r="F1237" s="1">
        <v>0</v>
      </c>
      <c r="G1237" s="1">
        <v>134</v>
      </c>
      <c r="H1237">
        <f t="shared" si="57"/>
        <v>2014</v>
      </c>
      <c r="I1237">
        <f t="shared" si="58"/>
        <v>2021</v>
      </c>
      <c r="J1237" s="7">
        <f t="shared" si="59"/>
        <v>170627.7341692647</v>
      </c>
      <c r="K1237" s="7"/>
    </row>
    <row r="1238" spans="1:11" x14ac:dyDescent="0.25">
      <c r="A1238" s="1" t="s">
        <v>18</v>
      </c>
      <c r="B1238" s="2">
        <v>201501</v>
      </c>
      <c r="C1238" s="2">
        <v>201501</v>
      </c>
      <c r="D1238" s="10">
        <v>581501.66517225211</v>
      </c>
      <c r="E1238" s="10">
        <v>1145339.169226048</v>
      </c>
      <c r="F1238" s="1">
        <v>13071</v>
      </c>
      <c r="G1238" s="1">
        <v>7367</v>
      </c>
      <c r="H1238">
        <f t="shared" si="57"/>
        <v>2015</v>
      </c>
      <c r="I1238">
        <f t="shared" si="58"/>
        <v>2015</v>
      </c>
      <c r="J1238" s="7">
        <f t="shared" si="59"/>
        <v>1726840.8343983002</v>
      </c>
      <c r="K1238" s="7"/>
    </row>
    <row r="1239" spans="1:11" x14ac:dyDescent="0.25">
      <c r="A1239" s="1" t="s">
        <v>18</v>
      </c>
      <c r="B1239" s="2">
        <v>201501</v>
      </c>
      <c r="C1239" s="2">
        <v>201502</v>
      </c>
      <c r="D1239" s="10">
        <v>607346.08317786676</v>
      </c>
      <c r="E1239" s="10">
        <v>1048585.9791669496</v>
      </c>
      <c r="F1239" s="1">
        <v>2343</v>
      </c>
      <c r="G1239" s="1">
        <v>4963</v>
      </c>
      <c r="H1239">
        <f t="shared" si="57"/>
        <v>2015</v>
      </c>
      <c r="I1239">
        <f t="shared" si="58"/>
        <v>2015</v>
      </c>
      <c r="J1239" s="7">
        <f t="shared" si="59"/>
        <v>1655932.0623448165</v>
      </c>
      <c r="K1239" s="7"/>
    </row>
    <row r="1240" spans="1:11" x14ac:dyDescent="0.25">
      <c r="A1240" s="1" t="s">
        <v>18</v>
      </c>
      <c r="B1240" s="2">
        <v>201501</v>
      </c>
      <c r="C1240" s="2">
        <v>201503</v>
      </c>
      <c r="D1240" s="10">
        <v>297141.50195337145</v>
      </c>
      <c r="E1240" s="10">
        <v>965339.04029122123</v>
      </c>
      <c r="F1240" s="1">
        <v>289</v>
      </c>
      <c r="G1240" s="1">
        <v>3937</v>
      </c>
      <c r="H1240">
        <f t="shared" si="57"/>
        <v>2015</v>
      </c>
      <c r="I1240">
        <f t="shared" si="58"/>
        <v>2015</v>
      </c>
      <c r="J1240" s="7">
        <f t="shared" si="59"/>
        <v>1262480.5422445927</v>
      </c>
      <c r="K1240" s="7"/>
    </row>
    <row r="1241" spans="1:11" x14ac:dyDescent="0.25">
      <c r="A1241" s="1" t="s">
        <v>18</v>
      </c>
      <c r="B1241" s="2">
        <v>201501</v>
      </c>
      <c r="C1241" s="2">
        <v>201504</v>
      </c>
      <c r="D1241" s="10">
        <v>242797.18246938474</v>
      </c>
      <c r="E1241" s="10">
        <v>946215.53446727549</v>
      </c>
      <c r="F1241" s="1">
        <v>127</v>
      </c>
      <c r="G1241" s="1">
        <v>3372</v>
      </c>
      <c r="H1241">
        <f t="shared" si="57"/>
        <v>2015</v>
      </c>
      <c r="I1241">
        <f t="shared" si="58"/>
        <v>2015</v>
      </c>
      <c r="J1241" s="7">
        <f t="shared" si="59"/>
        <v>1189012.7169366602</v>
      </c>
      <c r="K1241" s="7"/>
    </row>
    <row r="1242" spans="1:11" x14ac:dyDescent="0.25">
      <c r="A1242" s="1" t="s">
        <v>18</v>
      </c>
      <c r="B1242" s="2">
        <v>201501</v>
      </c>
      <c r="C1242" s="2">
        <v>201601</v>
      </c>
      <c r="D1242" s="10">
        <v>243429.03196220103</v>
      </c>
      <c r="E1242" s="10">
        <v>800114.11877269496</v>
      </c>
      <c r="F1242" s="1">
        <v>136</v>
      </c>
      <c r="G1242" s="1">
        <v>2798</v>
      </c>
      <c r="H1242">
        <f t="shared" si="57"/>
        <v>2015</v>
      </c>
      <c r="I1242">
        <f t="shared" si="58"/>
        <v>2016</v>
      </c>
      <c r="J1242" s="7">
        <f t="shared" si="59"/>
        <v>1043543.150734896</v>
      </c>
      <c r="K1242" s="7"/>
    </row>
    <row r="1243" spans="1:11" x14ac:dyDescent="0.25">
      <c r="A1243" s="1" t="s">
        <v>18</v>
      </c>
      <c r="B1243" s="2">
        <v>201501</v>
      </c>
      <c r="C1243" s="2">
        <v>201602</v>
      </c>
      <c r="D1243" s="10">
        <v>92416.414449987118</v>
      </c>
      <c r="E1243" s="10">
        <v>735448.9105622028</v>
      </c>
      <c r="F1243" s="1">
        <v>43</v>
      </c>
      <c r="G1243" s="1">
        <v>2413</v>
      </c>
      <c r="H1243">
        <f t="shared" si="57"/>
        <v>2015</v>
      </c>
      <c r="I1243">
        <f t="shared" si="58"/>
        <v>2016</v>
      </c>
      <c r="J1243" s="7">
        <f t="shared" si="59"/>
        <v>827865.32501218992</v>
      </c>
      <c r="K1243" s="7"/>
    </row>
    <row r="1244" spans="1:11" x14ac:dyDescent="0.25">
      <c r="A1244" s="1" t="s">
        <v>18</v>
      </c>
      <c r="B1244" s="2">
        <v>201501</v>
      </c>
      <c r="C1244" s="2">
        <v>201603</v>
      </c>
      <c r="D1244" s="10">
        <v>-778.61666186863465</v>
      </c>
      <c r="E1244" s="10">
        <v>693412.69814608735</v>
      </c>
      <c r="F1244" s="1">
        <v>18</v>
      </c>
      <c r="G1244" s="1">
        <v>2186</v>
      </c>
      <c r="H1244">
        <f t="shared" si="57"/>
        <v>2015</v>
      </c>
      <c r="I1244">
        <f t="shared" si="58"/>
        <v>2016</v>
      </c>
      <c r="J1244" s="7">
        <f t="shared" si="59"/>
        <v>692634.08148421871</v>
      </c>
      <c r="K1244" s="7"/>
    </row>
    <row r="1245" spans="1:11" x14ac:dyDescent="0.25">
      <c r="A1245" s="1" t="s">
        <v>18</v>
      </c>
      <c r="B1245" s="2">
        <v>201501</v>
      </c>
      <c r="C1245" s="2">
        <v>201604</v>
      </c>
      <c r="D1245" s="10">
        <v>53039.381334833655</v>
      </c>
      <c r="E1245" s="10">
        <v>658441.88333356229</v>
      </c>
      <c r="F1245" s="1">
        <v>23</v>
      </c>
      <c r="G1245" s="1">
        <v>1740</v>
      </c>
      <c r="H1245">
        <f t="shared" si="57"/>
        <v>2015</v>
      </c>
      <c r="I1245">
        <f t="shared" si="58"/>
        <v>2016</v>
      </c>
      <c r="J1245" s="7">
        <f t="shared" si="59"/>
        <v>711481.26466839598</v>
      </c>
      <c r="K1245" s="7"/>
    </row>
    <row r="1246" spans="1:11" x14ac:dyDescent="0.25">
      <c r="A1246" s="1" t="s">
        <v>18</v>
      </c>
      <c r="B1246" s="2">
        <v>201501</v>
      </c>
      <c r="C1246" s="2">
        <v>201701</v>
      </c>
      <c r="D1246" s="10">
        <v>39605.710447387799</v>
      </c>
      <c r="E1246" s="10">
        <v>593443.76293616067</v>
      </c>
      <c r="F1246" s="1">
        <v>12</v>
      </c>
      <c r="G1246" s="1">
        <v>1493</v>
      </c>
      <c r="H1246">
        <f t="shared" si="57"/>
        <v>2015</v>
      </c>
      <c r="I1246">
        <f t="shared" si="58"/>
        <v>2017</v>
      </c>
      <c r="J1246" s="7">
        <f t="shared" si="59"/>
        <v>633049.47338354844</v>
      </c>
      <c r="K1246" s="7"/>
    </row>
    <row r="1247" spans="1:11" x14ac:dyDescent="0.25">
      <c r="A1247" s="1" t="s">
        <v>18</v>
      </c>
      <c r="B1247" s="2">
        <v>201501</v>
      </c>
      <c r="C1247" s="2">
        <v>201702</v>
      </c>
      <c r="D1247" s="10">
        <v>25746.964719354637</v>
      </c>
      <c r="E1247" s="10">
        <v>549928.55918228906</v>
      </c>
      <c r="F1247" s="1">
        <v>4</v>
      </c>
      <c r="G1247" s="1">
        <v>1365</v>
      </c>
      <c r="H1247">
        <f t="shared" si="57"/>
        <v>2015</v>
      </c>
      <c r="I1247">
        <f t="shared" si="58"/>
        <v>2017</v>
      </c>
      <c r="J1247" s="7">
        <f t="shared" si="59"/>
        <v>575675.5239016437</v>
      </c>
      <c r="K1247" s="7"/>
    </row>
    <row r="1248" spans="1:11" x14ac:dyDescent="0.25">
      <c r="A1248" s="1" t="s">
        <v>18</v>
      </c>
      <c r="B1248" s="2">
        <v>201501</v>
      </c>
      <c r="C1248" s="2">
        <v>201703</v>
      </c>
      <c r="D1248" s="10">
        <v>26909.793504588419</v>
      </c>
      <c r="E1248" s="10">
        <v>517576.95306503895</v>
      </c>
      <c r="F1248" s="1">
        <v>4</v>
      </c>
      <c r="G1248" s="1">
        <v>1160</v>
      </c>
      <c r="H1248">
        <f t="shared" si="57"/>
        <v>2015</v>
      </c>
      <c r="I1248">
        <f t="shared" si="58"/>
        <v>2017</v>
      </c>
      <c r="J1248" s="7">
        <f t="shared" si="59"/>
        <v>544486.74656962731</v>
      </c>
      <c r="K1248" s="7"/>
    </row>
    <row r="1249" spans="1:11" x14ac:dyDescent="0.25">
      <c r="A1249" s="1" t="s">
        <v>18</v>
      </c>
      <c r="B1249" s="2">
        <v>201501</v>
      </c>
      <c r="C1249" s="2">
        <v>201704</v>
      </c>
      <c r="D1249" s="10">
        <v>13121.529050383668</v>
      </c>
      <c r="E1249" s="10">
        <v>502368.60693000152</v>
      </c>
      <c r="F1249" s="1">
        <v>9</v>
      </c>
      <c r="G1249" s="1">
        <v>1005</v>
      </c>
      <c r="H1249">
        <f t="shared" si="57"/>
        <v>2015</v>
      </c>
      <c r="I1249">
        <f t="shared" si="58"/>
        <v>2017</v>
      </c>
      <c r="J1249" s="7">
        <f t="shared" si="59"/>
        <v>515490.13598038518</v>
      </c>
      <c r="K1249" s="7"/>
    </row>
    <row r="1250" spans="1:11" x14ac:dyDescent="0.25">
      <c r="A1250" s="1" t="s">
        <v>18</v>
      </c>
      <c r="B1250" s="2">
        <v>201501</v>
      </c>
      <c r="C1250" s="2">
        <v>201801</v>
      </c>
      <c r="D1250" s="10">
        <v>19910.332705771849</v>
      </c>
      <c r="E1250" s="10">
        <v>474565.36044117407</v>
      </c>
      <c r="F1250" s="1">
        <v>7</v>
      </c>
      <c r="G1250" s="1">
        <v>943</v>
      </c>
      <c r="H1250">
        <f t="shared" si="57"/>
        <v>2015</v>
      </c>
      <c r="I1250">
        <f t="shared" si="58"/>
        <v>2018</v>
      </c>
      <c r="J1250" s="7">
        <f t="shared" si="59"/>
        <v>494475.69314694591</v>
      </c>
      <c r="K1250" s="7"/>
    </row>
    <row r="1251" spans="1:11" x14ac:dyDescent="0.25">
      <c r="A1251" s="1" t="s">
        <v>18</v>
      </c>
      <c r="B1251" s="2">
        <v>201501</v>
      </c>
      <c r="C1251" s="2">
        <v>201802</v>
      </c>
      <c r="D1251" s="10">
        <v>16208.861752521105</v>
      </c>
      <c r="E1251" s="10">
        <v>441952.81050323159</v>
      </c>
      <c r="F1251" s="1">
        <v>2</v>
      </c>
      <c r="G1251" s="1">
        <v>709</v>
      </c>
      <c r="H1251">
        <f t="shared" si="57"/>
        <v>2015</v>
      </c>
      <c r="I1251">
        <f t="shared" si="58"/>
        <v>2018</v>
      </c>
      <c r="J1251" s="7">
        <f t="shared" si="59"/>
        <v>458161.67225575272</v>
      </c>
      <c r="K1251" s="7"/>
    </row>
    <row r="1252" spans="1:11" x14ac:dyDescent="0.25">
      <c r="A1252" s="1" t="s">
        <v>18</v>
      </c>
      <c r="B1252" s="2">
        <v>201501</v>
      </c>
      <c r="C1252" s="2">
        <v>201803</v>
      </c>
      <c r="D1252" s="10">
        <v>18166.096632290089</v>
      </c>
      <c r="E1252" s="10">
        <v>407612.26669154468</v>
      </c>
      <c r="F1252" s="1">
        <v>1</v>
      </c>
      <c r="G1252" s="1">
        <v>638</v>
      </c>
      <c r="H1252">
        <f t="shared" si="57"/>
        <v>2015</v>
      </c>
      <c r="I1252">
        <f t="shared" si="58"/>
        <v>2018</v>
      </c>
      <c r="J1252" s="7">
        <f t="shared" si="59"/>
        <v>425778.36332383478</v>
      </c>
      <c r="K1252" s="7"/>
    </row>
    <row r="1253" spans="1:11" x14ac:dyDescent="0.25">
      <c r="A1253" s="1" t="s">
        <v>18</v>
      </c>
      <c r="B1253" s="2">
        <v>201501</v>
      </c>
      <c r="C1253" s="2">
        <v>201804</v>
      </c>
      <c r="D1253" s="10">
        <v>12797.733096222206</v>
      </c>
      <c r="E1253" s="10">
        <v>365798.4519181482</v>
      </c>
      <c r="F1253" s="1">
        <v>0</v>
      </c>
      <c r="G1253" s="1">
        <v>364</v>
      </c>
      <c r="H1253">
        <f t="shared" si="57"/>
        <v>2015</v>
      </c>
      <c r="I1253">
        <f t="shared" si="58"/>
        <v>2018</v>
      </c>
      <c r="J1253" s="7">
        <f t="shared" si="59"/>
        <v>378596.18501437042</v>
      </c>
      <c r="K1253" s="7"/>
    </row>
    <row r="1254" spans="1:11" x14ac:dyDescent="0.25">
      <c r="A1254" s="1" t="s">
        <v>18</v>
      </c>
      <c r="B1254" s="2">
        <v>201501</v>
      </c>
      <c r="C1254" s="2">
        <v>201901</v>
      </c>
      <c r="D1254" s="10">
        <v>52744.954624668309</v>
      </c>
      <c r="E1254" s="10">
        <v>317049.60941681359</v>
      </c>
      <c r="F1254" s="1">
        <v>1</v>
      </c>
      <c r="G1254" s="1">
        <v>315</v>
      </c>
      <c r="H1254">
        <f t="shared" si="57"/>
        <v>2015</v>
      </c>
      <c r="I1254">
        <f t="shared" si="58"/>
        <v>2019</v>
      </c>
      <c r="J1254" s="7">
        <f t="shared" si="59"/>
        <v>369794.56404148188</v>
      </c>
      <c r="K1254" s="7"/>
    </row>
    <row r="1255" spans="1:11" x14ac:dyDescent="0.25">
      <c r="A1255" s="1" t="s">
        <v>18</v>
      </c>
      <c r="B1255" s="2">
        <v>201501</v>
      </c>
      <c r="C1255" s="2">
        <v>201902</v>
      </c>
      <c r="D1255" s="10">
        <v>11982.701805937886</v>
      </c>
      <c r="E1255" s="10">
        <v>273690.58071896742</v>
      </c>
      <c r="F1255" s="1">
        <v>0</v>
      </c>
      <c r="G1255" s="1">
        <v>278</v>
      </c>
      <c r="H1255">
        <f t="shared" si="57"/>
        <v>2015</v>
      </c>
      <c r="I1255">
        <f t="shared" si="58"/>
        <v>2019</v>
      </c>
      <c r="J1255" s="7">
        <f t="shared" si="59"/>
        <v>285673.28252490528</v>
      </c>
      <c r="K1255" s="7"/>
    </row>
    <row r="1256" spans="1:11" x14ac:dyDescent="0.25">
      <c r="A1256" s="1" t="s">
        <v>18</v>
      </c>
      <c r="B1256" s="2">
        <v>201501</v>
      </c>
      <c r="C1256" s="2">
        <v>201903</v>
      </c>
      <c r="D1256" s="10">
        <v>12490.03190708715</v>
      </c>
      <c r="E1256" s="10">
        <v>271261.8728795792</v>
      </c>
      <c r="F1256" s="1">
        <v>0</v>
      </c>
      <c r="G1256" s="1">
        <v>268</v>
      </c>
      <c r="H1256">
        <f t="shared" si="57"/>
        <v>2015</v>
      </c>
      <c r="I1256">
        <f t="shared" si="58"/>
        <v>2019</v>
      </c>
      <c r="J1256" s="7">
        <f t="shared" si="59"/>
        <v>283751.90478666633</v>
      </c>
      <c r="K1256" s="7"/>
    </row>
    <row r="1257" spans="1:11" x14ac:dyDescent="0.25">
      <c r="A1257" s="1" t="s">
        <v>18</v>
      </c>
      <c r="B1257" s="2">
        <v>201501</v>
      </c>
      <c r="C1257" s="2">
        <v>201904</v>
      </c>
      <c r="D1257" s="10">
        <v>18929.214426275325</v>
      </c>
      <c r="E1257" s="10">
        <v>247208.07959699703</v>
      </c>
      <c r="F1257" s="1">
        <v>0</v>
      </c>
      <c r="G1257" s="1">
        <v>230</v>
      </c>
      <c r="H1257">
        <f t="shared" si="57"/>
        <v>2015</v>
      </c>
      <c r="I1257">
        <f t="shared" si="58"/>
        <v>2019</v>
      </c>
      <c r="J1257" s="7">
        <f t="shared" si="59"/>
        <v>266137.29402327235</v>
      </c>
      <c r="K1257" s="7"/>
    </row>
    <row r="1258" spans="1:11" x14ac:dyDescent="0.25">
      <c r="A1258" s="1" t="s">
        <v>18</v>
      </c>
      <c r="B1258" s="2">
        <v>201501</v>
      </c>
      <c r="C1258" s="2">
        <v>202001</v>
      </c>
      <c r="D1258" s="10">
        <v>25157.458558185412</v>
      </c>
      <c r="E1258" s="10">
        <v>287501.40204960137</v>
      </c>
      <c r="F1258" s="1">
        <v>0</v>
      </c>
      <c r="G1258" s="1">
        <v>204</v>
      </c>
      <c r="H1258">
        <f t="shared" si="57"/>
        <v>2015</v>
      </c>
      <c r="I1258">
        <f t="shared" si="58"/>
        <v>2020</v>
      </c>
      <c r="J1258" s="7">
        <f t="shared" si="59"/>
        <v>312658.8606077868</v>
      </c>
      <c r="K1258" s="7"/>
    </row>
    <row r="1259" spans="1:11" x14ac:dyDescent="0.25">
      <c r="A1259" s="1" t="s">
        <v>18</v>
      </c>
      <c r="B1259" s="2">
        <v>201501</v>
      </c>
      <c r="C1259" s="2">
        <v>202002</v>
      </c>
      <c r="D1259" s="10">
        <v>4269.3216679915931</v>
      </c>
      <c r="E1259" s="10">
        <v>274037.23990244669</v>
      </c>
      <c r="F1259" s="1">
        <v>0</v>
      </c>
      <c r="G1259" s="1">
        <v>187</v>
      </c>
      <c r="H1259">
        <f t="shared" si="57"/>
        <v>2015</v>
      </c>
      <c r="I1259">
        <f t="shared" si="58"/>
        <v>2020</v>
      </c>
      <c r="J1259" s="7">
        <f t="shared" si="59"/>
        <v>278306.56157043827</v>
      </c>
      <c r="K1259" s="7"/>
    </row>
    <row r="1260" spans="1:11" x14ac:dyDescent="0.25">
      <c r="A1260" s="1" t="s">
        <v>18</v>
      </c>
      <c r="B1260" s="2">
        <v>201501</v>
      </c>
      <c r="C1260" s="2">
        <v>202003</v>
      </c>
      <c r="D1260" s="10">
        <v>10587.071016516295</v>
      </c>
      <c r="E1260" s="10">
        <v>263610.02150132071</v>
      </c>
      <c r="F1260" s="1">
        <v>0</v>
      </c>
      <c r="G1260" s="1">
        <v>163</v>
      </c>
      <c r="H1260">
        <f t="shared" si="57"/>
        <v>2015</v>
      </c>
      <c r="I1260">
        <f t="shared" si="58"/>
        <v>2020</v>
      </c>
      <c r="J1260" s="7">
        <f t="shared" si="59"/>
        <v>274197.09251783701</v>
      </c>
      <c r="K1260" s="7"/>
    </row>
    <row r="1261" spans="1:11" x14ac:dyDescent="0.25">
      <c r="A1261" s="1" t="s">
        <v>18</v>
      </c>
      <c r="B1261" s="2">
        <v>201501</v>
      </c>
      <c r="C1261" s="2">
        <v>202004</v>
      </c>
      <c r="D1261" s="10">
        <v>2209.9908565054748</v>
      </c>
      <c r="E1261" s="10">
        <v>264088.09519791661</v>
      </c>
      <c r="F1261" s="1">
        <v>0</v>
      </c>
      <c r="G1261" s="1">
        <v>150</v>
      </c>
      <c r="H1261">
        <f t="shared" si="57"/>
        <v>2015</v>
      </c>
      <c r="I1261">
        <f t="shared" si="58"/>
        <v>2020</v>
      </c>
      <c r="J1261" s="7">
        <f t="shared" si="59"/>
        <v>266298.08605442208</v>
      </c>
      <c r="K1261" s="7"/>
    </row>
    <row r="1262" spans="1:11" x14ac:dyDescent="0.25">
      <c r="A1262" s="1" t="s">
        <v>18</v>
      </c>
      <c r="B1262" s="2">
        <v>201501</v>
      </c>
      <c r="C1262" s="2">
        <v>202101</v>
      </c>
      <c r="D1262" s="10">
        <v>6114.8557550131036</v>
      </c>
      <c r="E1262" s="10">
        <v>265679.04854576779</v>
      </c>
      <c r="F1262" s="1">
        <v>0</v>
      </c>
      <c r="G1262" s="1">
        <v>136</v>
      </c>
      <c r="H1262">
        <f t="shared" si="57"/>
        <v>2015</v>
      </c>
      <c r="I1262">
        <f t="shared" si="58"/>
        <v>2021</v>
      </c>
      <c r="J1262" s="7">
        <f t="shared" si="59"/>
        <v>271793.90430078091</v>
      </c>
      <c r="K1262" s="7"/>
    </row>
    <row r="1263" spans="1:11" x14ac:dyDescent="0.25">
      <c r="A1263" s="1" t="s">
        <v>18</v>
      </c>
      <c r="B1263" s="2">
        <v>201501</v>
      </c>
      <c r="C1263" s="2">
        <v>202102</v>
      </c>
      <c r="D1263" s="10">
        <v>8244.2103555441281</v>
      </c>
      <c r="E1263" s="10">
        <v>266021.65341640951</v>
      </c>
      <c r="F1263" s="1">
        <v>0</v>
      </c>
      <c r="G1263" s="1">
        <v>126</v>
      </c>
      <c r="H1263">
        <f t="shared" si="57"/>
        <v>2015</v>
      </c>
      <c r="I1263">
        <f t="shared" si="58"/>
        <v>2021</v>
      </c>
      <c r="J1263" s="7">
        <f t="shared" si="59"/>
        <v>274265.86377195362</v>
      </c>
      <c r="K1263" s="7"/>
    </row>
    <row r="1264" spans="1:11" x14ac:dyDescent="0.25">
      <c r="A1264" s="1" t="s">
        <v>18</v>
      </c>
      <c r="B1264" s="2">
        <v>201501</v>
      </c>
      <c r="C1264" s="2">
        <v>202103</v>
      </c>
      <c r="D1264" s="10">
        <v>8466.6266517244803</v>
      </c>
      <c r="E1264" s="10">
        <v>263358.10243292502</v>
      </c>
      <c r="F1264" s="1">
        <v>0</v>
      </c>
      <c r="G1264" s="1">
        <v>117</v>
      </c>
      <c r="H1264">
        <f t="shared" si="57"/>
        <v>2015</v>
      </c>
      <c r="I1264">
        <f t="shared" si="58"/>
        <v>2021</v>
      </c>
      <c r="J1264" s="7">
        <f t="shared" si="59"/>
        <v>271824.72908464947</v>
      </c>
      <c r="K1264" s="7"/>
    </row>
    <row r="1265" spans="1:11" x14ac:dyDescent="0.25">
      <c r="A1265" s="1" t="s">
        <v>18</v>
      </c>
      <c r="B1265" s="2">
        <v>201501</v>
      </c>
      <c r="C1265" s="2">
        <v>202104</v>
      </c>
      <c r="D1265" s="10">
        <v>5049.384026110346</v>
      </c>
      <c r="E1265" s="10">
        <v>255810.64249958569</v>
      </c>
      <c r="F1265" s="1">
        <v>0</v>
      </c>
      <c r="G1265" s="1">
        <v>112</v>
      </c>
      <c r="H1265">
        <f t="shared" si="57"/>
        <v>2015</v>
      </c>
      <c r="I1265">
        <f t="shared" si="58"/>
        <v>2021</v>
      </c>
      <c r="J1265" s="7">
        <f t="shared" si="59"/>
        <v>260860.02652569604</v>
      </c>
      <c r="K1265" s="7"/>
    </row>
    <row r="1266" spans="1:11" x14ac:dyDescent="0.25">
      <c r="A1266" s="1" t="s">
        <v>18</v>
      </c>
      <c r="B1266" s="2">
        <v>201502</v>
      </c>
      <c r="C1266" s="2">
        <v>201502</v>
      </c>
      <c r="D1266" s="10">
        <v>585943.60673426755</v>
      </c>
      <c r="E1266" s="10">
        <v>1551106.4630735805</v>
      </c>
      <c r="F1266" s="1">
        <v>14815</v>
      </c>
      <c r="G1266" s="1">
        <v>9006</v>
      </c>
      <c r="H1266">
        <f t="shared" si="57"/>
        <v>2015</v>
      </c>
      <c r="I1266">
        <f t="shared" si="58"/>
        <v>2015</v>
      </c>
      <c r="J1266" s="7">
        <f t="shared" si="59"/>
        <v>2137050.069807848</v>
      </c>
      <c r="K1266" s="7"/>
    </row>
    <row r="1267" spans="1:11" x14ac:dyDescent="0.25">
      <c r="A1267" s="1" t="s">
        <v>18</v>
      </c>
      <c r="B1267" s="2">
        <v>201502</v>
      </c>
      <c r="C1267" s="2">
        <v>201503</v>
      </c>
      <c r="D1267" s="10">
        <v>632208.53833591728</v>
      </c>
      <c r="E1267" s="10">
        <v>1247780.1396137329</v>
      </c>
      <c r="F1267" s="1">
        <v>2723</v>
      </c>
      <c r="G1267" s="1">
        <v>5916</v>
      </c>
      <c r="H1267">
        <f t="shared" si="57"/>
        <v>2015</v>
      </c>
      <c r="I1267">
        <f t="shared" si="58"/>
        <v>2015</v>
      </c>
      <c r="J1267" s="7">
        <f t="shared" si="59"/>
        <v>1879988.6779496502</v>
      </c>
      <c r="K1267" s="7"/>
    </row>
    <row r="1268" spans="1:11" x14ac:dyDescent="0.25">
      <c r="A1268" s="1" t="s">
        <v>18</v>
      </c>
      <c r="B1268" s="2">
        <v>201502</v>
      </c>
      <c r="C1268" s="2">
        <v>201504</v>
      </c>
      <c r="D1268" s="10">
        <v>213224.94187692189</v>
      </c>
      <c r="E1268" s="10">
        <v>1328437.2932047972</v>
      </c>
      <c r="F1268" s="1">
        <v>404</v>
      </c>
      <c r="G1268" s="1">
        <v>4743</v>
      </c>
      <c r="H1268">
        <f t="shared" si="57"/>
        <v>2015</v>
      </c>
      <c r="I1268">
        <f t="shared" si="58"/>
        <v>2015</v>
      </c>
      <c r="J1268" s="7">
        <f t="shared" si="59"/>
        <v>1541662.235081719</v>
      </c>
      <c r="K1268" s="7"/>
    </row>
    <row r="1269" spans="1:11" x14ac:dyDescent="0.25">
      <c r="A1269" s="1" t="s">
        <v>18</v>
      </c>
      <c r="B1269" s="2">
        <v>201502</v>
      </c>
      <c r="C1269" s="2">
        <v>201601</v>
      </c>
      <c r="D1269" s="10">
        <v>144723.73158061405</v>
      </c>
      <c r="E1269" s="10">
        <v>1106288.1232903318</v>
      </c>
      <c r="F1269" s="1">
        <v>135</v>
      </c>
      <c r="G1269" s="1">
        <v>3794</v>
      </c>
      <c r="H1269">
        <f t="shared" si="57"/>
        <v>2015</v>
      </c>
      <c r="I1269">
        <f t="shared" si="58"/>
        <v>2016</v>
      </c>
      <c r="J1269" s="7">
        <f t="shared" si="59"/>
        <v>1251011.8548709459</v>
      </c>
      <c r="K1269" s="7"/>
    </row>
    <row r="1270" spans="1:11" x14ac:dyDescent="0.25">
      <c r="A1270" s="1" t="s">
        <v>18</v>
      </c>
      <c r="B1270" s="2">
        <v>201502</v>
      </c>
      <c r="C1270" s="2">
        <v>201602</v>
      </c>
      <c r="D1270" s="10">
        <v>70355.140425184945</v>
      </c>
      <c r="E1270" s="10">
        <v>1036828.8669969712</v>
      </c>
      <c r="F1270" s="1">
        <v>84</v>
      </c>
      <c r="G1270" s="1">
        <v>3326</v>
      </c>
      <c r="H1270">
        <f t="shared" si="57"/>
        <v>2015</v>
      </c>
      <c r="I1270">
        <f t="shared" si="58"/>
        <v>2016</v>
      </c>
      <c r="J1270" s="7">
        <f t="shared" si="59"/>
        <v>1107184.0074221562</v>
      </c>
      <c r="K1270" s="7"/>
    </row>
    <row r="1271" spans="1:11" x14ac:dyDescent="0.25">
      <c r="A1271" s="1" t="s">
        <v>18</v>
      </c>
      <c r="B1271" s="2">
        <v>201502</v>
      </c>
      <c r="C1271" s="2">
        <v>201603</v>
      </c>
      <c r="D1271" s="10">
        <v>76357.61447955847</v>
      </c>
      <c r="E1271" s="10">
        <v>940497.69554119953</v>
      </c>
      <c r="F1271" s="1">
        <v>44</v>
      </c>
      <c r="G1271" s="1">
        <v>2947</v>
      </c>
      <c r="H1271">
        <f t="shared" si="57"/>
        <v>2015</v>
      </c>
      <c r="I1271">
        <f t="shared" si="58"/>
        <v>2016</v>
      </c>
      <c r="J1271" s="7">
        <f t="shared" si="59"/>
        <v>1016855.310020758</v>
      </c>
      <c r="K1271" s="7"/>
    </row>
    <row r="1272" spans="1:11" x14ac:dyDescent="0.25">
      <c r="A1272" s="1" t="s">
        <v>18</v>
      </c>
      <c r="B1272" s="2">
        <v>201502</v>
      </c>
      <c r="C1272" s="2">
        <v>201604</v>
      </c>
      <c r="D1272" s="10">
        <v>33783.671879900867</v>
      </c>
      <c r="E1272" s="10">
        <v>927668.84737261222</v>
      </c>
      <c r="F1272" s="1">
        <v>18</v>
      </c>
      <c r="G1272" s="1">
        <v>2417</v>
      </c>
      <c r="H1272">
        <f t="shared" si="57"/>
        <v>2015</v>
      </c>
      <c r="I1272">
        <f t="shared" si="58"/>
        <v>2016</v>
      </c>
      <c r="J1272" s="7">
        <f t="shared" si="59"/>
        <v>961452.51925251307</v>
      </c>
      <c r="K1272" s="7"/>
    </row>
    <row r="1273" spans="1:11" x14ac:dyDescent="0.25">
      <c r="A1273" s="1" t="s">
        <v>18</v>
      </c>
      <c r="B1273" s="2">
        <v>201502</v>
      </c>
      <c r="C1273" s="2">
        <v>201701</v>
      </c>
      <c r="D1273" s="10">
        <v>25251.791243502958</v>
      </c>
      <c r="E1273" s="10">
        <v>834735.50160259637</v>
      </c>
      <c r="F1273" s="1">
        <v>13</v>
      </c>
      <c r="G1273" s="1">
        <v>2111</v>
      </c>
      <c r="H1273">
        <f t="shared" si="57"/>
        <v>2015</v>
      </c>
      <c r="I1273">
        <f t="shared" si="58"/>
        <v>2017</v>
      </c>
      <c r="J1273" s="7">
        <f t="shared" si="59"/>
        <v>859987.29284609936</v>
      </c>
      <c r="K1273" s="7"/>
    </row>
    <row r="1274" spans="1:11" x14ac:dyDescent="0.25">
      <c r="A1274" s="1" t="s">
        <v>18</v>
      </c>
      <c r="B1274" s="2">
        <v>201502</v>
      </c>
      <c r="C1274" s="2">
        <v>201702</v>
      </c>
      <c r="D1274" s="10">
        <v>18272.013787415279</v>
      </c>
      <c r="E1274" s="10">
        <v>812663.01869122719</v>
      </c>
      <c r="F1274" s="1">
        <v>10</v>
      </c>
      <c r="G1274" s="1">
        <v>1909</v>
      </c>
      <c r="H1274">
        <f t="shared" si="57"/>
        <v>2015</v>
      </c>
      <c r="I1274">
        <f t="shared" si="58"/>
        <v>2017</v>
      </c>
      <c r="J1274" s="7">
        <f t="shared" si="59"/>
        <v>830935.03247864242</v>
      </c>
      <c r="K1274" s="7"/>
    </row>
    <row r="1275" spans="1:11" x14ac:dyDescent="0.25">
      <c r="A1275" s="1" t="s">
        <v>18</v>
      </c>
      <c r="B1275" s="2">
        <v>201502</v>
      </c>
      <c r="C1275" s="2">
        <v>201703</v>
      </c>
      <c r="D1275" s="10">
        <v>23571.221076757545</v>
      </c>
      <c r="E1275" s="10">
        <v>779161.49911313469</v>
      </c>
      <c r="F1275" s="1">
        <v>7</v>
      </c>
      <c r="G1275" s="1">
        <v>1684</v>
      </c>
      <c r="H1275">
        <f t="shared" si="57"/>
        <v>2015</v>
      </c>
      <c r="I1275">
        <f t="shared" si="58"/>
        <v>2017</v>
      </c>
      <c r="J1275" s="7">
        <f t="shared" si="59"/>
        <v>802732.72018989222</v>
      </c>
      <c r="K1275" s="7"/>
    </row>
    <row r="1276" spans="1:11" x14ac:dyDescent="0.25">
      <c r="A1276" s="1" t="s">
        <v>18</v>
      </c>
      <c r="B1276" s="2">
        <v>201502</v>
      </c>
      <c r="C1276" s="2">
        <v>201704</v>
      </c>
      <c r="D1276" s="10">
        <v>14154.481953193532</v>
      </c>
      <c r="E1276" s="10">
        <v>747424.56260284886</v>
      </c>
      <c r="F1276" s="1">
        <v>6</v>
      </c>
      <c r="G1276" s="1">
        <v>1479</v>
      </c>
      <c r="H1276">
        <f t="shared" si="57"/>
        <v>2015</v>
      </c>
      <c r="I1276">
        <f t="shared" si="58"/>
        <v>2017</v>
      </c>
      <c r="J1276" s="7">
        <f t="shared" si="59"/>
        <v>761579.04455604241</v>
      </c>
      <c r="K1276" s="7"/>
    </row>
    <row r="1277" spans="1:11" x14ac:dyDescent="0.25">
      <c r="A1277" s="1" t="s">
        <v>18</v>
      </c>
      <c r="B1277" s="2">
        <v>201502</v>
      </c>
      <c r="C1277" s="2">
        <v>201801</v>
      </c>
      <c r="D1277" s="10">
        <v>31284.532377053169</v>
      </c>
      <c r="E1277" s="10">
        <v>722986.22563143249</v>
      </c>
      <c r="F1277" s="1">
        <v>4</v>
      </c>
      <c r="G1277" s="1">
        <v>1334</v>
      </c>
      <c r="H1277">
        <f t="shared" si="57"/>
        <v>2015</v>
      </c>
      <c r="I1277">
        <f t="shared" si="58"/>
        <v>2018</v>
      </c>
      <c r="J1277" s="7">
        <f t="shared" si="59"/>
        <v>754270.75800848566</v>
      </c>
      <c r="K1277" s="7"/>
    </row>
    <row r="1278" spans="1:11" x14ac:dyDescent="0.25">
      <c r="A1278" s="1" t="s">
        <v>18</v>
      </c>
      <c r="B1278" s="2">
        <v>201502</v>
      </c>
      <c r="C1278" s="2">
        <v>201802</v>
      </c>
      <c r="D1278" s="10">
        <v>15866.49733046684</v>
      </c>
      <c r="E1278" s="10">
        <v>620203.08683692885</v>
      </c>
      <c r="F1278" s="1">
        <v>4</v>
      </c>
      <c r="G1278" s="1">
        <v>967</v>
      </c>
      <c r="H1278">
        <f t="shared" si="57"/>
        <v>2015</v>
      </c>
      <c r="I1278">
        <f t="shared" si="58"/>
        <v>2018</v>
      </c>
      <c r="J1278" s="7">
        <f t="shared" si="59"/>
        <v>636069.58416739572</v>
      </c>
      <c r="K1278" s="7"/>
    </row>
    <row r="1279" spans="1:11" x14ac:dyDescent="0.25">
      <c r="A1279" s="1" t="s">
        <v>18</v>
      </c>
      <c r="B1279" s="2">
        <v>201502</v>
      </c>
      <c r="C1279" s="2">
        <v>201803</v>
      </c>
      <c r="D1279" s="10">
        <v>11049.512964857742</v>
      </c>
      <c r="E1279" s="10">
        <v>575660.14868831274</v>
      </c>
      <c r="F1279" s="1">
        <v>1</v>
      </c>
      <c r="G1279" s="1">
        <v>866</v>
      </c>
      <c r="H1279">
        <f t="shared" si="57"/>
        <v>2015</v>
      </c>
      <c r="I1279">
        <f t="shared" si="58"/>
        <v>2018</v>
      </c>
      <c r="J1279" s="7">
        <f t="shared" si="59"/>
        <v>586709.66165317048</v>
      </c>
      <c r="K1279" s="7"/>
    </row>
    <row r="1280" spans="1:11" x14ac:dyDescent="0.25">
      <c r="A1280" s="1" t="s">
        <v>18</v>
      </c>
      <c r="B1280" s="2">
        <v>201502</v>
      </c>
      <c r="C1280" s="2">
        <v>201804</v>
      </c>
      <c r="D1280" s="10">
        <v>12341.684878303957</v>
      </c>
      <c r="E1280" s="10">
        <v>517859.11678264412</v>
      </c>
      <c r="F1280" s="1">
        <v>0</v>
      </c>
      <c r="G1280" s="1">
        <v>494</v>
      </c>
      <c r="H1280">
        <f t="shared" si="57"/>
        <v>2015</v>
      </c>
      <c r="I1280">
        <f t="shared" si="58"/>
        <v>2018</v>
      </c>
      <c r="J1280" s="7">
        <f t="shared" si="59"/>
        <v>530200.80166094808</v>
      </c>
      <c r="K1280" s="7"/>
    </row>
    <row r="1281" spans="1:11" x14ac:dyDescent="0.25">
      <c r="A1281" s="1" t="s">
        <v>18</v>
      </c>
      <c r="B1281" s="2">
        <v>201502</v>
      </c>
      <c r="C1281" s="2">
        <v>201901</v>
      </c>
      <c r="D1281" s="10">
        <v>29852.607801974435</v>
      </c>
      <c r="E1281" s="10">
        <v>483743.41359109676</v>
      </c>
      <c r="F1281" s="1">
        <v>0</v>
      </c>
      <c r="G1281" s="1">
        <v>444</v>
      </c>
      <c r="H1281">
        <f t="shared" si="57"/>
        <v>2015</v>
      </c>
      <c r="I1281">
        <f t="shared" si="58"/>
        <v>2019</v>
      </c>
      <c r="J1281" s="7">
        <f t="shared" si="59"/>
        <v>513596.02139307122</v>
      </c>
      <c r="K1281" s="7"/>
    </row>
    <row r="1282" spans="1:11" x14ac:dyDescent="0.25">
      <c r="A1282" s="1" t="s">
        <v>18</v>
      </c>
      <c r="B1282" s="2">
        <v>201502</v>
      </c>
      <c r="C1282" s="2">
        <v>201902</v>
      </c>
      <c r="D1282" s="10">
        <v>21582.279325914646</v>
      </c>
      <c r="E1282" s="10">
        <v>409487.57247197733</v>
      </c>
      <c r="F1282" s="1">
        <v>1</v>
      </c>
      <c r="G1282" s="1">
        <v>388</v>
      </c>
      <c r="H1282">
        <f t="shared" si="57"/>
        <v>2015</v>
      </c>
      <c r="I1282">
        <f t="shared" si="58"/>
        <v>2019</v>
      </c>
      <c r="J1282" s="7">
        <f t="shared" si="59"/>
        <v>431069.85179789196</v>
      </c>
      <c r="K1282" s="7"/>
    </row>
    <row r="1283" spans="1:11" x14ac:dyDescent="0.25">
      <c r="A1283" s="1" t="s">
        <v>18</v>
      </c>
      <c r="B1283" s="2">
        <v>201502</v>
      </c>
      <c r="C1283" s="2">
        <v>201903</v>
      </c>
      <c r="D1283" s="10">
        <v>11224.15549693707</v>
      </c>
      <c r="E1283" s="10">
        <v>373338.64872636058</v>
      </c>
      <c r="F1283" s="1">
        <v>0</v>
      </c>
      <c r="G1283" s="1">
        <v>366</v>
      </c>
      <c r="H1283">
        <f t="shared" si="57"/>
        <v>2015</v>
      </c>
      <c r="I1283">
        <f t="shared" si="58"/>
        <v>2019</v>
      </c>
      <c r="J1283" s="7">
        <f t="shared" si="59"/>
        <v>384562.80422329763</v>
      </c>
      <c r="K1283" s="7"/>
    </row>
    <row r="1284" spans="1:11" x14ac:dyDescent="0.25">
      <c r="A1284" s="1" t="s">
        <v>18</v>
      </c>
      <c r="B1284" s="2">
        <v>201502</v>
      </c>
      <c r="C1284" s="2">
        <v>201904</v>
      </c>
      <c r="D1284" s="10">
        <v>36195.686542533469</v>
      </c>
      <c r="E1284" s="10">
        <v>340836.11119744816</v>
      </c>
      <c r="F1284" s="1">
        <v>0</v>
      </c>
      <c r="G1284" s="1">
        <v>329</v>
      </c>
      <c r="H1284">
        <f t="shared" ref="H1284:H1347" si="60">VALUE(LEFT(B1284,4))</f>
        <v>2015</v>
      </c>
      <c r="I1284">
        <f t="shared" ref="I1284:I1347" si="61">VALUE(LEFT(C1284,4))</f>
        <v>2019</v>
      </c>
      <c r="J1284" s="7">
        <f t="shared" si="59"/>
        <v>377031.79773998162</v>
      </c>
      <c r="K1284" s="7"/>
    </row>
    <row r="1285" spans="1:11" x14ac:dyDescent="0.25">
      <c r="A1285" s="1" t="s">
        <v>18</v>
      </c>
      <c r="B1285" s="2">
        <v>201502</v>
      </c>
      <c r="C1285" s="2">
        <v>202001</v>
      </c>
      <c r="D1285" s="10">
        <v>2501.1785363015224</v>
      </c>
      <c r="E1285" s="10">
        <v>335738.13797131903</v>
      </c>
      <c r="F1285" s="1">
        <v>0</v>
      </c>
      <c r="G1285" s="1">
        <v>298</v>
      </c>
      <c r="H1285">
        <f t="shared" si="60"/>
        <v>2015</v>
      </c>
      <c r="I1285">
        <f t="shared" si="61"/>
        <v>2020</v>
      </c>
      <c r="J1285" s="7">
        <f t="shared" ref="J1285:J1348" si="62">D1285+E1285</f>
        <v>338239.31650762056</v>
      </c>
      <c r="K1285" s="7"/>
    </row>
    <row r="1286" spans="1:11" x14ac:dyDescent="0.25">
      <c r="A1286" s="1" t="s">
        <v>18</v>
      </c>
      <c r="B1286" s="2">
        <v>201502</v>
      </c>
      <c r="C1286" s="2">
        <v>202002</v>
      </c>
      <c r="D1286" s="10">
        <v>7606.1074962872526</v>
      </c>
      <c r="E1286" s="10">
        <v>322667.27058077703</v>
      </c>
      <c r="F1286" s="1">
        <v>1</v>
      </c>
      <c r="G1286" s="1">
        <v>255</v>
      </c>
      <c r="H1286">
        <f t="shared" si="60"/>
        <v>2015</v>
      </c>
      <c r="I1286">
        <f t="shared" si="61"/>
        <v>2020</v>
      </c>
      <c r="J1286" s="7">
        <f t="shared" si="62"/>
        <v>330273.37807706429</v>
      </c>
      <c r="K1286" s="7"/>
    </row>
    <row r="1287" spans="1:11" x14ac:dyDescent="0.25">
      <c r="A1287" s="1" t="s">
        <v>18</v>
      </c>
      <c r="B1287" s="2">
        <v>201502</v>
      </c>
      <c r="C1287" s="2">
        <v>202003</v>
      </c>
      <c r="D1287" s="10">
        <v>6658.1285848094758</v>
      </c>
      <c r="E1287" s="10">
        <v>313721.46087138675</v>
      </c>
      <c r="F1287" s="1">
        <v>0</v>
      </c>
      <c r="G1287" s="1">
        <v>238</v>
      </c>
      <c r="H1287">
        <f t="shared" si="60"/>
        <v>2015</v>
      </c>
      <c r="I1287">
        <f t="shared" si="61"/>
        <v>2020</v>
      </c>
      <c r="J1287" s="7">
        <f t="shared" si="62"/>
        <v>320379.58945619623</v>
      </c>
      <c r="K1287" s="7"/>
    </row>
    <row r="1288" spans="1:11" x14ac:dyDescent="0.25">
      <c r="A1288" s="1" t="s">
        <v>18</v>
      </c>
      <c r="B1288" s="2">
        <v>201502</v>
      </c>
      <c r="C1288" s="2">
        <v>202004</v>
      </c>
      <c r="D1288" s="10">
        <v>315.259092809832</v>
      </c>
      <c r="E1288" s="10">
        <v>310474.06008073746</v>
      </c>
      <c r="F1288" s="1">
        <v>0</v>
      </c>
      <c r="G1288" s="1">
        <v>229</v>
      </c>
      <c r="H1288">
        <f t="shared" si="60"/>
        <v>2015</v>
      </c>
      <c r="I1288">
        <f t="shared" si="61"/>
        <v>2020</v>
      </c>
      <c r="J1288" s="7">
        <f t="shared" si="62"/>
        <v>310789.31917354726</v>
      </c>
      <c r="K1288" s="7"/>
    </row>
    <row r="1289" spans="1:11" x14ac:dyDescent="0.25">
      <c r="A1289" s="1" t="s">
        <v>18</v>
      </c>
      <c r="B1289" s="2">
        <v>201502</v>
      </c>
      <c r="C1289" s="2">
        <v>202101</v>
      </c>
      <c r="D1289" s="10">
        <v>2894.0551313087108</v>
      </c>
      <c r="E1289" s="10">
        <v>317072.04294134391</v>
      </c>
      <c r="F1289" s="1">
        <v>1</v>
      </c>
      <c r="G1289" s="1">
        <v>210</v>
      </c>
      <c r="H1289">
        <f t="shared" si="60"/>
        <v>2015</v>
      </c>
      <c r="I1289">
        <f t="shared" si="61"/>
        <v>2021</v>
      </c>
      <c r="J1289" s="7">
        <f t="shared" si="62"/>
        <v>319966.09807265265</v>
      </c>
      <c r="K1289" s="7"/>
    </row>
    <row r="1290" spans="1:11" x14ac:dyDescent="0.25">
      <c r="A1290" s="1" t="s">
        <v>18</v>
      </c>
      <c r="B1290" s="2">
        <v>201502</v>
      </c>
      <c r="C1290" s="2">
        <v>202102</v>
      </c>
      <c r="D1290" s="10">
        <v>2389.5620620432437</v>
      </c>
      <c r="E1290" s="10">
        <v>314527.16060382407</v>
      </c>
      <c r="F1290" s="1">
        <v>0</v>
      </c>
      <c r="G1290" s="1">
        <v>200</v>
      </c>
      <c r="H1290">
        <f t="shared" si="60"/>
        <v>2015</v>
      </c>
      <c r="I1290">
        <f t="shared" si="61"/>
        <v>2021</v>
      </c>
      <c r="J1290" s="7">
        <f t="shared" si="62"/>
        <v>316916.7226658673</v>
      </c>
      <c r="K1290" s="7"/>
    </row>
    <row r="1291" spans="1:11" x14ac:dyDescent="0.25">
      <c r="A1291" s="1" t="s">
        <v>18</v>
      </c>
      <c r="B1291" s="2">
        <v>201502</v>
      </c>
      <c r="C1291" s="2">
        <v>202103</v>
      </c>
      <c r="D1291" s="10">
        <v>11732.946020037842</v>
      </c>
      <c r="E1291" s="10">
        <v>316885.09195567871</v>
      </c>
      <c r="F1291" s="1">
        <v>0</v>
      </c>
      <c r="G1291" s="1">
        <v>188</v>
      </c>
      <c r="H1291">
        <f t="shared" si="60"/>
        <v>2015</v>
      </c>
      <c r="I1291">
        <f t="shared" si="61"/>
        <v>2021</v>
      </c>
      <c r="J1291" s="7">
        <f t="shared" si="62"/>
        <v>328618.03797571658</v>
      </c>
      <c r="K1291" s="7"/>
    </row>
    <row r="1292" spans="1:11" x14ac:dyDescent="0.25">
      <c r="A1292" s="1" t="s">
        <v>18</v>
      </c>
      <c r="B1292" s="2">
        <v>201502</v>
      </c>
      <c r="C1292" s="2">
        <v>202104</v>
      </c>
      <c r="D1292" s="10">
        <v>1980.6957824719022</v>
      </c>
      <c r="E1292" s="10">
        <v>293904.37249131332</v>
      </c>
      <c r="F1292" s="1">
        <v>0</v>
      </c>
      <c r="G1292" s="1">
        <v>172</v>
      </c>
      <c r="H1292">
        <f t="shared" si="60"/>
        <v>2015</v>
      </c>
      <c r="I1292">
        <f t="shared" si="61"/>
        <v>2021</v>
      </c>
      <c r="J1292" s="7">
        <f t="shared" si="62"/>
        <v>295885.06827378523</v>
      </c>
      <c r="K1292" s="7"/>
    </row>
    <row r="1293" spans="1:11" x14ac:dyDescent="0.25">
      <c r="A1293" s="1" t="s">
        <v>18</v>
      </c>
      <c r="B1293" s="2">
        <v>201503</v>
      </c>
      <c r="C1293" s="2">
        <v>201503</v>
      </c>
      <c r="D1293" s="10">
        <v>599431.11726019077</v>
      </c>
      <c r="E1293" s="10">
        <v>1447468.9593613597</v>
      </c>
      <c r="F1293" s="1">
        <v>14787</v>
      </c>
      <c r="G1293" s="1">
        <v>8713</v>
      </c>
      <c r="H1293">
        <f t="shared" si="60"/>
        <v>2015</v>
      </c>
      <c r="I1293">
        <f t="shared" si="61"/>
        <v>2015</v>
      </c>
      <c r="J1293" s="7">
        <f t="shared" si="62"/>
        <v>2046900.0766215506</v>
      </c>
      <c r="K1293" s="7"/>
    </row>
    <row r="1294" spans="1:11" x14ac:dyDescent="0.25">
      <c r="A1294" s="1" t="s">
        <v>18</v>
      </c>
      <c r="B1294" s="2">
        <v>201503</v>
      </c>
      <c r="C1294" s="2">
        <v>201504</v>
      </c>
      <c r="D1294" s="10">
        <v>630736.38840150367</v>
      </c>
      <c r="E1294" s="10">
        <v>1456787.4445965635</v>
      </c>
      <c r="F1294" s="1">
        <v>2869</v>
      </c>
      <c r="G1294" s="1">
        <v>5882</v>
      </c>
      <c r="H1294">
        <f t="shared" si="60"/>
        <v>2015</v>
      </c>
      <c r="I1294">
        <f t="shared" si="61"/>
        <v>2015</v>
      </c>
      <c r="J1294" s="7">
        <f t="shared" si="62"/>
        <v>2087523.8329980671</v>
      </c>
      <c r="K1294" s="7"/>
    </row>
    <row r="1295" spans="1:11" x14ac:dyDescent="0.25">
      <c r="A1295" s="1" t="s">
        <v>18</v>
      </c>
      <c r="B1295" s="2">
        <v>201503</v>
      </c>
      <c r="C1295" s="2">
        <v>201601</v>
      </c>
      <c r="D1295" s="10">
        <v>224932.82465169192</v>
      </c>
      <c r="E1295" s="10">
        <v>1198190.7849607284</v>
      </c>
      <c r="F1295" s="1">
        <v>351</v>
      </c>
      <c r="G1295" s="1">
        <v>4536</v>
      </c>
      <c r="H1295">
        <f t="shared" si="60"/>
        <v>2015</v>
      </c>
      <c r="I1295">
        <f t="shared" si="61"/>
        <v>2016</v>
      </c>
      <c r="J1295" s="7">
        <f t="shared" si="62"/>
        <v>1423123.6096124202</v>
      </c>
      <c r="K1295" s="7"/>
    </row>
    <row r="1296" spans="1:11" x14ac:dyDescent="0.25">
      <c r="A1296" s="1" t="s">
        <v>18</v>
      </c>
      <c r="B1296" s="2">
        <v>201503</v>
      </c>
      <c r="C1296" s="2">
        <v>201602</v>
      </c>
      <c r="D1296" s="10">
        <v>129701.22014086094</v>
      </c>
      <c r="E1296" s="10">
        <v>1052460.527672318</v>
      </c>
      <c r="F1296" s="1">
        <v>144</v>
      </c>
      <c r="G1296" s="1">
        <v>3710</v>
      </c>
      <c r="H1296">
        <f t="shared" si="60"/>
        <v>2015</v>
      </c>
      <c r="I1296">
        <f t="shared" si="61"/>
        <v>2016</v>
      </c>
      <c r="J1296" s="7">
        <f t="shared" si="62"/>
        <v>1182161.7478131789</v>
      </c>
      <c r="K1296" s="7"/>
    </row>
    <row r="1297" spans="1:11" x14ac:dyDescent="0.25">
      <c r="A1297" s="1" t="s">
        <v>18</v>
      </c>
      <c r="B1297" s="2">
        <v>201503</v>
      </c>
      <c r="C1297" s="2">
        <v>201603</v>
      </c>
      <c r="D1297" s="10">
        <v>79569.468521299612</v>
      </c>
      <c r="E1297" s="10">
        <v>1026263.3187959954</v>
      </c>
      <c r="F1297" s="1">
        <v>80</v>
      </c>
      <c r="G1297" s="1">
        <v>3202</v>
      </c>
      <c r="H1297">
        <f t="shared" si="60"/>
        <v>2015</v>
      </c>
      <c r="I1297">
        <f t="shared" si="61"/>
        <v>2016</v>
      </c>
      <c r="J1297" s="7">
        <f t="shared" si="62"/>
        <v>1105832.7873172951</v>
      </c>
      <c r="K1297" s="7"/>
    </row>
    <row r="1298" spans="1:11" x14ac:dyDescent="0.25">
      <c r="A1298" s="1" t="s">
        <v>18</v>
      </c>
      <c r="B1298" s="2">
        <v>201503</v>
      </c>
      <c r="C1298" s="2">
        <v>201604</v>
      </c>
      <c r="D1298" s="10">
        <v>81976.29068504856</v>
      </c>
      <c r="E1298" s="10">
        <v>1066999.7747353564</v>
      </c>
      <c r="F1298" s="1">
        <v>44</v>
      </c>
      <c r="G1298" s="1">
        <v>2573</v>
      </c>
      <c r="H1298">
        <f t="shared" si="60"/>
        <v>2015</v>
      </c>
      <c r="I1298">
        <f t="shared" si="61"/>
        <v>2016</v>
      </c>
      <c r="J1298" s="7">
        <f t="shared" si="62"/>
        <v>1148976.065420405</v>
      </c>
      <c r="K1298" s="7"/>
    </row>
    <row r="1299" spans="1:11" x14ac:dyDescent="0.25">
      <c r="A1299" s="1" t="s">
        <v>18</v>
      </c>
      <c r="B1299" s="2">
        <v>201503</v>
      </c>
      <c r="C1299" s="2">
        <v>201701</v>
      </c>
      <c r="D1299" s="10">
        <v>69567.077088808117</v>
      </c>
      <c r="E1299" s="10">
        <v>919666.88019575458</v>
      </c>
      <c r="F1299" s="1">
        <v>31</v>
      </c>
      <c r="G1299" s="1">
        <v>2198</v>
      </c>
      <c r="H1299">
        <f t="shared" si="60"/>
        <v>2015</v>
      </c>
      <c r="I1299">
        <f t="shared" si="61"/>
        <v>2017</v>
      </c>
      <c r="J1299" s="7">
        <f t="shared" si="62"/>
        <v>989233.95728456276</v>
      </c>
      <c r="K1299" s="7"/>
    </row>
    <row r="1300" spans="1:11" x14ac:dyDescent="0.25">
      <c r="A1300" s="1" t="s">
        <v>18</v>
      </c>
      <c r="B1300" s="2">
        <v>201503</v>
      </c>
      <c r="C1300" s="2">
        <v>201702</v>
      </c>
      <c r="D1300" s="10">
        <v>22067.169288096549</v>
      </c>
      <c r="E1300" s="10">
        <v>906938.15169173584</v>
      </c>
      <c r="F1300" s="1">
        <v>10</v>
      </c>
      <c r="G1300" s="1">
        <v>2013</v>
      </c>
      <c r="H1300">
        <f t="shared" si="60"/>
        <v>2015</v>
      </c>
      <c r="I1300">
        <f t="shared" si="61"/>
        <v>2017</v>
      </c>
      <c r="J1300" s="7">
        <f t="shared" si="62"/>
        <v>929005.32097983244</v>
      </c>
      <c r="K1300" s="7"/>
    </row>
    <row r="1301" spans="1:11" x14ac:dyDescent="0.25">
      <c r="A1301" s="1" t="s">
        <v>18</v>
      </c>
      <c r="B1301" s="2">
        <v>201503</v>
      </c>
      <c r="C1301" s="2">
        <v>201703</v>
      </c>
      <c r="D1301" s="10">
        <v>36752.80090295188</v>
      </c>
      <c r="E1301" s="10">
        <v>829678.93375251733</v>
      </c>
      <c r="F1301" s="1">
        <v>12</v>
      </c>
      <c r="G1301" s="1">
        <v>1764</v>
      </c>
      <c r="H1301">
        <f t="shared" si="60"/>
        <v>2015</v>
      </c>
      <c r="I1301">
        <f t="shared" si="61"/>
        <v>2017</v>
      </c>
      <c r="J1301" s="7">
        <f t="shared" si="62"/>
        <v>866431.73465546919</v>
      </c>
      <c r="K1301" s="7"/>
    </row>
    <row r="1302" spans="1:11" x14ac:dyDescent="0.25">
      <c r="A1302" s="1" t="s">
        <v>18</v>
      </c>
      <c r="B1302" s="2">
        <v>201503</v>
      </c>
      <c r="C1302" s="2">
        <v>201704</v>
      </c>
      <c r="D1302" s="10">
        <v>32952.350585795204</v>
      </c>
      <c r="E1302" s="10">
        <v>821176.31154142378</v>
      </c>
      <c r="F1302" s="1">
        <v>10</v>
      </c>
      <c r="G1302" s="1">
        <v>1592</v>
      </c>
      <c r="H1302">
        <f t="shared" si="60"/>
        <v>2015</v>
      </c>
      <c r="I1302">
        <f t="shared" si="61"/>
        <v>2017</v>
      </c>
      <c r="J1302" s="7">
        <f t="shared" si="62"/>
        <v>854128.66212721902</v>
      </c>
      <c r="K1302" s="7"/>
    </row>
    <row r="1303" spans="1:11" x14ac:dyDescent="0.25">
      <c r="A1303" s="1" t="s">
        <v>18</v>
      </c>
      <c r="B1303" s="2">
        <v>201503</v>
      </c>
      <c r="C1303" s="2">
        <v>201801</v>
      </c>
      <c r="D1303" s="10">
        <v>23424.855497734239</v>
      </c>
      <c r="E1303" s="10">
        <v>819663.98175603664</v>
      </c>
      <c r="F1303" s="1">
        <v>4</v>
      </c>
      <c r="G1303" s="1">
        <v>1559</v>
      </c>
      <c r="H1303">
        <f t="shared" si="60"/>
        <v>2015</v>
      </c>
      <c r="I1303">
        <f t="shared" si="61"/>
        <v>2018</v>
      </c>
      <c r="J1303" s="7">
        <f t="shared" si="62"/>
        <v>843088.83725377091</v>
      </c>
      <c r="K1303" s="7"/>
    </row>
    <row r="1304" spans="1:11" x14ac:dyDescent="0.25">
      <c r="A1304" s="1" t="s">
        <v>18</v>
      </c>
      <c r="B1304" s="2">
        <v>201503</v>
      </c>
      <c r="C1304" s="2">
        <v>201802</v>
      </c>
      <c r="D1304" s="10">
        <v>29077.998541715315</v>
      </c>
      <c r="E1304" s="10">
        <v>706703.20888136933</v>
      </c>
      <c r="F1304" s="1">
        <v>5</v>
      </c>
      <c r="G1304" s="1">
        <v>1039</v>
      </c>
      <c r="H1304">
        <f t="shared" si="60"/>
        <v>2015</v>
      </c>
      <c r="I1304">
        <f t="shared" si="61"/>
        <v>2018</v>
      </c>
      <c r="J1304" s="7">
        <f t="shared" si="62"/>
        <v>735781.20742308465</v>
      </c>
      <c r="K1304" s="7"/>
    </row>
    <row r="1305" spans="1:11" x14ac:dyDescent="0.25">
      <c r="A1305" s="1" t="s">
        <v>18</v>
      </c>
      <c r="B1305" s="2">
        <v>201503</v>
      </c>
      <c r="C1305" s="2">
        <v>201803</v>
      </c>
      <c r="D1305" s="10">
        <v>19525.151884294137</v>
      </c>
      <c r="E1305" s="10">
        <v>680408.77363600722</v>
      </c>
      <c r="F1305" s="1">
        <v>3</v>
      </c>
      <c r="G1305" s="1">
        <v>907</v>
      </c>
      <c r="H1305">
        <f t="shared" si="60"/>
        <v>2015</v>
      </c>
      <c r="I1305">
        <f t="shared" si="61"/>
        <v>2018</v>
      </c>
      <c r="J1305" s="7">
        <f t="shared" si="62"/>
        <v>699933.92552030133</v>
      </c>
      <c r="K1305" s="7"/>
    </row>
    <row r="1306" spans="1:11" x14ac:dyDescent="0.25">
      <c r="A1306" s="1" t="s">
        <v>18</v>
      </c>
      <c r="B1306" s="2">
        <v>201503</v>
      </c>
      <c r="C1306" s="2">
        <v>201804</v>
      </c>
      <c r="D1306" s="10">
        <v>19023.543038719872</v>
      </c>
      <c r="E1306" s="10">
        <v>638826.32359225932</v>
      </c>
      <c r="F1306" s="1">
        <v>0</v>
      </c>
      <c r="G1306" s="1">
        <v>810</v>
      </c>
      <c r="H1306">
        <f t="shared" si="60"/>
        <v>2015</v>
      </c>
      <c r="I1306">
        <f t="shared" si="61"/>
        <v>2018</v>
      </c>
      <c r="J1306" s="7">
        <f t="shared" si="62"/>
        <v>657849.86663097923</v>
      </c>
      <c r="K1306" s="7"/>
    </row>
    <row r="1307" spans="1:11" x14ac:dyDescent="0.25">
      <c r="A1307" s="1" t="s">
        <v>18</v>
      </c>
      <c r="B1307" s="2">
        <v>201503</v>
      </c>
      <c r="C1307" s="2">
        <v>201901</v>
      </c>
      <c r="D1307" s="10">
        <v>21017.908361025457</v>
      </c>
      <c r="E1307" s="10">
        <v>614502.18864945241</v>
      </c>
      <c r="F1307" s="1">
        <v>0</v>
      </c>
      <c r="G1307" s="1">
        <v>682</v>
      </c>
      <c r="H1307">
        <f t="shared" si="60"/>
        <v>2015</v>
      </c>
      <c r="I1307">
        <f t="shared" si="61"/>
        <v>2019</v>
      </c>
      <c r="J1307" s="7">
        <f t="shared" si="62"/>
        <v>635520.09701047791</v>
      </c>
      <c r="K1307" s="7"/>
    </row>
    <row r="1308" spans="1:11" x14ac:dyDescent="0.25">
      <c r="A1308" s="1" t="s">
        <v>18</v>
      </c>
      <c r="B1308" s="2">
        <v>201503</v>
      </c>
      <c r="C1308" s="2">
        <v>201902</v>
      </c>
      <c r="D1308" s="10">
        <v>11507.020650204733</v>
      </c>
      <c r="E1308" s="10">
        <v>594691.54240221099</v>
      </c>
      <c r="F1308" s="1">
        <v>0</v>
      </c>
      <c r="G1308" s="1">
        <v>564</v>
      </c>
      <c r="H1308">
        <f t="shared" si="60"/>
        <v>2015</v>
      </c>
      <c r="I1308">
        <f t="shared" si="61"/>
        <v>2019</v>
      </c>
      <c r="J1308" s="7">
        <f t="shared" si="62"/>
        <v>606198.56305241573</v>
      </c>
      <c r="K1308" s="7"/>
    </row>
    <row r="1309" spans="1:11" x14ac:dyDescent="0.25">
      <c r="A1309" s="1" t="s">
        <v>18</v>
      </c>
      <c r="B1309" s="2">
        <v>201503</v>
      </c>
      <c r="C1309" s="2">
        <v>201903</v>
      </c>
      <c r="D1309" s="10">
        <v>6431.9007264614866</v>
      </c>
      <c r="E1309" s="10">
        <v>591288.82577398058</v>
      </c>
      <c r="F1309" s="1">
        <v>0</v>
      </c>
      <c r="G1309" s="1">
        <v>499</v>
      </c>
      <c r="H1309">
        <f t="shared" si="60"/>
        <v>2015</v>
      </c>
      <c r="I1309">
        <f t="shared" si="61"/>
        <v>2019</v>
      </c>
      <c r="J1309" s="7">
        <f t="shared" si="62"/>
        <v>597720.72650044202</v>
      </c>
      <c r="K1309" s="7"/>
    </row>
    <row r="1310" spans="1:11" x14ac:dyDescent="0.25">
      <c r="A1310" s="1" t="s">
        <v>18</v>
      </c>
      <c r="B1310" s="2">
        <v>201503</v>
      </c>
      <c r="C1310" s="2">
        <v>201904</v>
      </c>
      <c r="D1310" s="10">
        <v>15768.872023356056</v>
      </c>
      <c r="E1310" s="10">
        <v>570806.51598144905</v>
      </c>
      <c r="F1310" s="1">
        <v>1</v>
      </c>
      <c r="G1310" s="1">
        <v>449</v>
      </c>
      <c r="H1310">
        <f t="shared" si="60"/>
        <v>2015</v>
      </c>
      <c r="I1310">
        <f t="shared" si="61"/>
        <v>2019</v>
      </c>
      <c r="J1310" s="7">
        <f t="shared" si="62"/>
        <v>586575.38800480508</v>
      </c>
      <c r="K1310" s="7"/>
    </row>
    <row r="1311" spans="1:11" x14ac:dyDescent="0.25">
      <c r="A1311" s="1" t="s">
        <v>18</v>
      </c>
      <c r="B1311" s="2">
        <v>201503</v>
      </c>
      <c r="C1311" s="2">
        <v>202001</v>
      </c>
      <c r="D1311" s="10">
        <v>20062.85728217788</v>
      </c>
      <c r="E1311" s="10">
        <v>508517.22055930999</v>
      </c>
      <c r="F1311" s="1">
        <v>0</v>
      </c>
      <c r="G1311" s="1">
        <v>400</v>
      </c>
      <c r="H1311">
        <f t="shared" si="60"/>
        <v>2015</v>
      </c>
      <c r="I1311">
        <f t="shared" si="61"/>
        <v>2020</v>
      </c>
      <c r="J1311" s="7">
        <f t="shared" si="62"/>
        <v>528580.07784148783</v>
      </c>
      <c r="K1311" s="7"/>
    </row>
    <row r="1312" spans="1:11" x14ac:dyDescent="0.25">
      <c r="A1312" s="1" t="s">
        <v>18</v>
      </c>
      <c r="B1312" s="2">
        <v>201503</v>
      </c>
      <c r="C1312" s="2">
        <v>202002</v>
      </c>
      <c r="D1312" s="10">
        <v>12271.273807395972</v>
      </c>
      <c r="E1312" s="10">
        <v>479032.76636587031</v>
      </c>
      <c r="F1312" s="1">
        <v>0</v>
      </c>
      <c r="G1312" s="1">
        <v>354</v>
      </c>
      <c r="H1312">
        <f t="shared" si="60"/>
        <v>2015</v>
      </c>
      <c r="I1312">
        <f t="shared" si="61"/>
        <v>2020</v>
      </c>
      <c r="J1312" s="7">
        <f t="shared" si="62"/>
        <v>491304.04017326626</v>
      </c>
      <c r="K1312" s="7"/>
    </row>
    <row r="1313" spans="1:11" x14ac:dyDescent="0.25">
      <c r="A1313" s="1" t="s">
        <v>18</v>
      </c>
      <c r="B1313" s="2">
        <v>201503</v>
      </c>
      <c r="C1313" s="2">
        <v>202003</v>
      </c>
      <c r="D1313" s="10">
        <v>7787.8140225494035</v>
      </c>
      <c r="E1313" s="10">
        <v>458255.30660981772</v>
      </c>
      <c r="F1313" s="1">
        <v>1</v>
      </c>
      <c r="G1313" s="1">
        <v>313</v>
      </c>
      <c r="H1313">
        <f t="shared" si="60"/>
        <v>2015</v>
      </c>
      <c r="I1313">
        <f t="shared" si="61"/>
        <v>2020</v>
      </c>
      <c r="J1313" s="7">
        <f t="shared" si="62"/>
        <v>466043.12063236715</v>
      </c>
      <c r="K1313" s="7"/>
    </row>
    <row r="1314" spans="1:11" x14ac:dyDescent="0.25">
      <c r="A1314" s="1" t="s">
        <v>18</v>
      </c>
      <c r="B1314" s="2">
        <v>201503</v>
      </c>
      <c r="C1314" s="2">
        <v>202004</v>
      </c>
      <c r="D1314" s="10">
        <v>32133.662830826881</v>
      </c>
      <c r="E1314" s="10">
        <v>434985.85743983556</v>
      </c>
      <c r="F1314" s="1">
        <v>1</v>
      </c>
      <c r="G1314" s="1">
        <v>279</v>
      </c>
      <c r="H1314">
        <f t="shared" si="60"/>
        <v>2015</v>
      </c>
      <c r="I1314">
        <f t="shared" si="61"/>
        <v>2020</v>
      </c>
      <c r="J1314" s="7">
        <f t="shared" si="62"/>
        <v>467119.52027066244</v>
      </c>
      <c r="K1314" s="7"/>
    </row>
    <row r="1315" spans="1:11" x14ac:dyDescent="0.25">
      <c r="A1315" s="1" t="s">
        <v>18</v>
      </c>
      <c r="B1315" s="2">
        <v>201503</v>
      </c>
      <c r="C1315" s="2">
        <v>202101</v>
      </c>
      <c r="D1315" s="10">
        <v>10373.610963778519</v>
      </c>
      <c r="E1315" s="10">
        <v>435201.14107878326</v>
      </c>
      <c r="F1315" s="1">
        <v>0</v>
      </c>
      <c r="G1315" s="1">
        <v>241</v>
      </c>
      <c r="H1315">
        <f t="shared" si="60"/>
        <v>2015</v>
      </c>
      <c r="I1315">
        <f t="shared" si="61"/>
        <v>2021</v>
      </c>
      <c r="J1315" s="7">
        <f t="shared" si="62"/>
        <v>445574.75204256177</v>
      </c>
      <c r="K1315" s="7"/>
    </row>
    <row r="1316" spans="1:11" x14ac:dyDescent="0.25">
      <c r="A1316" s="1" t="s">
        <v>18</v>
      </c>
      <c r="B1316" s="2">
        <v>201503</v>
      </c>
      <c r="C1316" s="2">
        <v>202102</v>
      </c>
      <c r="D1316" s="10">
        <v>14586.030835572341</v>
      </c>
      <c r="E1316" s="10">
        <v>432090.22038683755</v>
      </c>
      <c r="F1316" s="1">
        <v>0</v>
      </c>
      <c r="G1316" s="1">
        <v>222</v>
      </c>
      <c r="H1316">
        <f t="shared" si="60"/>
        <v>2015</v>
      </c>
      <c r="I1316">
        <f t="shared" si="61"/>
        <v>2021</v>
      </c>
      <c r="J1316" s="7">
        <f t="shared" si="62"/>
        <v>446676.25122240989</v>
      </c>
      <c r="K1316" s="7"/>
    </row>
    <row r="1317" spans="1:11" x14ac:dyDescent="0.25">
      <c r="A1317" s="1" t="s">
        <v>18</v>
      </c>
      <c r="B1317" s="2">
        <v>201503</v>
      </c>
      <c r="C1317" s="2">
        <v>202103</v>
      </c>
      <c r="D1317" s="10">
        <v>4063.2453486179138</v>
      </c>
      <c r="E1317" s="10">
        <v>430683.78160715918</v>
      </c>
      <c r="F1317" s="1">
        <v>0</v>
      </c>
      <c r="G1317" s="1">
        <v>204</v>
      </c>
      <c r="H1317">
        <f t="shared" si="60"/>
        <v>2015</v>
      </c>
      <c r="I1317">
        <f t="shared" si="61"/>
        <v>2021</v>
      </c>
      <c r="J1317" s="7">
        <f t="shared" si="62"/>
        <v>434747.02695577708</v>
      </c>
      <c r="K1317" s="7"/>
    </row>
    <row r="1318" spans="1:11" x14ac:dyDescent="0.25">
      <c r="A1318" s="1" t="s">
        <v>18</v>
      </c>
      <c r="B1318" s="2">
        <v>201503</v>
      </c>
      <c r="C1318" s="2">
        <v>202104</v>
      </c>
      <c r="D1318" s="10">
        <v>5273.7038854932998</v>
      </c>
      <c r="E1318" s="10">
        <v>382370.75117584656</v>
      </c>
      <c r="F1318" s="1">
        <v>0</v>
      </c>
      <c r="G1318" s="1">
        <v>176</v>
      </c>
      <c r="H1318">
        <f t="shared" si="60"/>
        <v>2015</v>
      </c>
      <c r="I1318">
        <f t="shared" si="61"/>
        <v>2021</v>
      </c>
      <c r="J1318" s="7">
        <f t="shared" si="62"/>
        <v>387644.45506133983</v>
      </c>
      <c r="K1318" s="7"/>
    </row>
    <row r="1319" spans="1:11" x14ac:dyDescent="0.25">
      <c r="A1319" s="1" t="s">
        <v>18</v>
      </c>
      <c r="B1319" s="2">
        <v>201504</v>
      </c>
      <c r="C1319" s="2">
        <v>201504</v>
      </c>
      <c r="D1319" s="10">
        <v>547532.15518043796</v>
      </c>
      <c r="E1319" s="10">
        <v>1640259.9051610995</v>
      </c>
      <c r="F1319" s="1">
        <v>14520</v>
      </c>
      <c r="G1319" s="1">
        <v>9325</v>
      </c>
      <c r="H1319">
        <f t="shared" si="60"/>
        <v>2015</v>
      </c>
      <c r="I1319">
        <f t="shared" si="61"/>
        <v>2015</v>
      </c>
      <c r="J1319" s="7">
        <f t="shared" si="62"/>
        <v>2187792.0603415375</v>
      </c>
      <c r="K1319" s="7"/>
    </row>
    <row r="1320" spans="1:11" x14ac:dyDescent="0.25">
      <c r="A1320" s="1" t="s">
        <v>18</v>
      </c>
      <c r="B1320" s="2">
        <v>201504</v>
      </c>
      <c r="C1320" s="2">
        <v>201601</v>
      </c>
      <c r="D1320" s="10">
        <v>767778.65057649219</v>
      </c>
      <c r="E1320" s="10">
        <v>1134833.7573128466</v>
      </c>
      <c r="F1320" s="1">
        <v>3291</v>
      </c>
      <c r="G1320" s="1">
        <v>5743</v>
      </c>
      <c r="H1320">
        <f t="shared" si="60"/>
        <v>2015</v>
      </c>
      <c r="I1320">
        <f t="shared" si="61"/>
        <v>2016</v>
      </c>
      <c r="J1320" s="7">
        <f t="shared" si="62"/>
        <v>1902612.4078893387</v>
      </c>
      <c r="K1320" s="7"/>
    </row>
    <row r="1321" spans="1:11" x14ac:dyDescent="0.25">
      <c r="A1321" s="1" t="s">
        <v>18</v>
      </c>
      <c r="B1321" s="2">
        <v>201504</v>
      </c>
      <c r="C1321" s="2">
        <v>201602</v>
      </c>
      <c r="D1321" s="10">
        <v>186071.83805566528</v>
      </c>
      <c r="E1321" s="10">
        <v>969351.6497890153</v>
      </c>
      <c r="F1321" s="1">
        <v>402</v>
      </c>
      <c r="G1321" s="1">
        <v>4512</v>
      </c>
      <c r="H1321">
        <f t="shared" si="60"/>
        <v>2015</v>
      </c>
      <c r="I1321">
        <f t="shared" si="61"/>
        <v>2016</v>
      </c>
      <c r="J1321" s="7">
        <f t="shared" si="62"/>
        <v>1155423.4878446807</v>
      </c>
      <c r="K1321" s="7"/>
    </row>
    <row r="1322" spans="1:11" x14ac:dyDescent="0.25">
      <c r="A1322" s="1" t="s">
        <v>18</v>
      </c>
      <c r="B1322" s="2">
        <v>201504</v>
      </c>
      <c r="C1322" s="2">
        <v>201603</v>
      </c>
      <c r="D1322" s="10">
        <v>88385.876360109556</v>
      </c>
      <c r="E1322" s="10">
        <v>914304.53667019738</v>
      </c>
      <c r="F1322" s="1">
        <v>134</v>
      </c>
      <c r="G1322" s="1">
        <v>3863</v>
      </c>
      <c r="H1322">
        <f t="shared" si="60"/>
        <v>2015</v>
      </c>
      <c r="I1322">
        <f t="shared" si="61"/>
        <v>2016</v>
      </c>
      <c r="J1322" s="7">
        <f t="shared" si="62"/>
        <v>1002690.4130303069</v>
      </c>
      <c r="K1322" s="7"/>
    </row>
    <row r="1323" spans="1:11" x14ac:dyDescent="0.25">
      <c r="A1323" s="1" t="s">
        <v>18</v>
      </c>
      <c r="B1323" s="2">
        <v>201504</v>
      </c>
      <c r="C1323" s="2">
        <v>201604</v>
      </c>
      <c r="D1323" s="10">
        <v>70612.813824132463</v>
      </c>
      <c r="E1323" s="10">
        <v>858386.32536315068</v>
      </c>
      <c r="F1323" s="1">
        <v>81</v>
      </c>
      <c r="G1323" s="1">
        <v>3049</v>
      </c>
      <c r="H1323">
        <f t="shared" si="60"/>
        <v>2015</v>
      </c>
      <c r="I1323">
        <f t="shared" si="61"/>
        <v>2016</v>
      </c>
      <c r="J1323" s="7">
        <f t="shared" si="62"/>
        <v>928999.13918728312</v>
      </c>
      <c r="K1323" s="7"/>
    </row>
    <row r="1324" spans="1:11" x14ac:dyDescent="0.25">
      <c r="A1324" s="1" t="s">
        <v>18</v>
      </c>
      <c r="B1324" s="2">
        <v>201504</v>
      </c>
      <c r="C1324" s="2">
        <v>201701</v>
      </c>
      <c r="D1324" s="10">
        <v>49615.590892594933</v>
      </c>
      <c r="E1324" s="10">
        <v>743965.03358592826</v>
      </c>
      <c r="F1324" s="1">
        <v>42</v>
      </c>
      <c r="G1324" s="1">
        <v>2674</v>
      </c>
      <c r="H1324">
        <f t="shared" si="60"/>
        <v>2015</v>
      </c>
      <c r="I1324">
        <f t="shared" si="61"/>
        <v>2017</v>
      </c>
      <c r="J1324" s="7">
        <f t="shared" si="62"/>
        <v>793580.62447852315</v>
      </c>
      <c r="K1324" s="7"/>
    </row>
    <row r="1325" spans="1:11" x14ac:dyDescent="0.25">
      <c r="A1325" s="1" t="s">
        <v>18</v>
      </c>
      <c r="B1325" s="2">
        <v>201504</v>
      </c>
      <c r="C1325" s="2">
        <v>201702</v>
      </c>
      <c r="D1325" s="10">
        <v>39130.702575149524</v>
      </c>
      <c r="E1325" s="10">
        <v>690670.35993548587</v>
      </c>
      <c r="F1325" s="1">
        <v>23</v>
      </c>
      <c r="G1325" s="1">
        <v>2388</v>
      </c>
      <c r="H1325">
        <f t="shared" si="60"/>
        <v>2015</v>
      </c>
      <c r="I1325">
        <f t="shared" si="61"/>
        <v>2017</v>
      </c>
      <c r="J1325" s="7">
        <f t="shared" si="62"/>
        <v>729801.06251063535</v>
      </c>
      <c r="K1325" s="7"/>
    </row>
    <row r="1326" spans="1:11" x14ac:dyDescent="0.25">
      <c r="A1326" s="1" t="s">
        <v>18</v>
      </c>
      <c r="B1326" s="2">
        <v>201504</v>
      </c>
      <c r="C1326" s="2">
        <v>201703</v>
      </c>
      <c r="D1326" s="10">
        <v>18806.945849624761</v>
      </c>
      <c r="E1326" s="10">
        <v>654371.28040622361</v>
      </c>
      <c r="F1326" s="1">
        <v>13</v>
      </c>
      <c r="G1326" s="1">
        <v>2131</v>
      </c>
      <c r="H1326">
        <f t="shared" si="60"/>
        <v>2015</v>
      </c>
      <c r="I1326">
        <f t="shared" si="61"/>
        <v>2017</v>
      </c>
      <c r="J1326" s="7">
        <f t="shared" si="62"/>
        <v>673178.22625584842</v>
      </c>
      <c r="K1326" s="7"/>
    </row>
    <row r="1327" spans="1:11" x14ac:dyDescent="0.25">
      <c r="A1327" s="1" t="s">
        <v>18</v>
      </c>
      <c r="B1327" s="2">
        <v>201504</v>
      </c>
      <c r="C1327" s="2">
        <v>201704</v>
      </c>
      <c r="D1327" s="10">
        <v>25314.441855219171</v>
      </c>
      <c r="E1327" s="10">
        <v>642910.5302057279</v>
      </c>
      <c r="F1327" s="1">
        <v>10</v>
      </c>
      <c r="G1327" s="1">
        <v>1913</v>
      </c>
      <c r="H1327">
        <f t="shared" si="60"/>
        <v>2015</v>
      </c>
      <c r="I1327">
        <f t="shared" si="61"/>
        <v>2017</v>
      </c>
      <c r="J1327" s="7">
        <f t="shared" si="62"/>
        <v>668224.9720609471</v>
      </c>
      <c r="K1327" s="7"/>
    </row>
    <row r="1328" spans="1:11" x14ac:dyDescent="0.25">
      <c r="A1328" s="1" t="s">
        <v>18</v>
      </c>
      <c r="B1328" s="2">
        <v>201504</v>
      </c>
      <c r="C1328" s="2">
        <v>201801</v>
      </c>
      <c r="D1328" s="10">
        <v>40801.790576950778</v>
      </c>
      <c r="E1328" s="10">
        <v>578578.26455963426</v>
      </c>
      <c r="F1328" s="1">
        <v>6</v>
      </c>
      <c r="G1328" s="1">
        <v>1801</v>
      </c>
      <c r="H1328">
        <f t="shared" si="60"/>
        <v>2015</v>
      </c>
      <c r="I1328">
        <f t="shared" si="61"/>
        <v>2018</v>
      </c>
      <c r="J1328" s="7">
        <f t="shared" si="62"/>
        <v>619380.05513658503</v>
      </c>
      <c r="K1328" s="7"/>
    </row>
    <row r="1329" spans="1:11" x14ac:dyDescent="0.25">
      <c r="A1329" s="1" t="s">
        <v>18</v>
      </c>
      <c r="B1329" s="2">
        <v>201504</v>
      </c>
      <c r="C1329" s="2">
        <v>201802</v>
      </c>
      <c r="D1329" s="10">
        <v>18320.499730202584</v>
      </c>
      <c r="E1329" s="10">
        <v>483061.96199808473</v>
      </c>
      <c r="F1329" s="1">
        <v>7</v>
      </c>
      <c r="G1329" s="1">
        <v>1385</v>
      </c>
      <c r="H1329">
        <f t="shared" si="60"/>
        <v>2015</v>
      </c>
      <c r="I1329">
        <f t="shared" si="61"/>
        <v>2018</v>
      </c>
      <c r="J1329" s="7">
        <f t="shared" si="62"/>
        <v>501382.46172828734</v>
      </c>
      <c r="K1329" s="7"/>
    </row>
    <row r="1330" spans="1:11" x14ac:dyDescent="0.25">
      <c r="A1330" s="1" t="s">
        <v>18</v>
      </c>
      <c r="B1330" s="2">
        <v>201504</v>
      </c>
      <c r="C1330" s="2">
        <v>201803</v>
      </c>
      <c r="D1330" s="10">
        <v>6508.6230564192747</v>
      </c>
      <c r="E1330" s="10">
        <v>453077.18096001347</v>
      </c>
      <c r="F1330" s="1">
        <v>5</v>
      </c>
      <c r="G1330" s="1">
        <v>1133</v>
      </c>
      <c r="H1330">
        <f t="shared" si="60"/>
        <v>2015</v>
      </c>
      <c r="I1330">
        <f t="shared" si="61"/>
        <v>2018</v>
      </c>
      <c r="J1330" s="7">
        <f t="shared" si="62"/>
        <v>459585.80401643272</v>
      </c>
      <c r="K1330" s="7"/>
    </row>
    <row r="1331" spans="1:11" x14ac:dyDescent="0.25">
      <c r="A1331" s="1" t="s">
        <v>18</v>
      </c>
      <c r="B1331" s="2">
        <v>201504</v>
      </c>
      <c r="C1331" s="2">
        <v>201804</v>
      </c>
      <c r="D1331" s="10">
        <v>15227.671944027912</v>
      </c>
      <c r="E1331" s="10">
        <v>393188.02031736769</v>
      </c>
      <c r="F1331" s="1">
        <v>3</v>
      </c>
      <c r="G1331" s="1">
        <v>936</v>
      </c>
      <c r="H1331">
        <f t="shared" si="60"/>
        <v>2015</v>
      </c>
      <c r="I1331">
        <f t="shared" si="61"/>
        <v>2018</v>
      </c>
      <c r="J1331" s="7">
        <f t="shared" si="62"/>
        <v>408415.69226139563</v>
      </c>
      <c r="K1331" s="7"/>
    </row>
    <row r="1332" spans="1:11" x14ac:dyDescent="0.25">
      <c r="A1332" s="1" t="s">
        <v>18</v>
      </c>
      <c r="B1332" s="2">
        <v>201504</v>
      </c>
      <c r="C1332" s="2">
        <v>201901</v>
      </c>
      <c r="D1332" s="10">
        <v>16773.317414393125</v>
      </c>
      <c r="E1332" s="10">
        <v>356734.20853206603</v>
      </c>
      <c r="F1332" s="1">
        <v>2</v>
      </c>
      <c r="G1332" s="1">
        <v>771</v>
      </c>
      <c r="H1332">
        <f t="shared" si="60"/>
        <v>2015</v>
      </c>
      <c r="I1332">
        <f t="shared" si="61"/>
        <v>2019</v>
      </c>
      <c r="J1332" s="7">
        <f t="shared" si="62"/>
        <v>373507.52594645915</v>
      </c>
      <c r="K1332" s="7"/>
    </row>
    <row r="1333" spans="1:11" x14ac:dyDescent="0.25">
      <c r="A1333" s="1" t="s">
        <v>18</v>
      </c>
      <c r="B1333" s="2">
        <v>201504</v>
      </c>
      <c r="C1333" s="2">
        <v>201902</v>
      </c>
      <c r="D1333" s="10">
        <v>5513.2012150854307</v>
      </c>
      <c r="E1333" s="10">
        <v>325273.46392288199</v>
      </c>
      <c r="F1333" s="1">
        <v>2</v>
      </c>
      <c r="G1333" s="1">
        <v>643</v>
      </c>
      <c r="H1333">
        <f t="shared" si="60"/>
        <v>2015</v>
      </c>
      <c r="I1333">
        <f t="shared" si="61"/>
        <v>2019</v>
      </c>
      <c r="J1333" s="7">
        <f t="shared" si="62"/>
        <v>330786.66513796744</v>
      </c>
      <c r="K1333" s="7"/>
    </row>
    <row r="1334" spans="1:11" x14ac:dyDescent="0.25">
      <c r="A1334" s="1" t="s">
        <v>18</v>
      </c>
      <c r="B1334" s="2">
        <v>201504</v>
      </c>
      <c r="C1334" s="2">
        <v>201903</v>
      </c>
      <c r="D1334" s="10">
        <v>6320.5057701199121</v>
      </c>
      <c r="E1334" s="10">
        <v>319726.16760706622</v>
      </c>
      <c r="F1334" s="1">
        <v>0</v>
      </c>
      <c r="G1334" s="1">
        <v>579</v>
      </c>
      <c r="H1334">
        <f t="shared" si="60"/>
        <v>2015</v>
      </c>
      <c r="I1334">
        <f t="shared" si="61"/>
        <v>2019</v>
      </c>
      <c r="J1334" s="7">
        <f t="shared" si="62"/>
        <v>326046.67337718612</v>
      </c>
      <c r="K1334" s="7"/>
    </row>
    <row r="1335" spans="1:11" x14ac:dyDescent="0.25">
      <c r="A1335" s="1" t="s">
        <v>18</v>
      </c>
      <c r="B1335" s="2">
        <v>201504</v>
      </c>
      <c r="C1335" s="2">
        <v>201904</v>
      </c>
      <c r="D1335" s="10">
        <v>8757.97713660097</v>
      </c>
      <c r="E1335" s="10">
        <v>286266.24046420236</v>
      </c>
      <c r="F1335" s="1">
        <v>1</v>
      </c>
      <c r="G1335" s="1">
        <v>492</v>
      </c>
      <c r="H1335">
        <f t="shared" si="60"/>
        <v>2015</v>
      </c>
      <c r="I1335">
        <f t="shared" si="61"/>
        <v>2019</v>
      </c>
      <c r="J1335" s="7">
        <f t="shared" si="62"/>
        <v>295024.21760080336</v>
      </c>
      <c r="K1335" s="7"/>
    </row>
    <row r="1336" spans="1:11" x14ac:dyDescent="0.25">
      <c r="A1336" s="1" t="s">
        <v>18</v>
      </c>
      <c r="B1336" s="2">
        <v>201504</v>
      </c>
      <c r="C1336" s="2">
        <v>202001</v>
      </c>
      <c r="D1336" s="10">
        <v>4617.7328244528217</v>
      </c>
      <c r="E1336" s="10">
        <v>267354.06371338875</v>
      </c>
      <c r="F1336" s="1">
        <v>0</v>
      </c>
      <c r="G1336" s="1">
        <v>433</v>
      </c>
      <c r="H1336">
        <f t="shared" si="60"/>
        <v>2015</v>
      </c>
      <c r="I1336">
        <f t="shared" si="61"/>
        <v>2020</v>
      </c>
      <c r="J1336" s="7">
        <f t="shared" si="62"/>
        <v>271971.79653784155</v>
      </c>
      <c r="K1336" s="7"/>
    </row>
    <row r="1337" spans="1:11" x14ac:dyDescent="0.25">
      <c r="A1337" s="1" t="s">
        <v>18</v>
      </c>
      <c r="B1337" s="2">
        <v>201504</v>
      </c>
      <c r="C1337" s="2">
        <v>202002</v>
      </c>
      <c r="D1337" s="10">
        <v>7539.0984255341436</v>
      </c>
      <c r="E1337" s="10">
        <v>240384.0901527848</v>
      </c>
      <c r="F1337" s="1">
        <v>1</v>
      </c>
      <c r="G1337" s="1">
        <v>356</v>
      </c>
      <c r="H1337">
        <f t="shared" si="60"/>
        <v>2015</v>
      </c>
      <c r="I1337">
        <f t="shared" si="61"/>
        <v>2020</v>
      </c>
      <c r="J1337" s="7">
        <f t="shared" si="62"/>
        <v>247923.18857831895</v>
      </c>
      <c r="K1337" s="7"/>
    </row>
    <row r="1338" spans="1:11" x14ac:dyDescent="0.25">
      <c r="A1338" s="1" t="s">
        <v>18</v>
      </c>
      <c r="B1338" s="2">
        <v>201504</v>
      </c>
      <c r="C1338" s="2">
        <v>202003</v>
      </c>
      <c r="D1338" s="10">
        <v>4897.9860378047033</v>
      </c>
      <c r="E1338" s="10">
        <v>226037.10485247758</v>
      </c>
      <c r="F1338" s="1">
        <v>0</v>
      </c>
      <c r="G1338" s="1">
        <v>309</v>
      </c>
      <c r="H1338">
        <f t="shared" si="60"/>
        <v>2015</v>
      </c>
      <c r="I1338">
        <f t="shared" si="61"/>
        <v>2020</v>
      </c>
      <c r="J1338" s="7">
        <f t="shared" si="62"/>
        <v>230935.0908902823</v>
      </c>
      <c r="K1338" s="7"/>
    </row>
    <row r="1339" spans="1:11" x14ac:dyDescent="0.25">
      <c r="A1339" s="1" t="s">
        <v>18</v>
      </c>
      <c r="B1339" s="2">
        <v>201504</v>
      </c>
      <c r="C1339" s="2">
        <v>202004</v>
      </c>
      <c r="D1339" s="10">
        <v>2432.5365047539476</v>
      </c>
      <c r="E1339" s="10">
        <v>215870.47260978847</v>
      </c>
      <c r="F1339" s="1">
        <v>1</v>
      </c>
      <c r="G1339" s="1">
        <v>267</v>
      </c>
      <c r="H1339">
        <f t="shared" si="60"/>
        <v>2015</v>
      </c>
      <c r="I1339">
        <f t="shared" si="61"/>
        <v>2020</v>
      </c>
      <c r="J1339" s="7">
        <f t="shared" si="62"/>
        <v>218303.00911454242</v>
      </c>
      <c r="K1339" s="7"/>
    </row>
    <row r="1340" spans="1:11" x14ac:dyDescent="0.25">
      <c r="A1340" s="1" t="s">
        <v>18</v>
      </c>
      <c r="B1340" s="2">
        <v>201504</v>
      </c>
      <c r="C1340" s="2">
        <v>202101</v>
      </c>
      <c r="D1340" s="10">
        <v>2795.2195423273934</v>
      </c>
      <c r="E1340" s="10">
        <v>221467.71069766424</v>
      </c>
      <c r="F1340" s="1">
        <v>0</v>
      </c>
      <c r="G1340" s="1">
        <v>239</v>
      </c>
      <c r="H1340">
        <f t="shared" si="60"/>
        <v>2015</v>
      </c>
      <c r="I1340">
        <f t="shared" si="61"/>
        <v>2021</v>
      </c>
      <c r="J1340" s="7">
        <f t="shared" si="62"/>
        <v>224262.93023999163</v>
      </c>
      <c r="K1340" s="7"/>
    </row>
    <row r="1341" spans="1:11" x14ac:dyDescent="0.25">
      <c r="A1341" s="1" t="s">
        <v>18</v>
      </c>
      <c r="B1341" s="2">
        <v>201504</v>
      </c>
      <c r="C1341" s="2">
        <v>202102</v>
      </c>
      <c r="D1341" s="10">
        <v>1027.42995535557</v>
      </c>
      <c r="E1341" s="10">
        <v>218837.0234649349</v>
      </c>
      <c r="F1341" s="1">
        <v>0</v>
      </c>
      <c r="G1341" s="1">
        <v>217</v>
      </c>
      <c r="H1341">
        <f t="shared" si="60"/>
        <v>2015</v>
      </c>
      <c r="I1341">
        <f t="shared" si="61"/>
        <v>2021</v>
      </c>
      <c r="J1341" s="7">
        <f t="shared" si="62"/>
        <v>219864.45342029046</v>
      </c>
      <c r="K1341" s="7"/>
    </row>
    <row r="1342" spans="1:11" x14ac:dyDescent="0.25">
      <c r="A1342" s="1" t="s">
        <v>18</v>
      </c>
      <c r="B1342" s="2">
        <v>201504</v>
      </c>
      <c r="C1342" s="2">
        <v>202103</v>
      </c>
      <c r="D1342" s="10">
        <v>966.73608269692318</v>
      </c>
      <c r="E1342" s="10">
        <v>218500.27142843042</v>
      </c>
      <c r="F1342" s="1">
        <v>0</v>
      </c>
      <c r="G1342" s="1">
        <v>203</v>
      </c>
      <c r="H1342">
        <f t="shared" si="60"/>
        <v>2015</v>
      </c>
      <c r="I1342">
        <f t="shared" si="61"/>
        <v>2021</v>
      </c>
      <c r="J1342" s="7">
        <f t="shared" si="62"/>
        <v>219467.00751112733</v>
      </c>
      <c r="K1342" s="7"/>
    </row>
    <row r="1343" spans="1:11" x14ac:dyDescent="0.25">
      <c r="A1343" s="1" t="s">
        <v>18</v>
      </c>
      <c r="B1343" s="2">
        <v>201504</v>
      </c>
      <c r="C1343" s="2">
        <v>202104</v>
      </c>
      <c r="D1343" s="10">
        <v>2606.0398335157456</v>
      </c>
      <c r="E1343" s="10">
        <v>190237.74857127189</v>
      </c>
      <c r="F1343" s="1">
        <v>1</v>
      </c>
      <c r="G1343" s="1">
        <v>172</v>
      </c>
      <c r="H1343">
        <f t="shared" si="60"/>
        <v>2015</v>
      </c>
      <c r="I1343">
        <f t="shared" si="61"/>
        <v>2021</v>
      </c>
      <c r="J1343" s="7">
        <f t="shared" si="62"/>
        <v>192843.78840478763</v>
      </c>
      <c r="K1343" s="7"/>
    </row>
    <row r="1344" spans="1:11" x14ac:dyDescent="0.25">
      <c r="A1344" s="1" t="s">
        <v>18</v>
      </c>
      <c r="B1344" s="2">
        <v>201601</v>
      </c>
      <c r="C1344" s="2">
        <v>201601</v>
      </c>
      <c r="D1344" s="10">
        <v>564881.79442780663</v>
      </c>
      <c r="E1344" s="10">
        <v>1199414.0021839351</v>
      </c>
      <c r="F1344" s="1">
        <v>12509</v>
      </c>
      <c r="G1344" s="1">
        <v>7271</v>
      </c>
      <c r="H1344">
        <f t="shared" si="60"/>
        <v>2016</v>
      </c>
      <c r="I1344">
        <f t="shared" si="61"/>
        <v>2016</v>
      </c>
      <c r="J1344" s="7">
        <f t="shared" si="62"/>
        <v>1764295.7966117417</v>
      </c>
      <c r="K1344" s="7"/>
    </row>
    <row r="1345" spans="1:11" x14ac:dyDescent="0.25">
      <c r="A1345" s="1" t="s">
        <v>18</v>
      </c>
      <c r="B1345" s="2">
        <v>201601</v>
      </c>
      <c r="C1345" s="2">
        <v>201602</v>
      </c>
      <c r="D1345" s="10">
        <v>646597.80002959853</v>
      </c>
      <c r="E1345" s="10">
        <v>916197.94314735616</v>
      </c>
      <c r="F1345" s="1">
        <v>2266</v>
      </c>
      <c r="G1345" s="1">
        <v>4797</v>
      </c>
      <c r="H1345">
        <f t="shared" si="60"/>
        <v>2016</v>
      </c>
      <c r="I1345">
        <f t="shared" si="61"/>
        <v>2016</v>
      </c>
      <c r="J1345" s="7">
        <f t="shared" si="62"/>
        <v>1562795.7431769548</v>
      </c>
      <c r="K1345" s="7"/>
    </row>
    <row r="1346" spans="1:11" x14ac:dyDescent="0.25">
      <c r="A1346" s="1" t="s">
        <v>18</v>
      </c>
      <c r="B1346" s="2">
        <v>201601</v>
      </c>
      <c r="C1346" s="2">
        <v>201603</v>
      </c>
      <c r="D1346" s="10">
        <v>280952.38709932339</v>
      </c>
      <c r="E1346" s="10">
        <v>848279.06276778865</v>
      </c>
      <c r="F1346" s="1">
        <v>323</v>
      </c>
      <c r="G1346" s="1">
        <v>3923</v>
      </c>
      <c r="H1346">
        <f t="shared" si="60"/>
        <v>2016</v>
      </c>
      <c r="I1346">
        <f t="shared" si="61"/>
        <v>2016</v>
      </c>
      <c r="J1346" s="7">
        <f t="shared" si="62"/>
        <v>1129231.4498671121</v>
      </c>
      <c r="K1346" s="7"/>
    </row>
    <row r="1347" spans="1:11" x14ac:dyDescent="0.25">
      <c r="A1347" s="1" t="s">
        <v>18</v>
      </c>
      <c r="B1347" s="2">
        <v>201601</v>
      </c>
      <c r="C1347" s="2">
        <v>201604</v>
      </c>
      <c r="D1347" s="10">
        <v>233867.73220522373</v>
      </c>
      <c r="E1347" s="10">
        <v>904601.3685072076</v>
      </c>
      <c r="F1347" s="1">
        <v>118</v>
      </c>
      <c r="G1347" s="1">
        <v>3252</v>
      </c>
      <c r="H1347">
        <f t="shared" si="60"/>
        <v>2016</v>
      </c>
      <c r="I1347">
        <f t="shared" si="61"/>
        <v>2016</v>
      </c>
      <c r="J1347" s="7">
        <f t="shared" si="62"/>
        <v>1138469.1007124314</v>
      </c>
      <c r="K1347" s="7"/>
    </row>
    <row r="1348" spans="1:11" x14ac:dyDescent="0.25">
      <c r="A1348" s="1" t="s">
        <v>18</v>
      </c>
      <c r="B1348" s="2">
        <v>201601</v>
      </c>
      <c r="C1348" s="2">
        <v>201701</v>
      </c>
      <c r="D1348" s="10">
        <v>264884.5795941861</v>
      </c>
      <c r="E1348" s="10">
        <v>752882.26983973698</v>
      </c>
      <c r="F1348" s="1">
        <v>143</v>
      </c>
      <c r="G1348" s="1">
        <v>2719</v>
      </c>
      <c r="H1348">
        <f t="shared" ref="H1348:H1411" si="63">VALUE(LEFT(B1348,4))</f>
        <v>2016</v>
      </c>
      <c r="I1348">
        <f t="shared" ref="I1348:I1411" si="64">VALUE(LEFT(C1348,4))</f>
        <v>2017</v>
      </c>
      <c r="J1348" s="7">
        <f t="shared" si="62"/>
        <v>1017766.8494339231</v>
      </c>
      <c r="K1348" s="7"/>
    </row>
    <row r="1349" spans="1:11" x14ac:dyDescent="0.25">
      <c r="A1349" s="1" t="s">
        <v>18</v>
      </c>
      <c r="B1349" s="2">
        <v>201601</v>
      </c>
      <c r="C1349" s="2">
        <v>201702</v>
      </c>
      <c r="D1349" s="10">
        <v>88313.054381091075</v>
      </c>
      <c r="E1349" s="10">
        <v>695505.34203658521</v>
      </c>
      <c r="F1349" s="1">
        <v>29</v>
      </c>
      <c r="G1349" s="1">
        <v>2426</v>
      </c>
      <c r="H1349">
        <f t="shared" si="63"/>
        <v>2016</v>
      </c>
      <c r="I1349">
        <f t="shared" si="64"/>
        <v>2017</v>
      </c>
      <c r="J1349" s="7">
        <f t="shared" ref="J1349:J1412" si="65">D1349+E1349</f>
        <v>783818.39641767624</v>
      </c>
      <c r="K1349" s="7"/>
    </row>
    <row r="1350" spans="1:11" x14ac:dyDescent="0.25">
      <c r="A1350" s="1" t="s">
        <v>18</v>
      </c>
      <c r="B1350" s="2">
        <v>201601</v>
      </c>
      <c r="C1350" s="2">
        <v>201703</v>
      </c>
      <c r="D1350" s="10">
        <v>64926.289526806715</v>
      </c>
      <c r="E1350" s="10">
        <v>622616.17314518022</v>
      </c>
      <c r="F1350" s="1">
        <v>20</v>
      </c>
      <c r="G1350" s="1">
        <v>2238</v>
      </c>
      <c r="H1350">
        <f t="shared" si="63"/>
        <v>2016</v>
      </c>
      <c r="I1350">
        <f t="shared" si="64"/>
        <v>2017</v>
      </c>
      <c r="J1350" s="7">
        <f t="shared" si="65"/>
        <v>687542.4626719869</v>
      </c>
      <c r="K1350" s="7"/>
    </row>
    <row r="1351" spans="1:11" x14ac:dyDescent="0.25">
      <c r="A1351" s="1" t="s">
        <v>18</v>
      </c>
      <c r="B1351" s="2">
        <v>201601</v>
      </c>
      <c r="C1351" s="2">
        <v>201704</v>
      </c>
      <c r="D1351" s="10">
        <v>48176.667446794236</v>
      </c>
      <c r="E1351" s="10">
        <v>591843.99886435363</v>
      </c>
      <c r="F1351" s="1">
        <v>14</v>
      </c>
      <c r="G1351" s="1">
        <v>1994</v>
      </c>
      <c r="H1351">
        <f t="shared" si="63"/>
        <v>2016</v>
      </c>
      <c r="I1351">
        <f t="shared" si="64"/>
        <v>2017</v>
      </c>
      <c r="J1351" s="7">
        <f t="shared" si="65"/>
        <v>640020.66631114786</v>
      </c>
      <c r="K1351" s="7"/>
    </row>
    <row r="1352" spans="1:11" x14ac:dyDescent="0.25">
      <c r="A1352" s="1" t="s">
        <v>18</v>
      </c>
      <c r="B1352" s="2">
        <v>201601</v>
      </c>
      <c r="C1352" s="2">
        <v>201801</v>
      </c>
      <c r="D1352" s="10">
        <v>52034.917577027154</v>
      </c>
      <c r="E1352" s="10">
        <v>569110.31448228739</v>
      </c>
      <c r="F1352" s="1">
        <v>11</v>
      </c>
      <c r="G1352" s="1">
        <v>1938</v>
      </c>
      <c r="H1352">
        <f t="shared" si="63"/>
        <v>2016</v>
      </c>
      <c r="I1352">
        <f t="shared" si="64"/>
        <v>2018</v>
      </c>
      <c r="J1352" s="7">
        <f t="shared" si="65"/>
        <v>621145.2320593145</v>
      </c>
      <c r="K1352" s="7"/>
    </row>
    <row r="1353" spans="1:11" x14ac:dyDescent="0.25">
      <c r="A1353" s="1" t="s">
        <v>18</v>
      </c>
      <c r="B1353" s="2">
        <v>201601</v>
      </c>
      <c r="C1353" s="2">
        <v>201802</v>
      </c>
      <c r="D1353" s="10">
        <v>27907.73279226285</v>
      </c>
      <c r="E1353" s="10">
        <v>490651.55090676836</v>
      </c>
      <c r="F1353" s="1">
        <v>7</v>
      </c>
      <c r="G1353" s="1">
        <v>1506</v>
      </c>
      <c r="H1353">
        <f t="shared" si="63"/>
        <v>2016</v>
      </c>
      <c r="I1353">
        <f t="shared" si="64"/>
        <v>2018</v>
      </c>
      <c r="J1353" s="7">
        <f t="shared" si="65"/>
        <v>518559.28369903122</v>
      </c>
      <c r="K1353" s="7"/>
    </row>
    <row r="1354" spans="1:11" x14ac:dyDescent="0.25">
      <c r="A1354" s="1" t="s">
        <v>18</v>
      </c>
      <c r="B1354" s="2">
        <v>201601</v>
      </c>
      <c r="C1354" s="2">
        <v>201803</v>
      </c>
      <c r="D1354" s="10">
        <v>26929.83602259056</v>
      </c>
      <c r="E1354" s="10">
        <v>455006.92574280425</v>
      </c>
      <c r="F1354" s="1">
        <v>8</v>
      </c>
      <c r="G1354" s="1">
        <v>1307</v>
      </c>
      <c r="H1354">
        <f t="shared" si="63"/>
        <v>2016</v>
      </c>
      <c r="I1354">
        <f t="shared" si="64"/>
        <v>2018</v>
      </c>
      <c r="J1354" s="7">
        <f t="shared" si="65"/>
        <v>481936.76176539483</v>
      </c>
      <c r="K1354" s="7"/>
    </row>
    <row r="1355" spans="1:11" x14ac:dyDescent="0.25">
      <c r="A1355" s="1" t="s">
        <v>18</v>
      </c>
      <c r="B1355" s="2">
        <v>201601</v>
      </c>
      <c r="C1355" s="2">
        <v>201804</v>
      </c>
      <c r="D1355" s="10">
        <v>18627.219400319274</v>
      </c>
      <c r="E1355" s="10">
        <v>439490.06529215362</v>
      </c>
      <c r="F1355" s="1">
        <v>6</v>
      </c>
      <c r="G1355" s="1">
        <v>1082</v>
      </c>
      <c r="H1355">
        <f t="shared" si="63"/>
        <v>2016</v>
      </c>
      <c r="I1355">
        <f t="shared" si="64"/>
        <v>2018</v>
      </c>
      <c r="J1355" s="7">
        <f t="shared" si="65"/>
        <v>458117.28469247289</v>
      </c>
      <c r="K1355" s="7"/>
    </row>
    <row r="1356" spans="1:11" x14ac:dyDescent="0.25">
      <c r="A1356" s="1" t="s">
        <v>18</v>
      </c>
      <c r="B1356" s="2">
        <v>201601</v>
      </c>
      <c r="C1356" s="2">
        <v>201901</v>
      </c>
      <c r="D1356" s="10">
        <v>30587.598244940695</v>
      </c>
      <c r="E1356" s="10">
        <v>365313.1170215102</v>
      </c>
      <c r="F1356" s="1">
        <v>3</v>
      </c>
      <c r="G1356" s="1">
        <v>830</v>
      </c>
      <c r="H1356">
        <f t="shared" si="63"/>
        <v>2016</v>
      </c>
      <c r="I1356">
        <f t="shared" si="64"/>
        <v>2019</v>
      </c>
      <c r="J1356" s="7">
        <f t="shared" si="65"/>
        <v>395900.71526645089</v>
      </c>
      <c r="K1356" s="7"/>
    </row>
    <row r="1357" spans="1:11" x14ac:dyDescent="0.25">
      <c r="A1357" s="1" t="s">
        <v>18</v>
      </c>
      <c r="B1357" s="2">
        <v>201601</v>
      </c>
      <c r="C1357" s="2">
        <v>201902</v>
      </c>
      <c r="D1357" s="10">
        <v>8602.3387599520011</v>
      </c>
      <c r="E1357" s="10">
        <v>351737.2599904284</v>
      </c>
      <c r="F1357" s="1">
        <v>1</v>
      </c>
      <c r="G1357" s="1">
        <v>701</v>
      </c>
      <c r="H1357">
        <f t="shared" si="63"/>
        <v>2016</v>
      </c>
      <c r="I1357">
        <f t="shared" si="64"/>
        <v>2019</v>
      </c>
      <c r="J1357" s="7">
        <f t="shared" si="65"/>
        <v>360339.59875038039</v>
      </c>
      <c r="K1357" s="7"/>
    </row>
    <row r="1358" spans="1:11" x14ac:dyDescent="0.25">
      <c r="A1358" s="1" t="s">
        <v>18</v>
      </c>
      <c r="B1358" s="2">
        <v>201601</v>
      </c>
      <c r="C1358" s="2">
        <v>201903</v>
      </c>
      <c r="D1358" s="10">
        <v>23084.485676006676</v>
      </c>
      <c r="E1358" s="10">
        <v>336943.01370389841</v>
      </c>
      <c r="F1358" s="1">
        <v>1</v>
      </c>
      <c r="G1358" s="1">
        <v>630</v>
      </c>
      <c r="H1358">
        <f t="shared" si="63"/>
        <v>2016</v>
      </c>
      <c r="I1358">
        <f t="shared" si="64"/>
        <v>2019</v>
      </c>
      <c r="J1358" s="7">
        <f t="shared" si="65"/>
        <v>360027.49937990506</v>
      </c>
      <c r="K1358" s="7"/>
    </row>
    <row r="1359" spans="1:11" x14ac:dyDescent="0.25">
      <c r="A1359" s="1" t="s">
        <v>18</v>
      </c>
      <c r="B1359" s="2">
        <v>201601</v>
      </c>
      <c r="C1359" s="2">
        <v>201904</v>
      </c>
      <c r="D1359" s="10">
        <v>8838.0243784633894</v>
      </c>
      <c r="E1359" s="10">
        <v>319174.34341215156</v>
      </c>
      <c r="F1359" s="1">
        <v>1</v>
      </c>
      <c r="G1359" s="1">
        <v>563</v>
      </c>
      <c r="H1359">
        <f t="shared" si="63"/>
        <v>2016</v>
      </c>
      <c r="I1359">
        <f t="shared" si="64"/>
        <v>2019</v>
      </c>
      <c r="J1359" s="7">
        <f t="shared" si="65"/>
        <v>328012.36779061495</v>
      </c>
      <c r="K1359" s="7"/>
    </row>
    <row r="1360" spans="1:11" x14ac:dyDescent="0.25">
      <c r="A1360" s="1" t="s">
        <v>18</v>
      </c>
      <c r="B1360" s="2">
        <v>201601</v>
      </c>
      <c r="C1360" s="2">
        <v>202001</v>
      </c>
      <c r="D1360" s="10">
        <v>13209.446879178871</v>
      </c>
      <c r="E1360" s="10">
        <v>296164.92968946445</v>
      </c>
      <c r="F1360" s="1">
        <v>1</v>
      </c>
      <c r="G1360" s="1">
        <v>452</v>
      </c>
      <c r="H1360">
        <f t="shared" si="63"/>
        <v>2016</v>
      </c>
      <c r="I1360">
        <f t="shared" si="64"/>
        <v>2020</v>
      </c>
      <c r="J1360" s="7">
        <f t="shared" si="65"/>
        <v>309374.37656864332</v>
      </c>
      <c r="K1360" s="7"/>
    </row>
    <row r="1361" spans="1:11" x14ac:dyDescent="0.25">
      <c r="A1361" s="1" t="s">
        <v>18</v>
      </c>
      <c r="B1361" s="2">
        <v>201601</v>
      </c>
      <c r="C1361" s="2">
        <v>202002</v>
      </c>
      <c r="D1361" s="10">
        <v>18866.657774344229</v>
      </c>
      <c r="E1361" s="10">
        <v>257800.79557876877</v>
      </c>
      <c r="F1361" s="1">
        <v>0</v>
      </c>
      <c r="G1361" s="1">
        <v>388</v>
      </c>
      <c r="H1361">
        <f t="shared" si="63"/>
        <v>2016</v>
      </c>
      <c r="I1361">
        <f t="shared" si="64"/>
        <v>2020</v>
      </c>
      <c r="J1361" s="7">
        <f t="shared" si="65"/>
        <v>276667.45335311297</v>
      </c>
      <c r="K1361" s="7"/>
    </row>
    <row r="1362" spans="1:11" x14ac:dyDescent="0.25">
      <c r="A1362" s="1" t="s">
        <v>18</v>
      </c>
      <c r="B1362" s="2">
        <v>201601</v>
      </c>
      <c r="C1362" s="2">
        <v>202003</v>
      </c>
      <c r="D1362" s="10">
        <v>32490.628229326911</v>
      </c>
      <c r="E1362" s="10">
        <v>245902.76623179199</v>
      </c>
      <c r="F1362" s="1">
        <v>0</v>
      </c>
      <c r="G1362" s="1">
        <v>343</v>
      </c>
      <c r="H1362">
        <f t="shared" si="63"/>
        <v>2016</v>
      </c>
      <c r="I1362">
        <f t="shared" si="64"/>
        <v>2020</v>
      </c>
      <c r="J1362" s="7">
        <f t="shared" si="65"/>
        <v>278393.39446111891</v>
      </c>
      <c r="K1362" s="7"/>
    </row>
    <row r="1363" spans="1:11" x14ac:dyDescent="0.25">
      <c r="A1363" s="1" t="s">
        <v>18</v>
      </c>
      <c r="B1363" s="2">
        <v>201601</v>
      </c>
      <c r="C1363" s="2">
        <v>202004</v>
      </c>
      <c r="D1363" s="10">
        <v>15354.002964453168</v>
      </c>
      <c r="E1363" s="10">
        <v>233506.38307652454</v>
      </c>
      <c r="F1363" s="1">
        <v>0</v>
      </c>
      <c r="G1363" s="1">
        <v>314</v>
      </c>
      <c r="H1363">
        <f t="shared" si="63"/>
        <v>2016</v>
      </c>
      <c r="I1363">
        <f t="shared" si="64"/>
        <v>2020</v>
      </c>
      <c r="J1363" s="7">
        <f t="shared" si="65"/>
        <v>248860.3860409777</v>
      </c>
      <c r="K1363" s="7"/>
    </row>
    <row r="1364" spans="1:11" x14ac:dyDescent="0.25">
      <c r="A1364" s="1" t="s">
        <v>18</v>
      </c>
      <c r="B1364" s="2">
        <v>201601</v>
      </c>
      <c r="C1364" s="2">
        <v>202101</v>
      </c>
      <c r="D1364" s="10">
        <v>9024.2778213257061</v>
      </c>
      <c r="E1364" s="10">
        <v>229617.20578943225</v>
      </c>
      <c r="F1364" s="1">
        <v>0</v>
      </c>
      <c r="G1364" s="1">
        <v>250</v>
      </c>
      <c r="H1364">
        <f t="shared" si="63"/>
        <v>2016</v>
      </c>
      <c r="I1364">
        <f t="shared" si="64"/>
        <v>2021</v>
      </c>
      <c r="J1364" s="7">
        <f t="shared" si="65"/>
        <v>238641.48361075795</v>
      </c>
      <c r="K1364" s="7"/>
    </row>
    <row r="1365" spans="1:11" x14ac:dyDescent="0.25">
      <c r="A1365" s="1" t="s">
        <v>18</v>
      </c>
      <c r="B1365" s="2">
        <v>201601</v>
      </c>
      <c r="C1365" s="2">
        <v>202102</v>
      </c>
      <c r="D1365" s="10">
        <v>3049.9443560533255</v>
      </c>
      <c r="E1365" s="10">
        <v>235180.71126378444</v>
      </c>
      <c r="F1365" s="1">
        <v>0</v>
      </c>
      <c r="G1365" s="1">
        <v>216</v>
      </c>
      <c r="H1365">
        <f t="shared" si="63"/>
        <v>2016</v>
      </c>
      <c r="I1365">
        <f t="shared" si="64"/>
        <v>2021</v>
      </c>
      <c r="J1365" s="7">
        <f t="shared" si="65"/>
        <v>238230.65561983775</v>
      </c>
      <c r="K1365" s="7"/>
    </row>
    <row r="1366" spans="1:11" x14ac:dyDescent="0.25">
      <c r="A1366" s="1" t="s">
        <v>18</v>
      </c>
      <c r="B1366" s="2">
        <v>201601</v>
      </c>
      <c r="C1366" s="2">
        <v>202103</v>
      </c>
      <c r="D1366" s="10">
        <v>3994.1964657113967</v>
      </c>
      <c r="E1366" s="10">
        <v>228354.89845608082</v>
      </c>
      <c r="F1366" s="1">
        <v>0</v>
      </c>
      <c r="G1366" s="1">
        <v>199</v>
      </c>
      <c r="H1366">
        <f t="shared" si="63"/>
        <v>2016</v>
      </c>
      <c r="I1366">
        <f t="shared" si="64"/>
        <v>2021</v>
      </c>
      <c r="J1366" s="7">
        <f t="shared" si="65"/>
        <v>232349.09492179222</v>
      </c>
      <c r="K1366" s="7"/>
    </row>
    <row r="1367" spans="1:11" x14ac:dyDescent="0.25">
      <c r="A1367" s="1" t="s">
        <v>18</v>
      </c>
      <c r="B1367" s="2">
        <v>201601</v>
      </c>
      <c r="C1367" s="2">
        <v>202104</v>
      </c>
      <c r="D1367" s="10">
        <v>1547.2136272653202</v>
      </c>
      <c r="E1367" s="10">
        <v>186214.56126281086</v>
      </c>
      <c r="F1367" s="1">
        <v>0</v>
      </c>
      <c r="G1367" s="1">
        <v>162</v>
      </c>
      <c r="H1367">
        <f t="shared" si="63"/>
        <v>2016</v>
      </c>
      <c r="I1367">
        <f t="shared" si="64"/>
        <v>2021</v>
      </c>
      <c r="J1367" s="7">
        <f t="shared" si="65"/>
        <v>187761.77489007619</v>
      </c>
      <c r="K1367" s="7"/>
    </row>
    <row r="1368" spans="1:11" x14ac:dyDescent="0.25">
      <c r="A1368" s="1" t="s">
        <v>18</v>
      </c>
      <c r="B1368" s="2">
        <v>201602</v>
      </c>
      <c r="C1368" s="2">
        <v>201602</v>
      </c>
      <c r="D1368" s="10">
        <v>589545.51233348425</v>
      </c>
      <c r="E1368" s="10">
        <v>1375618.2993167629</v>
      </c>
      <c r="F1368" s="1">
        <v>14261</v>
      </c>
      <c r="G1368" s="1">
        <v>8439</v>
      </c>
      <c r="H1368">
        <f t="shared" si="63"/>
        <v>2016</v>
      </c>
      <c r="I1368">
        <f t="shared" si="64"/>
        <v>2016</v>
      </c>
      <c r="J1368" s="7">
        <f t="shared" si="65"/>
        <v>1965163.8116502473</v>
      </c>
      <c r="K1368" s="7"/>
    </row>
    <row r="1369" spans="1:11" x14ac:dyDescent="0.25">
      <c r="A1369" s="1" t="s">
        <v>18</v>
      </c>
      <c r="B1369" s="2">
        <v>201602</v>
      </c>
      <c r="C1369" s="2">
        <v>201603</v>
      </c>
      <c r="D1369" s="10">
        <v>640209.9814164954</v>
      </c>
      <c r="E1369" s="10">
        <v>1062473.0365010255</v>
      </c>
      <c r="F1369" s="1">
        <v>2703</v>
      </c>
      <c r="G1369" s="1">
        <v>5915</v>
      </c>
      <c r="H1369">
        <f t="shared" si="63"/>
        <v>2016</v>
      </c>
      <c r="I1369">
        <f t="shared" si="64"/>
        <v>2016</v>
      </c>
      <c r="J1369" s="7">
        <f t="shared" si="65"/>
        <v>1702683.0179175208</v>
      </c>
      <c r="K1369" s="7"/>
    </row>
    <row r="1370" spans="1:11" x14ac:dyDescent="0.25">
      <c r="A1370" s="1" t="s">
        <v>18</v>
      </c>
      <c r="B1370" s="2">
        <v>201602</v>
      </c>
      <c r="C1370" s="2">
        <v>201604</v>
      </c>
      <c r="D1370" s="10">
        <v>191137.06506767939</v>
      </c>
      <c r="E1370" s="10">
        <v>1128202.0457451148</v>
      </c>
      <c r="F1370" s="1">
        <v>361</v>
      </c>
      <c r="G1370" s="1">
        <v>4529</v>
      </c>
      <c r="H1370">
        <f t="shared" si="63"/>
        <v>2016</v>
      </c>
      <c r="I1370">
        <f t="shared" si="64"/>
        <v>2016</v>
      </c>
      <c r="J1370" s="7">
        <f t="shared" si="65"/>
        <v>1319339.1108127942</v>
      </c>
      <c r="K1370" s="7"/>
    </row>
    <row r="1371" spans="1:11" x14ac:dyDescent="0.25">
      <c r="A1371" s="1" t="s">
        <v>18</v>
      </c>
      <c r="B1371" s="2">
        <v>201602</v>
      </c>
      <c r="C1371" s="2">
        <v>201701</v>
      </c>
      <c r="D1371" s="10">
        <v>100364.53063628836</v>
      </c>
      <c r="E1371" s="10">
        <v>980252.71664418373</v>
      </c>
      <c r="F1371" s="1">
        <v>119</v>
      </c>
      <c r="G1371" s="1">
        <v>3941</v>
      </c>
      <c r="H1371">
        <f t="shared" si="63"/>
        <v>2016</v>
      </c>
      <c r="I1371">
        <f t="shared" si="64"/>
        <v>2017</v>
      </c>
      <c r="J1371" s="7">
        <f t="shared" si="65"/>
        <v>1080617.2472804722</v>
      </c>
      <c r="K1371" s="7"/>
    </row>
    <row r="1372" spans="1:11" x14ac:dyDescent="0.25">
      <c r="A1372" s="1" t="s">
        <v>18</v>
      </c>
      <c r="B1372" s="2">
        <v>201602</v>
      </c>
      <c r="C1372" s="2">
        <v>201702</v>
      </c>
      <c r="D1372" s="10">
        <v>73640.007834911055</v>
      </c>
      <c r="E1372" s="10">
        <v>914405.8014814246</v>
      </c>
      <c r="F1372" s="1">
        <v>83</v>
      </c>
      <c r="G1372" s="1">
        <v>3464</v>
      </c>
      <c r="H1372">
        <f t="shared" si="63"/>
        <v>2016</v>
      </c>
      <c r="I1372">
        <f t="shared" si="64"/>
        <v>2017</v>
      </c>
      <c r="J1372" s="7">
        <f t="shared" si="65"/>
        <v>988045.80931633571</v>
      </c>
      <c r="K1372" s="7"/>
    </row>
    <row r="1373" spans="1:11" x14ac:dyDescent="0.25">
      <c r="A1373" s="1" t="s">
        <v>18</v>
      </c>
      <c r="B1373" s="2">
        <v>201602</v>
      </c>
      <c r="C1373" s="2">
        <v>201703</v>
      </c>
      <c r="D1373" s="10">
        <v>60170.082843381162</v>
      </c>
      <c r="E1373" s="10">
        <v>854586.11556902691</v>
      </c>
      <c r="F1373" s="1">
        <v>46</v>
      </c>
      <c r="G1373" s="1">
        <v>3163</v>
      </c>
      <c r="H1373">
        <f t="shared" si="63"/>
        <v>2016</v>
      </c>
      <c r="I1373">
        <f t="shared" si="64"/>
        <v>2017</v>
      </c>
      <c r="J1373" s="7">
        <f t="shared" si="65"/>
        <v>914756.19841240812</v>
      </c>
      <c r="K1373" s="7"/>
    </row>
    <row r="1374" spans="1:11" x14ac:dyDescent="0.25">
      <c r="A1374" s="1" t="s">
        <v>18</v>
      </c>
      <c r="B1374" s="2">
        <v>201602</v>
      </c>
      <c r="C1374" s="2">
        <v>201704</v>
      </c>
      <c r="D1374" s="10">
        <v>44648.113844899359</v>
      </c>
      <c r="E1374" s="10">
        <v>813570.72817319364</v>
      </c>
      <c r="F1374" s="1">
        <v>22</v>
      </c>
      <c r="G1374" s="1">
        <v>2823</v>
      </c>
      <c r="H1374">
        <f t="shared" si="63"/>
        <v>2016</v>
      </c>
      <c r="I1374">
        <f t="shared" si="64"/>
        <v>2017</v>
      </c>
      <c r="J1374" s="7">
        <f t="shared" si="65"/>
        <v>858218.84201809298</v>
      </c>
      <c r="K1374" s="7"/>
    </row>
    <row r="1375" spans="1:11" x14ac:dyDescent="0.25">
      <c r="A1375" s="1" t="s">
        <v>18</v>
      </c>
      <c r="B1375" s="2">
        <v>201602</v>
      </c>
      <c r="C1375" s="2">
        <v>201801</v>
      </c>
      <c r="D1375" s="10">
        <v>38682.563985892033</v>
      </c>
      <c r="E1375" s="10">
        <v>754375.83178007253</v>
      </c>
      <c r="F1375" s="1">
        <v>20</v>
      </c>
      <c r="G1375" s="1">
        <v>2691</v>
      </c>
      <c r="H1375">
        <f t="shared" si="63"/>
        <v>2016</v>
      </c>
      <c r="I1375">
        <f t="shared" si="64"/>
        <v>2018</v>
      </c>
      <c r="J1375" s="7">
        <f t="shared" si="65"/>
        <v>793058.39576596452</v>
      </c>
      <c r="K1375" s="7"/>
    </row>
    <row r="1376" spans="1:11" x14ac:dyDescent="0.25">
      <c r="A1376" s="1" t="s">
        <v>18</v>
      </c>
      <c r="B1376" s="2">
        <v>201602</v>
      </c>
      <c r="C1376" s="2">
        <v>201802</v>
      </c>
      <c r="D1376" s="10">
        <v>31661.444920115544</v>
      </c>
      <c r="E1376" s="10">
        <v>653753.00881323125</v>
      </c>
      <c r="F1376" s="1">
        <v>15</v>
      </c>
      <c r="G1376" s="1">
        <v>2117</v>
      </c>
      <c r="H1376">
        <f t="shared" si="63"/>
        <v>2016</v>
      </c>
      <c r="I1376">
        <f t="shared" si="64"/>
        <v>2018</v>
      </c>
      <c r="J1376" s="7">
        <f t="shared" si="65"/>
        <v>685414.45373334677</v>
      </c>
      <c r="K1376" s="7"/>
    </row>
    <row r="1377" spans="1:11" x14ac:dyDescent="0.25">
      <c r="A1377" s="1" t="s">
        <v>18</v>
      </c>
      <c r="B1377" s="2">
        <v>201602</v>
      </c>
      <c r="C1377" s="2">
        <v>201803</v>
      </c>
      <c r="D1377" s="10">
        <v>21237.170276955436</v>
      </c>
      <c r="E1377" s="10">
        <v>593389.59352288151</v>
      </c>
      <c r="F1377" s="1">
        <v>9</v>
      </c>
      <c r="G1377" s="1">
        <v>1918</v>
      </c>
      <c r="H1377">
        <f t="shared" si="63"/>
        <v>2016</v>
      </c>
      <c r="I1377">
        <f t="shared" si="64"/>
        <v>2018</v>
      </c>
      <c r="J1377" s="7">
        <f t="shared" si="65"/>
        <v>614626.76379983698</v>
      </c>
      <c r="K1377" s="7"/>
    </row>
    <row r="1378" spans="1:11" x14ac:dyDescent="0.25">
      <c r="A1378" s="1" t="s">
        <v>18</v>
      </c>
      <c r="B1378" s="2">
        <v>201602</v>
      </c>
      <c r="C1378" s="2">
        <v>201804</v>
      </c>
      <c r="D1378" s="10">
        <v>25059.5237071425</v>
      </c>
      <c r="E1378" s="10">
        <v>554778.43113567168</v>
      </c>
      <c r="F1378" s="1">
        <v>5</v>
      </c>
      <c r="G1378" s="1">
        <v>1625</v>
      </c>
      <c r="H1378">
        <f t="shared" si="63"/>
        <v>2016</v>
      </c>
      <c r="I1378">
        <f t="shared" si="64"/>
        <v>2018</v>
      </c>
      <c r="J1378" s="7">
        <f t="shared" si="65"/>
        <v>579837.95484281413</v>
      </c>
      <c r="K1378" s="7"/>
    </row>
    <row r="1379" spans="1:11" x14ac:dyDescent="0.25">
      <c r="A1379" s="1" t="s">
        <v>18</v>
      </c>
      <c r="B1379" s="2">
        <v>201602</v>
      </c>
      <c r="C1379" s="2">
        <v>201901</v>
      </c>
      <c r="D1379" s="10">
        <v>16073.085295806888</v>
      </c>
      <c r="E1379" s="10">
        <v>508204.04183742305</v>
      </c>
      <c r="F1379" s="1">
        <v>5</v>
      </c>
      <c r="G1379" s="1">
        <v>1231</v>
      </c>
      <c r="H1379">
        <f t="shared" si="63"/>
        <v>2016</v>
      </c>
      <c r="I1379">
        <f t="shared" si="64"/>
        <v>2019</v>
      </c>
      <c r="J1379" s="7">
        <f t="shared" si="65"/>
        <v>524277.12713322992</v>
      </c>
      <c r="K1379" s="7"/>
    </row>
    <row r="1380" spans="1:11" x14ac:dyDescent="0.25">
      <c r="A1380" s="1" t="s">
        <v>18</v>
      </c>
      <c r="B1380" s="2">
        <v>201602</v>
      </c>
      <c r="C1380" s="2">
        <v>201902</v>
      </c>
      <c r="D1380" s="10">
        <v>24906.623533527327</v>
      </c>
      <c r="E1380" s="10">
        <v>453985.28591279226</v>
      </c>
      <c r="F1380" s="1">
        <v>8</v>
      </c>
      <c r="G1380" s="1">
        <v>986</v>
      </c>
      <c r="H1380">
        <f t="shared" si="63"/>
        <v>2016</v>
      </c>
      <c r="I1380">
        <f t="shared" si="64"/>
        <v>2019</v>
      </c>
      <c r="J1380" s="7">
        <f t="shared" si="65"/>
        <v>478891.90944631957</v>
      </c>
      <c r="K1380" s="7"/>
    </row>
    <row r="1381" spans="1:11" x14ac:dyDescent="0.25">
      <c r="A1381" s="1" t="s">
        <v>18</v>
      </c>
      <c r="B1381" s="2">
        <v>201602</v>
      </c>
      <c r="C1381" s="2">
        <v>201903</v>
      </c>
      <c r="D1381" s="10">
        <v>36797.201116590775</v>
      </c>
      <c r="E1381" s="10">
        <v>431220.98779367813</v>
      </c>
      <c r="F1381" s="1">
        <v>1</v>
      </c>
      <c r="G1381" s="1">
        <v>897</v>
      </c>
      <c r="H1381">
        <f t="shared" si="63"/>
        <v>2016</v>
      </c>
      <c r="I1381">
        <f t="shared" si="64"/>
        <v>2019</v>
      </c>
      <c r="J1381" s="7">
        <f t="shared" si="65"/>
        <v>468018.18891026889</v>
      </c>
      <c r="K1381" s="7"/>
    </row>
    <row r="1382" spans="1:11" x14ac:dyDescent="0.25">
      <c r="A1382" s="1" t="s">
        <v>18</v>
      </c>
      <c r="B1382" s="2">
        <v>201602</v>
      </c>
      <c r="C1382" s="2">
        <v>201904</v>
      </c>
      <c r="D1382" s="10">
        <v>7205.6791833968337</v>
      </c>
      <c r="E1382" s="10">
        <v>390500.39902066812</v>
      </c>
      <c r="F1382" s="1">
        <v>1</v>
      </c>
      <c r="G1382" s="1">
        <v>788</v>
      </c>
      <c r="H1382">
        <f t="shared" si="63"/>
        <v>2016</v>
      </c>
      <c r="I1382">
        <f t="shared" si="64"/>
        <v>2019</v>
      </c>
      <c r="J1382" s="7">
        <f t="shared" si="65"/>
        <v>397706.07820406498</v>
      </c>
      <c r="K1382" s="7"/>
    </row>
    <row r="1383" spans="1:11" x14ac:dyDescent="0.25">
      <c r="A1383" s="1" t="s">
        <v>18</v>
      </c>
      <c r="B1383" s="2">
        <v>201602</v>
      </c>
      <c r="C1383" s="2">
        <v>202001</v>
      </c>
      <c r="D1383" s="10">
        <v>13515.086414929448</v>
      </c>
      <c r="E1383" s="10">
        <v>350338.8241959908</v>
      </c>
      <c r="F1383" s="1">
        <v>0</v>
      </c>
      <c r="G1383" s="1">
        <v>688</v>
      </c>
      <c r="H1383">
        <f t="shared" si="63"/>
        <v>2016</v>
      </c>
      <c r="I1383">
        <f t="shared" si="64"/>
        <v>2020</v>
      </c>
      <c r="J1383" s="7">
        <f t="shared" si="65"/>
        <v>363853.91061092023</v>
      </c>
      <c r="K1383" s="7"/>
    </row>
    <row r="1384" spans="1:11" x14ac:dyDescent="0.25">
      <c r="A1384" s="1" t="s">
        <v>18</v>
      </c>
      <c r="B1384" s="2">
        <v>201602</v>
      </c>
      <c r="C1384" s="2">
        <v>202002</v>
      </c>
      <c r="D1384" s="10">
        <v>10347.569129496333</v>
      </c>
      <c r="E1384" s="10">
        <v>332530.50926319649</v>
      </c>
      <c r="F1384" s="1">
        <v>0</v>
      </c>
      <c r="G1384" s="1">
        <v>566</v>
      </c>
      <c r="H1384">
        <f t="shared" si="63"/>
        <v>2016</v>
      </c>
      <c r="I1384">
        <f t="shared" si="64"/>
        <v>2020</v>
      </c>
      <c r="J1384" s="7">
        <f t="shared" si="65"/>
        <v>342878.07839269284</v>
      </c>
      <c r="K1384" s="7"/>
    </row>
    <row r="1385" spans="1:11" x14ac:dyDescent="0.25">
      <c r="A1385" s="1" t="s">
        <v>18</v>
      </c>
      <c r="B1385" s="2">
        <v>201602</v>
      </c>
      <c r="C1385" s="2">
        <v>202003</v>
      </c>
      <c r="D1385" s="10">
        <v>12900.189248808596</v>
      </c>
      <c r="E1385" s="10">
        <v>309913.46883449808</v>
      </c>
      <c r="F1385" s="1">
        <v>1</v>
      </c>
      <c r="G1385" s="1">
        <v>516</v>
      </c>
      <c r="H1385">
        <f t="shared" si="63"/>
        <v>2016</v>
      </c>
      <c r="I1385">
        <f t="shared" si="64"/>
        <v>2020</v>
      </c>
      <c r="J1385" s="7">
        <f t="shared" si="65"/>
        <v>322813.65808330668</v>
      </c>
      <c r="K1385" s="7"/>
    </row>
    <row r="1386" spans="1:11" x14ac:dyDescent="0.25">
      <c r="A1386" s="1" t="s">
        <v>18</v>
      </c>
      <c r="B1386" s="2">
        <v>201602</v>
      </c>
      <c r="C1386" s="2">
        <v>202004</v>
      </c>
      <c r="D1386" s="10">
        <v>5359.4418587916143</v>
      </c>
      <c r="E1386" s="10">
        <v>304253.377576489</v>
      </c>
      <c r="F1386" s="1">
        <v>1</v>
      </c>
      <c r="G1386" s="1">
        <v>448</v>
      </c>
      <c r="H1386">
        <f t="shared" si="63"/>
        <v>2016</v>
      </c>
      <c r="I1386">
        <f t="shared" si="64"/>
        <v>2020</v>
      </c>
      <c r="J1386" s="7">
        <f t="shared" si="65"/>
        <v>309612.81943528063</v>
      </c>
      <c r="K1386" s="7"/>
    </row>
    <row r="1387" spans="1:11" x14ac:dyDescent="0.25">
      <c r="A1387" s="1" t="s">
        <v>18</v>
      </c>
      <c r="B1387" s="2">
        <v>201602</v>
      </c>
      <c r="C1387" s="2">
        <v>202101</v>
      </c>
      <c r="D1387" s="10">
        <v>29649.455376839647</v>
      </c>
      <c r="E1387" s="10">
        <v>313378.15866130992</v>
      </c>
      <c r="F1387" s="1">
        <v>0</v>
      </c>
      <c r="G1387" s="1">
        <v>358</v>
      </c>
      <c r="H1387">
        <f t="shared" si="63"/>
        <v>2016</v>
      </c>
      <c r="I1387">
        <f t="shared" si="64"/>
        <v>2021</v>
      </c>
      <c r="J1387" s="7">
        <f t="shared" si="65"/>
        <v>343027.61403814959</v>
      </c>
      <c r="K1387" s="7"/>
    </row>
    <row r="1388" spans="1:11" x14ac:dyDescent="0.25">
      <c r="A1388" s="1" t="s">
        <v>18</v>
      </c>
      <c r="B1388" s="2">
        <v>201602</v>
      </c>
      <c r="C1388" s="2">
        <v>202102</v>
      </c>
      <c r="D1388" s="10">
        <v>20178.276940074986</v>
      </c>
      <c r="E1388" s="10">
        <v>310483.281736909</v>
      </c>
      <c r="F1388" s="1">
        <v>0</v>
      </c>
      <c r="G1388" s="1">
        <v>310</v>
      </c>
      <c r="H1388">
        <f t="shared" si="63"/>
        <v>2016</v>
      </c>
      <c r="I1388">
        <f t="shared" si="64"/>
        <v>2021</v>
      </c>
      <c r="J1388" s="7">
        <f t="shared" si="65"/>
        <v>330661.55867698399</v>
      </c>
      <c r="K1388" s="7"/>
    </row>
    <row r="1389" spans="1:11" x14ac:dyDescent="0.25">
      <c r="A1389" s="1" t="s">
        <v>18</v>
      </c>
      <c r="B1389" s="2">
        <v>201602</v>
      </c>
      <c r="C1389" s="2">
        <v>202103</v>
      </c>
      <c r="D1389" s="10">
        <v>1812.707497270233</v>
      </c>
      <c r="E1389" s="10">
        <v>303724.07787093538</v>
      </c>
      <c r="F1389" s="1">
        <v>0</v>
      </c>
      <c r="G1389" s="1">
        <v>292</v>
      </c>
      <c r="H1389">
        <f t="shared" si="63"/>
        <v>2016</v>
      </c>
      <c r="I1389">
        <f t="shared" si="64"/>
        <v>2021</v>
      </c>
      <c r="J1389" s="7">
        <f t="shared" si="65"/>
        <v>305536.78536820563</v>
      </c>
      <c r="K1389" s="7"/>
    </row>
    <row r="1390" spans="1:11" x14ac:dyDescent="0.25">
      <c r="A1390" s="1" t="s">
        <v>18</v>
      </c>
      <c r="B1390" s="2">
        <v>201602</v>
      </c>
      <c r="C1390" s="2">
        <v>202104</v>
      </c>
      <c r="D1390" s="10">
        <v>5191.501415306685</v>
      </c>
      <c r="E1390" s="10">
        <v>216539.28252306883</v>
      </c>
      <c r="F1390" s="1">
        <v>0</v>
      </c>
      <c r="G1390" s="1">
        <v>235</v>
      </c>
      <c r="H1390">
        <f t="shared" si="63"/>
        <v>2016</v>
      </c>
      <c r="I1390">
        <f t="shared" si="64"/>
        <v>2021</v>
      </c>
      <c r="J1390" s="7">
        <f t="shared" si="65"/>
        <v>221730.78393837551</v>
      </c>
      <c r="K1390" s="7"/>
    </row>
    <row r="1391" spans="1:11" x14ac:dyDescent="0.25">
      <c r="A1391" s="1" t="s">
        <v>18</v>
      </c>
      <c r="B1391" s="2">
        <v>201603</v>
      </c>
      <c r="C1391" s="2">
        <v>201603</v>
      </c>
      <c r="D1391" s="10">
        <v>601921.63334224967</v>
      </c>
      <c r="E1391" s="10">
        <v>1683226.1359682188</v>
      </c>
      <c r="F1391" s="1">
        <v>14212</v>
      </c>
      <c r="G1391" s="1">
        <v>8541</v>
      </c>
      <c r="H1391">
        <f t="shared" si="63"/>
        <v>2016</v>
      </c>
      <c r="I1391">
        <f t="shared" si="64"/>
        <v>2016</v>
      </c>
      <c r="J1391" s="7">
        <f t="shared" si="65"/>
        <v>2285147.7693104683</v>
      </c>
      <c r="K1391" s="7"/>
    </row>
    <row r="1392" spans="1:11" x14ac:dyDescent="0.25">
      <c r="A1392" s="1" t="s">
        <v>18</v>
      </c>
      <c r="B1392" s="2">
        <v>201603</v>
      </c>
      <c r="C1392" s="2">
        <v>201604</v>
      </c>
      <c r="D1392" s="10">
        <v>623685.98647797562</v>
      </c>
      <c r="E1392" s="10">
        <v>1603998.3417598661</v>
      </c>
      <c r="F1392" s="1">
        <v>2438</v>
      </c>
      <c r="G1392" s="1">
        <v>5870</v>
      </c>
      <c r="H1392">
        <f t="shared" si="63"/>
        <v>2016</v>
      </c>
      <c r="I1392">
        <f t="shared" si="64"/>
        <v>2016</v>
      </c>
      <c r="J1392" s="7">
        <f t="shared" si="65"/>
        <v>2227684.3282378418</v>
      </c>
      <c r="K1392" s="7"/>
    </row>
    <row r="1393" spans="1:11" x14ac:dyDescent="0.25">
      <c r="A1393" s="1" t="s">
        <v>18</v>
      </c>
      <c r="B1393" s="2">
        <v>201603</v>
      </c>
      <c r="C1393" s="2">
        <v>201701</v>
      </c>
      <c r="D1393" s="10">
        <v>216092.81897762037</v>
      </c>
      <c r="E1393" s="10">
        <v>1312336.3812715581</v>
      </c>
      <c r="F1393" s="1">
        <v>351</v>
      </c>
      <c r="G1393" s="1">
        <v>4647</v>
      </c>
      <c r="H1393">
        <f t="shared" si="63"/>
        <v>2016</v>
      </c>
      <c r="I1393">
        <f t="shared" si="64"/>
        <v>2017</v>
      </c>
      <c r="J1393" s="7">
        <f t="shared" si="65"/>
        <v>1528429.2002491786</v>
      </c>
      <c r="K1393" s="7"/>
    </row>
    <row r="1394" spans="1:11" x14ac:dyDescent="0.25">
      <c r="A1394" s="1" t="s">
        <v>18</v>
      </c>
      <c r="B1394" s="2">
        <v>201603</v>
      </c>
      <c r="C1394" s="2">
        <v>201702</v>
      </c>
      <c r="D1394" s="10">
        <v>113202.53355010558</v>
      </c>
      <c r="E1394" s="10">
        <v>1216048.9617693974</v>
      </c>
      <c r="F1394" s="1">
        <v>141</v>
      </c>
      <c r="G1394" s="1">
        <v>3903</v>
      </c>
      <c r="H1394">
        <f t="shared" si="63"/>
        <v>2016</v>
      </c>
      <c r="I1394">
        <f t="shared" si="64"/>
        <v>2017</v>
      </c>
      <c r="J1394" s="7">
        <f t="shared" si="65"/>
        <v>1329251.4953195029</v>
      </c>
      <c r="K1394" s="7"/>
    </row>
    <row r="1395" spans="1:11" x14ac:dyDescent="0.25">
      <c r="A1395" s="1" t="s">
        <v>18</v>
      </c>
      <c r="B1395" s="2">
        <v>201603</v>
      </c>
      <c r="C1395" s="2">
        <v>201703</v>
      </c>
      <c r="D1395" s="10">
        <v>92170.179007044178</v>
      </c>
      <c r="E1395" s="10">
        <v>1104987.4060427512</v>
      </c>
      <c r="F1395" s="1">
        <v>80</v>
      </c>
      <c r="G1395" s="1">
        <v>3530</v>
      </c>
      <c r="H1395">
        <f t="shared" si="63"/>
        <v>2016</v>
      </c>
      <c r="I1395">
        <f t="shared" si="64"/>
        <v>2017</v>
      </c>
      <c r="J1395" s="7">
        <f t="shared" si="65"/>
        <v>1197157.5850497955</v>
      </c>
      <c r="K1395" s="7"/>
    </row>
    <row r="1396" spans="1:11" x14ac:dyDescent="0.25">
      <c r="A1396" s="1" t="s">
        <v>18</v>
      </c>
      <c r="B1396" s="2">
        <v>201603</v>
      </c>
      <c r="C1396" s="2">
        <v>201704</v>
      </c>
      <c r="D1396" s="10">
        <v>57810.032733382635</v>
      </c>
      <c r="E1396" s="10">
        <v>1090778.3216583584</v>
      </c>
      <c r="F1396" s="1">
        <v>29</v>
      </c>
      <c r="G1396" s="1">
        <v>3140</v>
      </c>
      <c r="H1396">
        <f t="shared" si="63"/>
        <v>2016</v>
      </c>
      <c r="I1396">
        <f t="shared" si="64"/>
        <v>2017</v>
      </c>
      <c r="J1396" s="7">
        <f t="shared" si="65"/>
        <v>1148588.3543917411</v>
      </c>
      <c r="K1396" s="7"/>
    </row>
    <row r="1397" spans="1:11" x14ac:dyDescent="0.25">
      <c r="A1397" s="1" t="s">
        <v>18</v>
      </c>
      <c r="B1397" s="2">
        <v>201603</v>
      </c>
      <c r="C1397" s="2">
        <v>201801</v>
      </c>
      <c r="D1397" s="10">
        <v>56050.190575252287</v>
      </c>
      <c r="E1397" s="10">
        <v>1057562.0312464638</v>
      </c>
      <c r="F1397" s="1">
        <v>22</v>
      </c>
      <c r="G1397" s="1">
        <v>3010</v>
      </c>
      <c r="H1397">
        <f t="shared" si="63"/>
        <v>2016</v>
      </c>
      <c r="I1397">
        <f t="shared" si="64"/>
        <v>2018</v>
      </c>
      <c r="J1397" s="7">
        <f t="shared" si="65"/>
        <v>1113612.2218217161</v>
      </c>
      <c r="K1397" s="7"/>
    </row>
    <row r="1398" spans="1:11" x14ac:dyDescent="0.25">
      <c r="A1398" s="1" t="s">
        <v>18</v>
      </c>
      <c r="B1398" s="2">
        <v>201603</v>
      </c>
      <c r="C1398" s="2">
        <v>201802</v>
      </c>
      <c r="D1398" s="10">
        <v>41618.635560937109</v>
      </c>
      <c r="E1398" s="10">
        <v>900899.16132456402</v>
      </c>
      <c r="F1398" s="1">
        <v>20</v>
      </c>
      <c r="G1398" s="1">
        <v>2293</v>
      </c>
      <c r="H1398">
        <f t="shared" si="63"/>
        <v>2016</v>
      </c>
      <c r="I1398">
        <f t="shared" si="64"/>
        <v>2018</v>
      </c>
      <c r="J1398" s="7">
        <f t="shared" si="65"/>
        <v>942517.79688550113</v>
      </c>
      <c r="K1398" s="7"/>
    </row>
    <row r="1399" spans="1:11" x14ac:dyDescent="0.25">
      <c r="A1399" s="1" t="s">
        <v>18</v>
      </c>
      <c r="B1399" s="2">
        <v>201603</v>
      </c>
      <c r="C1399" s="2">
        <v>201803</v>
      </c>
      <c r="D1399" s="10">
        <v>43769.905563731212</v>
      </c>
      <c r="E1399" s="10">
        <v>817392.81746921618</v>
      </c>
      <c r="F1399" s="1">
        <v>20</v>
      </c>
      <c r="G1399" s="1">
        <v>2007</v>
      </c>
      <c r="H1399">
        <f t="shared" si="63"/>
        <v>2016</v>
      </c>
      <c r="I1399">
        <f t="shared" si="64"/>
        <v>2018</v>
      </c>
      <c r="J1399" s="7">
        <f t="shared" si="65"/>
        <v>861162.7230329474</v>
      </c>
      <c r="K1399" s="7"/>
    </row>
    <row r="1400" spans="1:11" x14ac:dyDescent="0.25">
      <c r="A1400" s="1" t="s">
        <v>18</v>
      </c>
      <c r="B1400" s="2">
        <v>201603</v>
      </c>
      <c r="C1400" s="2">
        <v>201804</v>
      </c>
      <c r="D1400" s="10">
        <v>31718.127136772207</v>
      </c>
      <c r="E1400" s="10">
        <v>768640.71772282384</v>
      </c>
      <c r="F1400" s="1">
        <v>5</v>
      </c>
      <c r="G1400" s="1">
        <v>1806</v>
      </c>
      <c r="H1400">
        <f t="shared" si="63"/>
        <v>2016</v>
      </c>
      <c r="I1400">
        <f t="shared" si="64"/>
        <v>2018</v>
      </c>
      <c r="J1400" s="7">
        <f t="shared" si="65"/>
        <v>800358.84485959611</v>
      </c>
      <c r="K1400" s="7"/>
    </row>
    <row r="1401" spans="1:11" x14ac:dyDescent="0.25">
      <c r="A1401" s="1" t="s">
        <v>18</v>
      </c>
      <c r="B1401" s="2">
        <v>201603</v>
      </c>
      <c r="C1401" s="2">
        <v>201901</v>
      </c>
      <c r="D1401" s="10">
        <v>17460.436901913614</v>
      </c>
      <c r="E1401" s="10">
        <v>714176.06614274741</v>
      </c>
      <c r="F1401" s="1">
        <v>7</v>
      </c>
      <c r="G1401" s="1">
        <v>1502</v>
      </c>
      <c r="H1401">
        <f t="shared" si="63"/>
        <v>2016</v>
      </c>
      <c r="I1401">
        <f t="shared" si="64"/>
        <v>2019</v>
      </c>
      <c r="J1401" s="7">
        <f t="shared" si="65"/>
        <v>731636.50304466102</v>
      </c>
      <c r="K1401" s="7"/>
    </row>
    <row r="1402" spans="1:11" x14ac:dyDescent="0.25">
      <c r="A1402" s="1" t="s">
        <v>18</v>
      </c>
      <c r="B1402" s="2">
        <v>201603</v>
      </c>
      <c r="C1402" s="2">
        <v>201902</v>
      </c>
      <c r="D1402" s="10">
        <v>28352.79247388606</v>
      </c>
      <c r="E1402" s="10">
        <v>656024.13450587553</v>
      </c>
      <c r="F1402" s="1">
        <v>8</v>
      </c>
      <c r="G1402" s="1">
        <v>1237</v>
      </c>
      <c r="H1402">
        <f t="shared" si="63"/>
        <v>2016</v>
      </c>
      <c r="I1402">
        <f t="shared" si="64"/>
        <v>2019</v>
      </c>
      <c r="J1402" s="7">
        <f t="shared" si="65"/>
        <v>684376.92697976157</v>
      </c>
      <c r="K1402" s="7"/>
    </row>
    <row r="1403" spans="1:11" x14ac:dyDescent="0.25">
      <c r="A1403" s="1" t="s">
        <v>18</v>
      </c>
      <c r="B1403" s="2">
        <v>201603</v>
      </c>
      <c r="C1403" s="2">
        <v>201903</v>
      </c>
      <c r="D1403" s="10">
        <v>30280.972801262738</v>
      </c>
      <c r="E1403" s="10">
        <v>592421.18910830002</v>
      </c>
      <c r="F1403" s="1">
        <v>1</v>
      </c>
      <c r="G1403" s="1">
        <v>1085</v>
      </c>
      <c r="H1403">
        <f t="shared" si="63"/>
        <v>2016</v>
      </c>
      <c r="I1403">
        <f t="shared" si="64"/>
        <v>2019</v>
      </c>
      <c r="J1403" s="7">
        <f t="shared" si="65"/>
        <v>622702.16190956277</v>
      </c>
      <c r="K1403" s="7"/>
    </row>
    <row r="1404" spans="1:11" x14ac:dyDescent="0.25">
      <c r="A1404" s="1" t="s">
        <v>18</v>
      </c>
      <c r="B1404" s="2">
        <v>201603</v>
      </c>
      <c r="C1404" s="2">
        <v>201904</v>
      </c>
      <c r="D1404" s="10">
        <v>9247.2739890874927</v>
      </c>
      <c r="E1404" s="10">
        <v>555192.75330067449</v>
      </c>
      <c r="F1404" s="1">
        <v>2</v>
      </c>
      <c r="G1404" s="1">
        <v>975</v>
      </c>
      <c r="H1404">
        <f t="shared" si="63"/>
        <v>2016</v>
      </c>
      <c r="I1404">
        <f t="shared" si="64"/>
        <v>2019</v>
      </c>
      <c r="J1404" s="7">
        <f t="shared" si="65"/>
        <v>564440.02728976193</v>
      </c>
      <c r="K1404" s="7"/>
    </row>
    <row r="1405" spans="1:11" x14ac:dyDescent="0.25">
      <c r="A1405" s="1" t="s">
        <v>18</v>
      </c>
      <c r="B1405" s="2">
        <v>201603</v>
      </c>
      <c r="C1405" s="2">
        <v>202001</v>
      </c>
      <c r="D1405" s="10">
        <v>13470.004084091037</v>
      </c>
      <c r="E1405" s="10">
        <v>534683.78621965321</v>
      </c>
      <c r="F1405" s="1">
        <v>0</v>
      </c>
      <c r="G1405" s="1">
        <v>825</v>
      </c>
      <c r="H1405">
        <f t="shared" si="63"/>
        <v>2016</v>
      </c>
      <c r="I1405">
        <f t="shared" si="64"/>
        <v>2020</v>
      </c>
      <c r="J1405" s="7">
        <f t="shared" si="65"/>
        <v>548153.79030374426</v>
      </c>
      <c r="K1405" s="7"/>
    </row>
    <row r="1406" spans="1:11" x14ac:dyDescent="0.25">
      <c r="A1406" s="1" t="s">
        <v>18</v>
      </c>
      <c r="B1406" s="2">
        <v>201603</v>
      </c>
      <c r="C1406" s="2">
        <v>202002</v>
      </c>
      <c r="D1406" s="10">
        <v>13017.90694878383</v>
      </c>
      <c r="E1406" s="10">
        <v>494254.19995101873</v>
      </c>
      <c r="F1406" s="1">
        <v>0</v>
      </c>
      <c r="G1406" s="1">
        <v>690</v>
      </c>
      <c r="H1406">
        <f t="shared" si="63"/>
        <v>2016</v>
      </c>
      <c r="I1406">
        <f t="shared" si="64"/>
        <v>2020</v>
      </c>
      <c r="J1406" s="7">
        <f t="shared" si="65"/>
        <v>507272.10689980257</v>
      </c>
      <c r="K1406" s="7"/>
    </row>
    <row r="1407" spans="1:11" x14ac:dyDescent="0.25">
      <c r="A1407" s="1" t="s">
        <v>18</v>
      </c>
      <c r="B1407" s="2">
        <v>201603</v>
      </c>
      <c r="C1407" s="2">
        <v>202003</v>
      </c>
      <c r="D1407" s="10">
        <v>18205.036387416494</v>
      </c>
      <c r="E1407" s="10">
        <v>464220.84658121562</v>
      </c>
      <c r="F1407" s="1">
        <v>1</v>
      </c>
      <c r="G1407" s="1">
        <v>632</v>
      </c>
      <c r="H1407">
        <f t="shared" si="63"/>
        <v>2016</v>
      </c>
      <c r="I1407">
        <f t="shared" si="64"/>
        <v>2020</v>
      </c>
      <c r="J1407" s="7">
        <f t="shared" si="65"/>
        <v>482425.8829686321</v>
      </c>
      <c r="K1407" s="7"/>
    </row>
    <row r="1408" spans="1:11" x14ac:dyDescent="0.25">
      <c r="A1408" s="1" t="s">
        <v>18</v>
      </c>
      <c r="B1408" s="2">
        <v>201603</v>
      </c>
      <c r="C1408" s="2">
        <v>202004</v>
      </c>
      <c r="D1408" s="10">
        <v>6373.6863201091528</v>
      </c>
      <c r="E1408" s="10">
        <v>425008.0426875889</v>
      </c>
      <c r="F1408" s="1">
        <v>0</v>
      </c>
      <c r="G1408" s="1">
        <v>577</v>
      </c>
      <c r="H1408">
        <f t="shared" si="63"/>
        <v>2016</v>
      </c>
      <c r="I1408">
        <f t="shared" si="64"/>
        <v>2020</v>
      </c>
      <c r="J1408" s="7">
        <f t="shared" si="65"/>
        <v>431381.72900769807</v>
      </c>
      <c r="K1408" s="7"/>
    </row>
    <row r="1409" spans="1:11" x14ac:dyDescent="0.25">
      <c r="A1409" s="1" t="s">
        <v>18</v>
      </c>
      <c r="B1409" s="2">
        <v>201603</v>
      </c>
      <c r="C1409" s="2">
        <v>202101</v>
      </c>
      <c r="D1409" s="10">
        <v>26893.577411659804</v>
      </c>
      <c r="E1409" s="10">
        <v>430078.2674201061</v>
      </c>
      <c r="F1409" s="1">
        <v>0</v>
      </c>
      <c r="G1409" s="1">
        <v>417</v>
      </c>
      <c r="H1409">
        <f t="shared" si="63"/>
        <v>2016</v>
      </c>
      <c r="I1409">
        <f t="shared" si="64"/>
        <v>2021</v>
      </c>
      <c r="J1409" s="7">
        <f t="shared" si="65"/>
        <v>456971.84483176592</v>
      </c>
      <c r="K1409" s="7"/>
    </row>
    <row r="1410" spans="1:11" x14ac:dyDescent="0.25">
      <c r="A1410" s="1" t="s">
        <v>18</v>
      </c>
      <c r="B1410" s="2">
        <v>201603</v>
      </c>
      <c r="C1410" s="2">
        <v>202102</v>
      </c>
      <c r="D1410" s="10">
        <v>14655.882397794076</v>
      </c>
      <c r="E1410" s="10">
        <v>424449.02609992743</v>
      </c>
      <c r="F1410" s="1">
        <v>0</v>
      </c>
      <c r="G1410" s="1">
        <v>373</v>
      </c>
      <c r="H1410">
        <f t="shared" si="63"/>
        <v>2016</v>
      </c>
      <c r="I1410">
        <f t="shared" si="64"/>
        <v>2021</v>
      </c>
      <c r="J1410" s="7">
        <f t="shared" si="65"/>
        <v>439104.90849772148</v>
      </c>
      <c r="K1410" s="7"/>
    </row>
    <row r="1411" spans="1:11" x14ac:dyDescent="0.25">
      <c r="A1411" s="1" t="s">
        <v>18</v>
      </c>
      <c r="B1411" s="2">
        <v>201603</v>
      </c>
      <c r="C1411" s="2">
        <v>202103</v>
      </c>
      <c r="D1411" s="10">
        <v>9412.5445824732378</v>
      </c>
      <c r="E1411" s="10">
        <v>427901.65507274208</v>
      </c>
      <c r="F1411" s="1">
        <v>0</v>
      </c>
      <c r="G1411" s="1">
        <v>348</v>
      </c>
      <c r="H1411">
        <f t="shared" si="63"/>
        <v>2016</v>
      </c>
      <c r="I1411">
        <f t="shared" si="64"/>
        <v>2021</v>
      </c>
      <c r="J1411" s="7">
        <f t="shared" si="65"/>
        <v>437314.19965521531</v>
      </c>
      <c r="K1411" s="7"/>
    </row>
    <row r="1412" spans="1:11" x14ac:dyDescent="0.25">
      <c r="A1412" s="1" t="s">
        <v>18</v>
      </c>
      <c r="B1412" s="2">
        <v>201603</v>
      </c>
      <c r="C1412" s="2">
        <v>202104</v>
      </c>
      <c r="D1412" s="10">
        <v>11310.190855683972</v>
      </c>
      <c r="E1412" s="10">
        <v>430089.48432280967</v>
      </c>
      <c r="F1412" s="1">
        <v>0</v>
      </c>
      <c r="G1412" s="1">
        <v>278</v>
      </c>
      <c r="H1412">
        <f t="shared" ref="H1412:H1475" si="66">VALUE(LEFT(B1412,4))</f>
        <v>2016</v>
      </c>
      <c r="I1412">
        <f t="shared" ref="I1412:I1475" si="67">VALUE(LEFT(C1412,4))</f>
        <v>2021</v>
      </c>
      <c r="J1412" s="7">
        <f t="shared" si="65"/>
        <v>441399.67517849366</v>
      </c>
      <c r="K1412" s="7"/>
    </row>
    <row r="1413" spans="1:11" x14ac:dyDescent="0.25">
      <c r="A1413" s="1" t="s">
        <v>18</v>
      </c>
      <c r="B1413" s="2">
        <v>201604</v>
      </c>
      <c r="C1413" s="2">
        <v>201604</v>
      </c>
      <c r="D1413" s="10">
        <v>524219.74678719568</v>
      </c>
      <c r="E1413" s="10">
        <v>1648481.264776336</v>
      </c>
      <c r="F1413" s="1">
        <v>13691</v>
      </c>
      <c r="G1413" s="1">
        <v>8835</v>
      </c>
      <c r="H1413">
        <f t="shared" si="66"/>
        <v>2016</v>
      </c>
      <c r="I1413">
        <f t="shared" si="67"/>
        <v>2016</v>
      </c>
      <c r="J1413" s="7">
        <f t="shared" ref="J1413:J1476" si="68">D1413+E1413</f>
        <v>2172701.0115635316</v>
      </c>
      <c r="K1413" s="7"/>
    </row>
    <row r="1414" spans="1:11" x14ac:dyDescent="0.25">
      <c r="A1414" s="1" t="s">
        <v>18</v>
      </c>
      <c r="B1414" s="2">
        <v>201604</v>
      </c>
      <c r="C1414" s="2">
        <v>201701</v>
      </c>
      <c r="D1414" s="10">
        <v>729999.10027524165</v>
      </c>
      <c r="E1414" s="10">
        <v>1224384.3879985621</v>
      </c>
      <c r="F1414" s="1">
        <v>2763</v>
      </c>
      <c r="G1414" s="1">
        <v>5869</v>
      </c>
      <c r="H1414">
        <f t="shared" si="66"/>
        <v>2016</v>
      </c>
      <c r="I1414">
        <f t="shared" si="67"/>
        <v>2017</v>
      </c>
      <c r="J1414" s="7">
        <f t="shared" si="68"/>
        <v>1954383.4882738036</v>
      </c>
      <c r="K1414" s="7"/>
    </row>
    <row r="1415" spans="1:11" x14ac:dyDescent="0.25">
      <c r="A1415" s="1" t="s">
        <v>18</v>
      </c>
      <c r="B1415" s="2">
        <v>201604</v>
      </c>
      <c r="C1415" s="2">
        <v>201702</v>
      </c>
      <c r="D1415" s="10">
        <v>212436.301123332</v>
      </c>
      <c r="E1415" s="10">
        <v>1045024.7452449845</v>
      </c>
      <c r="F1415" s="1">
        <v>438</v>
      </c>
      <c r="G1415" s="1">
        <v>4683</v>
      </c>
      <c r="H1415">
        <f t="shared" si="66"/>
        <v>2016</v>
      </c>
      <c r="I1415">
        <f t="shared" si="67"/>
        <v>2017</v>
      </c>
      <c r="J1415" s="7">
        <f t="shared" si="68"/>
        <v>1257461.0463683165</v>
      </c>
      <c r="K1415" s="7"/>
    </row>
    <row r="1416" spans="1:11" x14ac:dyDescent="0.25">
      <c r="A1416" s="1" t="s">
        <v>18</v>
      </c>
      <c r="B1416" s="2">
        <v>201604</v>
      </c>
      <c r="C1416" s="2">
        <v>201703</v>
      </c>
      <c r="D1416" s="10">
        <v>105597.80043503962</v>
      </c>
      <c r="E1416" s="10">
        <v>934666.83437280485</v>
      </c>
      <c r="F1416" s="1">
        <v>149</v>
      </c>
      <c r="G1416" s="1">
        <v>4026</v>
      </c>
      <c r="H1416">
        <f t="shared" si="66"/>
        <v>2016</v>
      </c>
      <c r="I1416">
        <f t="shared" si="67"/>
        <v>2017</v>
      </c>
      <c r="J1416" s="7">
        <f t="shared" si="68"/>
        <v>1040264.6348078444</v>
      </c>
      <c r="K1416" s="7"/>
    </row>
    <row r="1417" spans="1:11" x14ac:dyDescent="0.25">
      <c r="A1417" s="1" t="s">
        <v>18</v>
      </c>
      <c r="B1417" s="2">
        <v>201604</v>
      </c>
      <c r="C1417" s="2">
        <v>201704</v>
      </c>
      <c r="D1417" s="10">
        <v>76837.437086250808</v>
      </c>
      <c r="E1417" s="10">
        <v>883855.7354076585</v>
      </c>
      <c r="F1417" s="1">
        <v>82</v>
      </c>
      <c r="G1417" s="1">
        <v>3449</v>
      </c>
      <c r="H1417">
        <f t="shared" si="66"/>
        <v>2016</v>
      </c>
      <c r="I1417">
        <f t="shared" si="67"/>
        <v>2017</v>
      </c>
      <c r="J1417" s="7">
        <f t="shared" si="68"/>
        <v>960693.17249390925</v>
      </c>
      <c r="K1417" s="7"/>
    </row>
    <row r="1418" spans="1:11" x14ac:dyDescent="0.25">
      <c r="A1418" s="1" t="s">
        <v>18</v>
      </c>
      <c r="B1418" s="2">
        <v>201604</v>
      </c>
      <c r="C1418" s="2">
        <v>201801</v>
      </c>
      <c r="D1418" s="10">
        <v>53394.545516561207</v>
      </c>
      <c r="E1418" s="10">
        <v>851984.17075655842</v>
      </c>
      <c r="F1418" s="1">
        <v>47</v>
      </c>
      <c r="G1418" s="1">
        <v>3235</v>
      </c>
      <c r="H1418">
        <f t="shared" si="66"/>
        <v>2016</v>
      </c>
      <c r="I1418">
        <f t="shared" si="67"/>
        <v>2018</v>
      </c>
      <c r="J1418" s="7">
        <f t="shared" si="68"/>
        <v>905378.71627311967</v>
      </c>
      <c r="K1418" s="7"/>
    </row>
    <row r="1419" spans="1:11" x14ac:dyDescent="0.25">
      <c r="A1419" s="1" t="s">
        <v>18</v>
      </c>
      <c r="B1419" s="2">
        <v>201604</v>
      </c>
      <c r="C1419" s="2">
        <v>201802</v>
      </c>
      <c r="D1419" s="10">
        <v>56762.727572667049</v>
      </c>
      <c r="E1419" s="10">
        <v>684554.80888421705</v>
      </c>
      <c r="F1419" s="1">
        <v>27</v>
      </c>
      <c r="G1419" s="1">
        <v>2480</v>
      </c>
      <c r="H1419">
        <f t="shared" si="66"/>
        <v>2016</v>
      </c>
      <c r="I1419">
        <f t="shared" si="67"/>
        <v>2018</v>
      </c>
      <c r="J1419" s="7">
        <f t="shared" si="68"/>
        <v>741317.53645688412</v>
      </c>
      <c r="K1419" s="7"/>
    </row>
    <row r="1420" spans="1:11" x14ac:dyDescent="0.25">
      <c r="A1420" s="1" t="s">
        <v>18</v>
      </c>
      <c r="B1420" s="2">
        <v>201604</v>
      </c>
      <c r="C1420" s="2">
        <v>201803</v>
      </c>
      <c r="D1420" s="10">
        <v>41757.94759724602</v>
      </c>
      <c r="E1420" s="10">
        <v>640547.58947144495</v>
      </c>
      <c r="F1420" s="1">
        <v>21</v>
      </c>
      <c r="G1420" s="1">
        <v>2190</v>
      </c>
      <c r="H1420">
        <f t="shared" si="66"/>
        <v>2016</v>
      </c>
      <c r="I1420">
        <f t="shared" si="67"/>
        <v>2018</v>
      </c>
      <c r="J1420" s="7">
        <f t="shared" si="68"/>
        <v>682305.53706869099</v>
      </c>
      <c r="K1420" s="7"/>
    </row>
    <row r="1421" spans="1:11" x14ac:dyDescent="0.25">
      <c r="A1421" s="1" t="s">
        <v>18</v>
      </c>
      <c r="B1421" s="2">
        <v>201604</v>
      </c>
      <c r="C1421" s="2">
        <v>201804</v>
      </c>
      <c r="D1421" s="10">
        <v>16551.037130335873</v>
      </c>
      <c r="E1421" s="10">
        <v>605763.92997003556</v>
      </c>
      <c r="F1421" s="1">
        <v>16</v>
      </c>
      <c r="G1421" s="1">
        <v>2003</v>
      </c>
      <c r="H1421">
        <f t="shared" si="66"/>
        <v>2016</v>
      </c>
      <c r="I1421">
        <f t="shared" si="67"/>
        <v>2018</v>
      </c>
      <c r="J1421" s="7">
        <f t="shared" si="68"/>
        <v>622314.96710037149</v>
      </c>
      <c r="K1421" s="7"/>
    </row>
    <row r="1422" spans="1:11" x14ac:dyDescent="0.25">
      <c r="A1422" s="1" t="s">
        <v>18</v>
      </c>
      <c r="B1422" s="2">
        <v>201604</v>
      </c>
      <c r="C1422" s="2">
        <v>201901</v>
      </c>
      <c r="D1422" s="10">
        <v>27243.28558141704</v>
      </c>
      <c r="E1422" s="10">
        <v>537883.30348554207</v>
      </c>
      <c r="F1422" s="1">
        <v>13</v>
      </c>
      <c r="G1422" s="1">
        <v>1678</v>
      </c>
      <c r="H1422">
        <f t="shared" si="66"/>
        <v>2016</v>
      </c>
      <c r="I1422">
        <f t="shared" si="67"/>
        <v>2019</v>
      </c>
      <c r="J1422" s="7">
        <f t="shared" si="68"/>
        <v>565126.5890669591</v>
      </c>
      <c r="K1422" s="7"/>
    </row>
    <row r="1423" spans="1:11" x14ac:dyDescent="0.25">
      <c r="A1423" s="1" t="s">
        <v>18</v>
      </c>
      <c r="B1423" s="2">
        <v>201604</v>
      </c>
      <c r="C1423" s="2">
        <v>201902</v>
      </c>
      <c r="D1423" s="10">
        <v>35138.104984327401</v>
      </c>
      <c r="E1423" s="10">
        <v>472100.68627739203</v>
      </c>
      <c r="F1423" s="1">
        <v>9</v>
      </c>
      <c r="G1423" s="1">
        <v>1431</v>
      </c>
      <c r="H1423">
        <f t="shared" si="66"/>
        <v>2016</v>
      </c>
      <c r="I1423">
        <f t="shared" si="67"/>
        <v>2019</v>
      </c>
      <c r="J1423" s="7">
        <f t="shared" si="68"/>
        <v>507238.79126171942</v>
      </c>
      <c r="K1423" s="7"/>
    </row>
    <row r="1424" spans="1:11" x14ac:dyDescent="0.25">
      <c r="A1424" s="1" t="s">
        <v>18</v>
      </c>
      <c r="B1424" s="2">
        <v>201604</v>
      </c>
      <c r="C1424" s="2">
        <v>201903</v>
      </c>
      <c r="D1424" s="10">
        <v>21446.687738765115</v>
      </c>
      <c r="E1424" s="10">
        <v>418343.37742741726</v>
      </c>
      <c r="F1424" s="1">
        <v>3</v>
      </c>
      <c r="G1424" s="1">
        <v>1271</v>
      </c>
      <c r="H1424">
        <f t="shared" si="66"/>
        <v>2016</v>
      </c>
      <c r="I1424">
        <f t="shared" si="67"/>
        <v>2019</v>
      </c>
      <c r="J1424" s="7">
        <f t="shared" si="68"/>
        <v>439790.06516618235</v>
      </c>
      <c r="K1424" s="7"/>
    </row>
    <row r="1425" spans="1:11" x14ac:dyDescent="0.25">
      <c r="A1425" s="1" t="s">
        <v>18</v>
      </c>
      <c r="B1425" s="2">
        <v>201604</v>
      </c>
      <c r="C1425" s="2">
        <v>201904</v>
      </c>
      <c r="D1425" s="10">
        <v>14629.019841952357</v>
      </c>
      <c r="E1425" s="10">
        <v>391896.81069044676</v>
      </c>
      <c r="F1425" s="1">
        <v>6</v>
      </c>
      <c r="G1425" s="1">
        <v>1101</v>
      </c>
      <c r="H1425">
        <f t="shared" si="66"/>
        <v>2016</v>
      </c>
      <c r="I1425">
        <f t="shared" si="67"/>
        <v>2019</v>
      </c>
      <c r="J1425" s="7">
        <f t="shared" si="68"/>
        <v>406525.83053239912</v>
      </c>
      <c r="K1425" s="7"/>
    </row>
    <row r="1426" spans="1:11" x14ac:dyDescent="0.25">
      <c r="A1426" s="1" t="s">
        <v>18</v>
      </c>
      <c r="B1426" s="2">
        <v>201604</v>
      </c>
      <c r="C1426" s="2">
        <v>202001</v>
      </c>
      <c r="D1426" s="10">
        <v>18481.333107486978</v>
      </c>
      <c r="E1426" s="10">
        <v>364143.18998711987</v>
      </c>
      <c r="F1426" s="1">
        <v>0</v>
      </c>
      <c r="G1426" s="1">
        <v>909</v>
      </c>
      <c r="H1426">
        <f t="shared" si="66"/>
        <v>2016</v>
      </c>
      <c r="I1426">
        <f t="shared" si="67"/>
        <v>2020</v>
      </c>
      <c r="J1426" s="7">
        <f t="shared" si="68"/>
        <v>382624.52309460682</v>
      </c>
      <c r="K1426" s="7"/>
    </row>
    <row r="1427" spans="1:11" x14ac:dyDescent="0.25">
      <c r="A1427" s="1" t="s">
        <v>18</v>
      </c>
      <c r="B1427" s="2">
        <v>201604</v>
      </c>
      <c r="C1427" s="2">
        <v>202002</v>
      </c>
      <c r="D1427" s="10">
        <v>16943.595893277099</v>
      </c>
      <c r="E1427" s="10">
        <v>317335.49336639122</v>
      </c>
      <c r="F1427" s="1">
        <v>0</v>
      </c>
      <c r="G1427" s="1">
        <v>755</v>
      </c>
      <c r="H1427">
        <f t="shared" si="66"/>
        <v>2016</v>
      </c>
      <c r="I1427">
        <f t="shared" si="67"/>
        <v>2020</v>
      </c>
      <c r="J1427" s="7">
        <f t="shared" si="68"/>
        <v>334279.08925966831</v>
      </c>
      <c r="K1427" s="7"/>
    </row>
    <row r="1428" spans="1:11" x14ac:dyDescent="0.25">
      <c r="A1428" s="1" t="s">
        <v>18</v>
      </c>
      <c r="B1428" s="2">
        <v>201604</v>
      </c>
      <c r="C1428" s="2">
        <v>202003</v>
      </c>
      <c r="D1428" s="10">
        <v>11261.408819383454</v>
      </c>
      <c r="E1428" s="10">
        <v>300145.82488826127</v>
      </c>
      <c r="F1428" s="1">
        <v>0</v>
      </c>
      <c r="G1428" s="1">
        <v>681</v>
      </c>
      <c r="H1428">
        <f t="shared" si="66"/>
        <v>2016</v>
      </c>
      <c r="I1428">
        <f t="shared" si="67"/>
        <v>2020</v>
      </c>
      <c r="J1428" s="7">
        <f t="shared" si="68"/>
        <v>311407.23370764474</v>
      </c>
      <c r="K1428" s="7"/>
    </row>
    <row r="1429" spans="1:11" x14ac:dyDescent="0.25">
      <c r="A1429" s="1" t="s">
        <v>18</v>
      </c>
      <c r="B1429" s="2">
        <v>201604</v>
      </c>
      <c r="C1429" s="2">
        <v>202004</v>
      </c>
      <c r="D1429" s="10">
        <v>9728.139146451027</v>
      </c>
      <c r="E1429" s="10">
        <v>267165.42066612054</v>
      </c>
      <c r="F1429" s="1">
        <v>2</v>
      </c>
      <c r="G1429" s="1">
        <v>595</v>
      </c>
      <c r="H1429">
        <f t="shared" si="66"/>
        <v>2016</v>
      </c>
      <c r="I1429">
        <f t="shared" si="67"/>
        <v>2020</v>
      </c>
      <c r="J1429" s="7">
        <f t="shared" si="68"/>
        <v>276893.55981257156</v>
      </c>
      <c r="K1429" s="7"/>
    </row>
    <row r="1430" spans="1:11" x14ac:dyDescent="0.25">
      <c r="A1430" s="1" t="s">
        <v>18</v>
      </c>
      <c r="B1430" s="2">
        <v>201604</v>
      </c>
      <c r="C1430" s="2">
        <v>202101</v>
      </c>
      <c r="D1430" s="10">
        <v>5214.5451813681848</v>
      </c>
      <c r="E1430" s="10">
        <v>267282.2553930658</v>
      </c>
      <c r="F1430" s="1">
        <v>0</v>
      </c>
      <c r="G1430" s="1">
        <v>456</v>
      </c>
      <c r="H1430">
        <f t="shared" si="66"/>
        <v>2016</v>
      </c>
      <c r="I1430">
        <f t="shared" si="67"/>
        <v>2021</v>
      </c>
      <c r="J1430" s="7">
        <f t="shared" si="68"/>
        <v>272496.80057443399</v>
      </c>
      <c r="K1430" s="7"/>
    </row>
    <row r="1431" spans="1:11" x14ac:dyDescent="0.25">
      <c r="A1431" s="1" t="s">
        <v>18</v>
      </c>
      <c r="B1431" s="2">
        <v>201604</v>
      </c>
      <c r="C1431" s="2">
        <v>202102</v>
      </c>
      <c r="D1431" s="10">
        <v>9458.2832770823316</v>
      </c>
      <c r="E1431" s="10">
        <v>274974.95191865863</v>
      </c>
      <c r="F1431" s="1">
        <v>0</v>
      </c>
      <c r="G1431" s="1">
        <v>396</v>
      </c>
      <c r="H1431">
        <f t="shared" si="66"/>
        <v>2016</v>
      </c>
      <c r="I1431">
        <f t="shared" si="67"/>
        <v>2021</v>
      </c>
      <c r="J1431" s="7">
        <f t="shared" si="68"/>
        <v>284433.23519574094</v>
      </c>
      <c r="K1431" s="7"/>
    </row>
    <row r="1432" spans="1:11" x14ac:dyDescent="0.25">
      <c r="A1432" s="1" t="s">
        <v>18</v>
      </c>
      <c r="B1432" s="2">
        <v>201604</v>
      </c>
      <c r="C1432" s="2">
        <v>202103</v>
      </c>
      <c r="D1432" s="10">
        <v>2698.9280108167841</v>
      </c>
      <c r="E1432" s="10">
        <v>272456.45530783769</v>
      </c>
      <c r="F1432" s="1">
        <v>0</v>
      </c>
      <c r="G1432" s="1">
        <v>367</v>
      </c>
      <c r="H1432">
        <f t="shared" si="66"/>
        <v>2016</v>
      </c>
      <c r="I1432">
        <f t="shared" si="67"/>
        <v>2021</v>
      </c>
      <c r="J1432" s="7">
        <f t="shared" si="68"/>
        <v>275155.38331865449</v>
      </c>
      <c r="K1432" s="7"/>
    </row>
    <row r="1433" spans="1:11" x14ac:dyDescent="0.25">
      <c r="A1433" s="1" t="s">
        <v>18</v>
      </c>
      <c r="B1433" s="2">
        <v>201604</v>
      </c>
      <c r="C1433" s="2">
        <v>202104</v>
      </c>
      <c r="D1433" s="10">
        <v>-259.72386443612908</v>
      </c>
      <c r="E1433" s="10">
        <v>180473.17593466089</v>
      </c>
      <c r="F1433" s="1">
        <v>0</v>
      </c>
      <c r="G1433" s="1">
        <v>284</v>
      </c>
      <c r="H1433">
        <f t="shared" si="66"/>
        <v>2016</v>
      </c>
      <c r="I1433">
        <f t="shared" si="67"/>
        <v>2021</v>
      </c>
      <c r="J1433" s="7">
        <f t="shared" si="68"/>
        <v>180213.45207022477</v>
      </c>
      <c r="K1433" s="7"/>
    </row>
    <row r="1434" spans="1:11" x14ac:dyDescent="0.25">
      <c r="A1434" s="1" t="s">
        <v>18</v>
      </c>
      <c r="B1434" s="2">
        <v>201701</v>
      </c>
      <c r="C1434" s="2">
        <v>201701</v>
      </c>
      <c r="D1434" s="10">
        <v>658588.50587015331</v>
      </c>
      <c r="E1434" s="10">
        <v>1280743.8922149315</v>
      </c>
      <c r="F1434" s="1">
        <v>13720</v>
      </c>
      <c r="G1434" s="1">
        <v>7651</v>
      </c>
      <c r="H1434">
        <f t="shared" si="66"/>
        <v>2017</v>
      </c>
      <c r="I1434">
        <f t="shared" si="67"/>
        <v>2017</v>
      </c>
      <c r="J1434" s="7">
        <f t="shared" si="68"/>
        <v>1939332.3980850847</v>
      </c>
      <c r="K1434" s="7"/>
    </row>
    <row r="1435" spans="1:11" x14ac:dyDescent="0.25">
      <c r="A1435" s="1" t="s">
        <v>18</v>
      </c>
      <c r="B1435" s="2">
        <v>201701</v>
      </c>
      <c r="C1435" s="2">
        <v>201702</v>
      </c>
      <c r="D1435" s="10">
        <v>686705.39649055956</v>
      </c>
      <c r="E1435" s="10">
        <v>1030707.2158657929</v>
      </c>
      <c r="F1435" s="1">
        <v>2300</v>
      </c>
      <c r="G1435" s="1">
        <v>5467</v>
      </c>
      <c r="H1435">
        <f t="shared" si="66"/>
        <v>2017</v>
      </c>
      <c r="I1435">
        <f t="shared" si="67"/>
        <v>2017</v>
      </c>
      <c r="J1435" s="7">
        <f t="shared" si="68"/>
        <v>1717412.6123563526</v>
      </c>
      <c r="K1435" s="7"/>
    </row>
    <row r="1436" spans="1:11" x14ac:dyDescent="0.25">
      <c r="A1436" s="1" t="s">
        <v>18</v>
      </c>
      <c r="B1436" s="2">
        <v>201701</v>
      </c>
      <c r="C1436" s="2">
        <v>201703</v>
      </c>
      <c r="D1436" s="10">
        <v>313642.94251528475</v>
      </c>
      <c r="E1436" s="10">
        <v>936633.83017415204</v>
      </c>
      <c r="F1436" s="1">
        <v>312</v>
      </c>
      <c r="G1436" s="1">
        <v>4336</v>
      </c>
      <c r="H1436">
        <f t="shared" si="66"/>
        <v>2017</v>
      </c>
      <c r="I1436">
        <f t="shared" si="67"/>
        <v>2017</v>
      </c>
      <c r="J1436" s="7">
        <f t="shared" si="68"/>
        <v>1250276.7726894368</v>
      </c>
      <c r="K1436" s="7"/>
    </row>
    <row r="1437" spans="1:11" x14ac:dyDescent="0.25">
      <c r="A1437" s="1" t="s">
        <v>18</v>
      </c>
      <c r="B1437" s="2">
        <v>201701</v>
      </c>
      <c r="C1437" s="2">
        <v>201704</v>
      </c>
      <c r="D1437" s="10">
        <v>243842.31635617002</v>
      </c>
      <c r="E1437" s="10">
        <v>968453.12378737296</v>
      </c>
      <c r="F1437" s="1">
        <v>141</v>
      </c>
      <c r="G1437" s="1">
        <v>3696</v>
      </c>
      <c r="H1437">
        <f t="shared" si="66"/>
        <v>2017</v>
      </c>
      <c r="I1437">
        <f t="shared" si="67"/>
        <v>2017</v>
      </c>
      <c r="J1437" s="7">
        <f t="shared" si="68"/>
        <v>1212295.4401435431</v>
      </c>
      <c r="K1437" s="7"/>
    </row>
    <row r="1438" spans="1:11" x14ac:dyDescent="0.25">
      <c r="A1438" s="1" t="s">
        <v>18</v>
      </c>
      <c r="B1438" s="2">
        <v>201701</v>
      </c>
      <c r="C1438" s="2">
        <v>201801</v>
      </c>
      <c r="D1438" s="10">
        <v>238048.53051133262</v>
      </c>
      <c r="E1438" s="10">
        <v>862140.56882192381</v>
      </c>
      <c r="F1438" s="1">
        <v>158</v>
      </c>
      <c r="G1438" s="1">
        <v>3382</v>
      </c>
      <c r="H1438">
        <f t="shared" si="66"/>
        <v>2017</v>
      </c>
      <c r="I1438">
        <f t="shared" si="67"/>
        <v>2018</v>
      </c>
      <c r="J1438" s="7">
        <f t="shared" si="68"/>
        <v>1100189.0993332565</v>
      </c>
      <c r="K1438" s="7"/>
    </row>
    <row r="1439" spans="1:11" x14ac:dyDescent="0.25">
      <c r="A1439" s="1" t="s">
        <v>18</v>
      </c>
      <c r="B1439" s="2">
        <v>201701</v>
      </c>
      <c r="C1439" s="2">
        <v>201802</v>
      </c>
      <c r="D1439" s="10">
        <v>95506.122570396372</v>
      </c>
      <c r="E1439" s="10">
        <v>733566.02775101701</v>
      </c>
      <c r="F1439" s="1">
        <v>38</v>
      </c>
      <c r="G1439" s="1">
        <v>2716</v>
      </c>
      <c r="H1439">
        <f t="shared" si="66"/>
        <v>2017</v>
      </c>
      <c r="I1439">
        <f t="shared" si="67"/>
        <v>2018</v>
      </c>
      <c r="J1439" s="7">
        <f t="shared" si="68"/>
        <v>829072.15032141341</v>
      </c>
      <c r="K1439" s="7"/>
    </row>
    <row r="1440" spans="1:11" x14ac:dyDescent="0.25">
      <c r="A1440" s="1" t="s">
        <v>18</v>
      </c>
      <c r="B1440" s="2">
        <v>201701</v>
      </c>
      <c r="C1440" s="2">
        <v>201803</v>
      </c>
      <c r="D1440" s="10">
        <v>61933.15641001286</v>
      </c>
      <c r="E1440" s="10">
        <v>671596.23005277675</v>
      </c>
      <c r="F1440" s="1">
        <v>27</v>
      </c>
      <c r="G1440" s="1">
        <v>2378</v>
      </c>
      <c r="H1440">
        <f t="shared" si="66"/>
        <v>2017</v>
      </c>
      <c r="I1440">
        <f t="shared" si="67"/>
        <v>2018</v>
      </c>
      <c r="J1440" s="7">
        <f t="shared" si="68"/>
        <v>733529.38646278961</v>
      </c>
      <c r="K1440" s="7"/>
    </row>
    <row r="1441" spans="1:11" x14ac:dyDescent="0.25">
      <c r="A1441" s="1" t="s">
        <v>18</v>
      </c>
      <c r="B1441" s="2">
        <v>201701</v>
      </c>
      <c r="C1441" s="2">
        <v>201804</v>
      </c>
      <c r="D1441" s="10">
        <v>45123.4709477918</v>
      </c>
      <c r="E1441" s="10">
        <v>606548.21918422473</v>
      </c>
      <c r="F1441" s="1">
        <v>18</v>
      </c>
      <c r="G1441" s="1">
        <v>2093</v>
      </c>
      <c r="H1441">
        <f t="shared" si="66"/>
        <v>2017</v>
      </c>
      <c r="I1441">
        <f t="shared" si="67"/>
        <v>2018</v>
      </c>
      <c r="J1441" s="7">
        <f t="shared" si="68"/>
        <v>651671.69013201655</v>
      </c>
      <c r="K1441" s="7"/>
    </row>
    <row r="1442" spans="1:11" x14ac:dyDescent="0.25">
      <c r="A1442" s="1" t="s">
        <v>18</v>
      </c>
      <c r="B1442" s="2">
        <v>201701</v>
      </c>
      <c r="C1442" s="2">
        <v>201901</v>
      </c>
      <c r="D1442" s="10">
        <v>78352.65963385487</v>
      </c>
      <c r="E1442" s="10">
        <v>536144.58911305119</v>
      </c>
      <c r="F1442" s="1">
        <v>16</v>
      </c>
      <c r="G1442" s="1">
        <v>1766</v>
      </c>
      <c r="H1442">
        <f t="shared" si="66"/>
        <v>2017</v>
      </c>
      <c r="I1442">
        <f t="shared" si="67"/>
        <v>2019</v>
      </c>
      <c r="J1442" s="7">
        <f t="shared" si="68"/>
        <v>614497.24874690606</v>
      </c>
      <c r="K1442" s="7"/>
    </row>
    <row r="1443" spans="1:11" x14ac:dyDescent="0.25">
      <c r="A1443" s="1" t="s">
        <v>18</v>
      </c>
      <c r="B1443" s="2">
        <v>201701</v>
      </c>
      <c r="C1443" s="2">
        <v>201902</v>
      </c>
      <c r="D1443" s="10">
        <v>29676.746675554368</v>
      </c>
      <c r="E1443" s="10">
        <v>524657.94735310855</v>
      </c>
      <c r="F1443" s="1">
        <v>4</v>
      </c>
      <c r="G1443" s="1">
        <v>1564</v>
      </c>
      <c r="H1443">
        <f t="shared" si="66"/>
        <v>2017</v>
      </c>
      <c r="I1443">
        <f t="shared" si="67"/>
        <v>2019</v>
      </c>
      <c r="J1443" s="7">
        <f t="shared" si="68"/>
        <v>554334.69402866287</v>
      </c>
      <c r="K1443" s="7"/>
    </row>
    <row r="1444" spans="1:11" x14ac:dyDescent="0.25">
      <c r="A1444" s="1" t="s">
        <v>18</v>
      </c>
      <c r="B1444" s="2">
        <v>201701</v>
      </c>
      <c r="C1444" s="2">
        <v>201903</v>
      </c>
      <c r="D1444" s="10">
        <v>26631.788914716868</v>
      </c>
      <c r="E1444" s="10">
        <v>479496.93441532255</v>
      </c>
      <c r="F1444" s="1">
        <v>2</v>
      </c>
      <c r="G1444" s="1">
        <v>1409</v>
      </c>
      <c r="H1444">
        <f t="shared" si="66"/>
        <v>2017</v>
      </c>
      <c r="I1444">
        <f t="shared" si="67"/>
        <v>2019</v>
      </c>
      <c r="J1444" s="7">
        <f t="shared" si="68"/>
        <v>506128.72333003941</v>
      </c>
      <c r="K1444" s="7"/>
    </row>
    <row r="1445" spans="1:11" x14ac:dyDescent="0.25">
      <c r="A1445" s="1" t="s">
        <v>18</v>
      </c>
      <c r="B1445" s="2">
        <v>201701</v>
      </c>
      <c r="C1445" s="2">
        <v>201904</v>
      </c>
      <c r="D1445" s="10">
        <v>19951.676512476239</v>
      </c>
      <c r="E1445" s="10">
        <v>445796.32899066096</v>
      </c>
      <c r="F1445" s="1">
        <v>8</v>
      </c>
      <c r="G1445" s="1">
        <v>1131</v>
      </c>
      <c r="H1445">
        <f t="shared" si="66"/>
        <v>2017</v>
      </c>
      <c r="I1445">
        <f t="shared" si="67"/>
        <v>2019</v>
      </c>
      <c r="J1445" s="7">
        <f t="shared" si="68"/>
        <v>465748.00550313719</v>
      </c>
      <c r="K1445" s="7"/>
    </row>
    <row r="1446" spans="1:11" x14ac:dyDescent="0.25">
      <c r="A1446" s="1" t="s">
        <v>18</v>
      </c>
      <c r="B1446" s="2">
        <v>201701</v>
      </c>
      <c r="C1446" s="2">
        <v>202001</v>
      </c>
      <c r="D1446" s="10">
        <v>24844.29752378961</v>
      </c>
      <c r="E1446" s="10">
        <v>385831.88452991511</v>
      </c>
      <c r="F1446" s="1">
        <v>12</v>
      </c>
      <c r="G1446" s="1">
        <v>899</v>
      </c>
      <c r="H1446">
        <f t="shared" si="66"/>
        <v>2017</v>
      </c>
      <c r="I1446">
        <f t="shared" si="67"/>
        <v>2020</v>
      </c>
      <c r="J1446" s="7">
        <f t="shared" si="68"/>
        <v>410676.18205370475</v>
      </c>
      <c r="K1446" s="7"/>
    </row>
    <row r="1447" spans="1:11" x14ac:dyDescent="0.25">
      <c r="A1447" s="1" t="s">
        <v>18</v>
      </c>
      <c r="B1447" s="2">
        <v>201701</v>
      </c>
      <c r="C1447" s="2">
        <v>202002</v>
      </c>
      <c r="D1447" s="10">
        <v>26896.937011652131</v>
      </c>
      <c r="E1447" s="10">
        <v>352709.47262520308</v>
      </c>
      <c r="F1447" s="1">
        <v>0</v>
      </c>
      <c r="G1447" s="1">
        <v>753</v>
      </c>
      <c r="H1447">
        <f t="shared" si="66"/>
        <v>2017</v>
      </c>
      <c r="I1447">
        <f t="shared" si="67"/>
        <v>2020</v>
      </c>
      <c r="J1447" s="7">
        <f t="shared" si="68"/>
        <v>379606.40963685524</v>
      </c>
      <c r="K1447" s="7"/>
    </row>
    <row r="1448" spans="1:11" x14ac:dyDescent="0.25">
      <c r="A1448" s="1" t="s">
        <v>18</v>
      </c>
      <c r="B1448" s="2">
        <v>201701</v>
      </c>
      <c r="C1448" s="2">
        <v>202003</v>
      </c>
      <c r="D1448" s="10">
        <v>35543.296645588031</v>
      </c>
      <c r="E1448" s="10">
        <v>302994.20970702678</v>
      </c>
      <c r="F1448" s="1">
        <v>1</v>
      </c>
      <c r="G1448" s="1">
        <v>630</v>
      </c>
      <c r="H1448">
        <f t="shared" si="66"/>
        <v>2017</v>
      </c>
      <c r="I1448">
        <f t="shared" si="67"/>
        <v>2020</v>
      </c>
      <c r="J1448" s="7">
        <f t="shared" si="68"/>
        <v>338537.50635261479</v>
      </c>
      <c r="K1448" s="7"/>
    </row>
    <row r="1449" spans="1:11" x14ac:dyDescent="0.25">
      <c r="A1449" s="1" t="s">
        <v>18</v>
      </c>
      <c r="B1449" s="2">
        <v>201701</v>
      </c>
      <c r="C1449" s="2">
        <v>202004</v>
      </c>
      <c r="D1449" s="10">
        <v>4367.3707509594506</v>
      </c>
      <c r="E1449" s="10">
        <v>291911.3231386969</v>
      </c>
      <c r="F1449" s="1">
        <v>1</v>
      </c>
      <c r="G1449" s="1">
        <v>549</v>
      </c>
      <c r="H1449">
        <f t="shared" si="66"/>
        <v>2017</v>
      </c>
      <c r="I1449">
        <f t="shared" si="67"/>
        <v>2020</v>
      </c>
      <c r="J1449" s="7">
        <f t="shared" si="68"/>
        <v>296278.69388965634</v>
      </c>
      <c r="K1449" s="7"/>
    </row>
    <row r="1450" spans="1:11" x14ac:dyDescent="0.25">
      <c r="A1450" s="1" t="s">
        <v>18</v>
      </c>
      <c r="B1450" s="2">
        <v>201701</v>
      </c>
      <c r="C1450" s="2">
        <v>202101</v>
      </c>
      <c r="D1450" s="10">
        <v>13100.211040682852</v>
      </c>
      <c r="E1450" s="10">
        <v>289253.78911992407</v>
      </c>
      <c r="F1450" s="1">
        <v>1</v>
      </c>
      <c r="G1450" s="1">
        <v>398</v>
      </c>
      <c r="H1450">
        <f t="shared" si="66"/>
        <v>2017</v>
      </c>
      <c r="I1450">
        <f t="shared" si="67"/>
        <v>2021</v>
      </c>
      <c r="J1450" s="7">
        <f t="shared" si="68"/>
        <v>302354.00016060693</v>
      </c>
      <c r="K1450" s="7"/>
    </row>
    <row r="1451" spans="1:11" x14ac:dyDescent="0.25">
      <c r="A1451" s="1" t="s">
        <v>18</v>
      </c>
      <c r="B1451" s="2">
        <v>201701</v>
      </c>
      <c r="C1451" s="2">
        <v>202102</v>
      </c>
      <c r="D1451" s="10">
        <v>6343.9085462890926</v>
      </c>
      <c r="E1451" s="10">
        <v>294188.46958540351</v>
      </c>
      <c r="F1451" s="1">
        <v>0</v>
      </c>
      <c r="G1451" s="1">
        <v>352</v>
      </c>
      <c r="H1451">
        <f t="shared" si="66"/>
        <v>2017</v>
      </c>
      <c r="I1451">
        <f t="shared" si="67"/>
        <v>2021</v>
      </c>
      <c r="J1451" s="7">
        <f t="shared" si="68"/>
        <v>300532.37813169259</v>
      </c>
      <c r="K1451" s="7"/>
    </row>
    <row r="1452" spans="1:11" x14ac:dyDescent="0.25">
      <c r="A1452" s="1" t="s">
        <v>18</v>
      </c>
      <c r="B1452" s="2">
        <v>201701</v>
      </c>
      <c r="C1452" s="2">
        <v>202103</v>
      </c>
      <c r="D1452" s="10">
        <v>15571.769814386775</v>
      </c>
      <c r="E1452" s="10">
        <v>287156.25116120453</v>
      </c>
      <c r="F1452" s="1">
        <v>0</v>
      </c>
      <c r="G1452" s="1">
        <v>288</v>
      </c>
      <c r="H1452">
        <f t="shared" si="66"/>
        <v>2017</v>
      </c>
      <c r="I1452">
        <f t="shared" si="67"/>
        <v>2021</v>
      </c>
      <c r="J1452" s="7">
        <f t="shared" si="68"/>
        <v>302728.02097559132</v>
      </c>
      <c r="K1452" s="7"/>
    </row>
    <row r="1453" spans="1:11" x14ac:dyDescent="0.25">
      <c r="A1453" s="1" t="s">
        <v>18</v>
      </c>
      <c r="B1453" s="2">
        <v>201701</v>
      </c>
      <c r="C1453" s="2">
        <v>202104</v>
      </c>
      <c r="D1453" s="10">
        <v>11005.86139675533</v>
      </c>
      <c r="E1453" s="10">
        <v>221352.35744581223</v>
      </c>
      <c r="F1453" s="1">
        <v>0</v>
      </c>
      <c r="G1453" s="1">
        <v>229</v>
      </c>
      <c r="H1453">
        <f t="shared" si="66"/>
        <v>2017</v>
      </c>
      <c r="I1453">
        <f t="shared" si="67"/>
        <v>2021</v>
      </c>
      <c r="J1453" s="7">
        <f t="shared" si="68"/>
        <v>232358.21884256756</v>
      </c>
      <c r="K1453" s="7"/>
    </row>
    <row r="1454" spans="1:11" x14ac:dyDescent="0.25">
      <c r="A1454" s="1" t="s">
        <v>18</v>
      </c>
      <c r="B1454" s="2">
        <v>201702</v>
      </c>
      <c r="C1454" s="2">
        <v>201702</v>
      </c>
      <c r="D1454" s="10">
        <v>538140.86024965975</v>
      </c>
      <c r="E1454" s="10">
        <v>1355671.1979073118</v>
      </c>
      <c r="F1454" s="1">
        <v>14035</v>
      </c>
      <c r="G1454" s="1">
        <v>8858</v>
      </c>
      <c r="H1454">
        <f t="shared" si="66"/>
        <v>2017</v>
      </c>
      <c r="I1454">
        <f t="shared" si="67"/>
        <v>2017</v>
      </c>
      <c r="J1454" s="7">
        <f t="shared" si="68"/>
        <v>1893812.0581569716</v>
      </c>
      <c r="K1454" s="7"/>
    </row>
    <row r="1455" spans="1:11" x14ac:dyDescent="0.25">
      <c r="A1455" s="1" t="s">
        <v>18</v>
      </c>
      <c r="B1455" s="2">
        <v>201702</v>
      </c>
      <c r="C1455" s="2">
        <v>201703</v>
      </c>
      <c r="D1455" s="10">
        <v>621980.46534194762</v>
      </c>
      <c r="E1455" s="10">
        <v>1047873.3903947861</v>
      </c>
      <c r="F1455" s="1">
        <v>2586</v>
      </c>
      <c r="G1455" s="1">
        <v>6136</v>
      </c>
      <c r="H1455">
        <f t="shared" si="66"/>
        <v>2017</v>
      </c>
      <c r="I1455">
        <f t="shared" si="67"/>
        <v>2017</v>
      </c>
      <c r="J1455" s="7">
        <f t="shared" si="68"/>
        <v>1669853.8557367339</v>
      </c>
      <c r="K1455" s="7"/>
    </row>
    <row r="1456" spans="1:11" x14ac:dyDescent="0.25">
      <c r="A1456" s="1" t="s">
        <v>18</v>
      </c>
      <c r="B1456" s="2">
        <v>201702</v>
      </c>
      <c r="C1456" s="2">
        <v>201704</v>
      </c>
      <c r="D1456" s="10">
        <v>194099.23387009351</v>
      </c>
      <c r="E1456" s="10">
        <v>993967.09720134421</v>
      </c>
      <c r="F1456" s="1">
        <v>333</v>
      </c>
      <c r="G1456" s="1">
        <v>4622</v>
      </c>
      <c r="H1456">
        <f t="shared" si="66"/>
        <v>2017</v>
      </c>
      <c r="I1456">
        <f t="shared" si="67"/>
        <v>2017</v>
      </c>
      <c r="J1456" s="7">
        <f t="shared" si="68"/>
        <v>1188066.3310714378</v>
      </c>
      <c r="K1456" s="7"/>
    </row>
    <row r="1457" spans="1:11" x14ac:dyDescent="0.25">
      <c r="A1457" s="1" t="s">
        <v>18</v>
      </c>
      <c r="B1457" s="2">
        <v>201702</v>
      </c>
      <c r="C1457" s="2">
        <v>201801</v>
      </c>
      <c r="D1457" s="10">
        <v>109296.19325167603</v>
      </c>
      <c r="E1457" s="10">
        <v>951171.74364127149</v>
      </c>
      <c r="F1457" s="1">
        <v>149</v>
      </c>
      <c r="G1457" s="1">
        <v>4293</v>
      </c>
      <c r="H1457">
        <f t="shared" si="66"/>
        <v>2017</v>
      </c>
      <c r="I1457">
        <f t="shared" si="67"/>
        <v>2018</v>
      </c>
      <c r="J1457" s="7">
        <f t="shared" si="68"/>
        <v>1060467.9368929474</v>
      </c>
      <c r="K1457" s="7"/>
    </row>
    <row r="1458" spans="1:11" x14ac:dyDescent="0.25">
      <c r="A1458" s="1" t="s">
        <v>18</v>
      </c>
      <c r="B1458" s="2">
        <v>201702</v>
      </c>
      <c r="C1458" s="2">
        <v>201802</v>
      </c>
      <c r="D1458" s="10">
        <v>63728.311309840807</v>
      </c>
      <c r="E1458" s="10">
        <v>760759.4759764272</v>
      </c>
      <c r="F1458" s="1">
        <v>66</v>
      </c>
      <c r="G1458" s="1">
        <v>3292</v>
      </c>
      <c r="H1458">
        <f t="shared" si="66"/>
        <v>2017</v>
      </c>
      <c r="I1458">
        <f t="shared" si="67"/>
        <v>2018</v>
      </c>
      <c r="J1458" s="7">
        <f t="shared" si="68"/>
        <v>824487.78728626797</v>
      </c>
      <c r="K1458" s="7"/>
    </row>
    <row r="1459" spans="1:11" x14ac:dyDescent="0.25">
      <c r="A1459" s="1" t="s">
        <v>18</v>
      </c>
      <c r="B1459" s="2">
        <v>201702</v>
      </c>
      <c r="C1459" s="2">
        <v>201803</v>
      </c>
      <c r="D1459" s="10">
        <v>40865.376234012605</v>
      </c>
      <c r="E1459" s="10">
        <v>669317.01712111989</v>
      </c>
      <c r="F1459" s="1">
        <v>37</v>
      </c>
      <c r="G1459" s="1">
        <v>2839</v>
      </c>
      <c r="H1459">
        <f t="shared" si="66"/>
        <v>2017</v>
      </c>
      <c r="I1459">
        <f t="shared" si="67"/>
        <v>2018</v>
      </c>
      <c r="J1459" s="7">
        <f t="shared" si="68"/>
        <v>710182.39335513255</v>
      </c>
      <c r="K1459" s="7"/>
    </row>
    <row r="1460" spans="1:11" x14ac:dyDescent="0.25">
      <c r="A1460" s="1" t="s">
        <v>18</v>
      </c>
      <c r="B1460" s="2">
        <v>201702</v>
      </c>
      <c r="C1460" s="2">
        <v>201804</v>
      </c>
      <c r="D1460" s="10">
        <v>27708.359644523945</v>
      </c>
      <c r="E1460" s="10">
        <v>684985.04988408077</v>
      </c>
      <c r="F1460" s="1">
        <v>22</v>
      </c>
      <c r="G1460" s="1">
        <v>2580</v>
      </c>
      <c r="H1460">
        <f t="shared" si="66"/>
        <v>2017</v>
      </c>
      <c r="I1460">
        <f t="shared" si="67"/>
        <v>2018</v>
      </c>
      <c r="J1460" s="7">
        <f t="shared" si="68"/>
        <v>712693.40952860471</v>
      </c>
      <c r="K1460" s="7"/>
    </row>
    <row r="1461" spans="1:11" x14ac:dyDescent="0.25">
      <c r="A1461" s="1" t="s">
        <v>18</v>
      </c>
      <c r="B1461" s="2">
        <v>201702</v>
      </c>
      <c r="C1461" s="2">
        <v>201901</v>
      </c>
      <c r="D1461" s="10">
        <v>30151.526241690375</v>
      </c>
      <c r="E1461" s="10">
        <v>610448.40149168612</v>
      </c>
      <c r="F1461" s="1">
        <v>27</v>
      </c>
      <c r="G1461" s="1">
        <v>2149</v>
      </c>
      <c r="H1461">
        <f t="shared" si="66"/>
        <v>2017</v>
      </c>
      <c r="I1461">
        <f t="shared" si="67"/>
        <v>2019</v>
      </c>
      <c r="J1461" s="7">
        <f t="shared" si="68"/>
        <v>640599.92773337651</v>
      </c>
      <c r="K1461" s="7"/>
    </row>
    <row r="1462" spans="1:11" x14ac:dyDescent="0.25">
      <c r="A1462" s="1" t="s">
        <v>18</v>
      </c>
      <c r="B1462" s="2">
        <v>201702</v>
      </c>
      <c r="C1462" s="2">
        <v>201902</v>
      </c>
      <c r="D1462" s="10">
        <v>19359.374804806394</v>
      </c>
      <c r="E1462" s="10">
        <v>554849.86993484374</v>
      </c>
      <c r="F1462" s="1">
        <v>7</v>
      </c>
      <c r="G1462" s="1">
        <v>1854</v>
      </c>
      <c r="H1462">
        <f t="shared" si="66"/>
        <v>2017</v>
      </c>
      <c r="I1462">
        <f t="shared" si="67"/>
        <v>2019</v>
      </c>
      <c r="J1462" s="7">
        <f t="shared" si="68"/>
        <v>574209.24473965017</v>
      </c>
      <c r="K1462" s="7"/>
    </row>
    <row r="1463" spans="1:11" x14ac:dyDescent="0.25">
      <c r="A1463" s="1" t="s">
        <v>18</v>
      </c>
      <c r="B1463" s="2">
        <v>201702</v>
      </c>
      <c r="C1463" s="2">
        <v>201903</v>
      </c>
      <c r="D1463" s="10">
        <v>14247.85258745144</v>
      </c>
      <c r="E1463" s="10">
        <v>520153.61751540878</v>
      </c>
      <c r="F1463" s="1">
        <v>12</v>
      </c>
      <c r="G1463" s="1">
        <v>1728</v>
      </c>
      <c r="H1463">
        <f t="shared" si="66"/>
        <v>2017</v>
      </c>
      <c r="I1463">
        <f t="shared" si="67"/>
        <v>2019</v>
      </c>
      <c r="J1463" s="7">
        <f t="shared" si="68"/>
        <v>534401.47010286024</v>
      </c>
      <c r="K1463" s="7"/>
    </row>
    <row r="1464" spans="1:11" x14ac:dyDescent="0.25">
      <c r="A1464" s="1" t="s">
        <v>18</v>
      </c>
      <c r="B1464" s="2">
        <v>201702</v>
      </c>
      <c r="C1464" s="2">
        <v>201904</v>
      </c>
      <c r="D1464" s="10">
        <v>14358.663057924428</v>
      </c>
      <c r="E1464" s="10">
        <v>468825.55970272794</v>
      </c>
      <c r="F1464" s="1">
        <v>5</v>
      </c>
      <c r="G1464" s="1">
        <v>1412</v>
      </c>
      <c r="H1464">
        <f t="shared" si="66"/>
        <v>2017</v>
      </c>
      <c r="I1464">
        <f t="shared" si="67"/>
        <v>2019</v>
      </c>
      <c r="J1464" s="7">
        <f t="shared" si="68"/>
        <v>483184.22276065237</v>
      </c>
      <c r="K1464" s="7"/>
    </row>
    <row r="1465" spans="1:11" x14ac:dyDescent="0.25">
      <c r="A1465" s="1" t="s">
        <v>18</v>
      </c>
      <c r="B1465" s="2">
        <v>201702</v>
      </c>
      <c r="C1465" s="2">
        <v>202001</v>
      </c>
      <c r="D1465" s="10">
        <v>9590.491173740289</v>
      </c>
      <c r="E1465" s="10">
        <v>411684.3002861648</v>
      </c>
      <c r="F1465" s="1">
        <v>11</v>
      </c>
      <c r="G1465" s="1">
        <v>1086</v>
      </c>
      <c r="H1465">
        <f t="shared" si="66"/>
        <v>2017</v>
      </c>
      <c r="I1465">
        <f t="shared" si="67"/>
        <v>2020</v>
      </c>
      <c r="J1465" s="7">
        <f t="shared" si="68"/>
        <v>421274.7914599051</v>
      </c>
      <c r="K1465" s="7"/>
    </row>
    <row r="1466" spans="1:11" x14ac:dyDescent="0.25">
      <c r="A1466" s="1" t="s">
        <v>18</v>
      </c>
      <c r="B1466" s="2">
        <v>201702</v>
      </c>
      <c r="C1466" s="2">
        <v>202002</v>
      </c>
      <c r="D1466" s="10">
        <v>7037.3228563515859</v>
      </c>
      <c r="E1466" s="10">
        <v>358536.47070395487</v>
      </c>
      <c r="F1466" s="1">
        <v>8</v>
      </c>
      <c r="G1466" s="1">
        <v>888</v>
      </c>
      <c r="H1466">
        <f t="shared" si="66"/>
        <v>2017</v>
      </c>
      <c r="I1466">
        <f t="shared" si="67"/>
        <v>2020</v>
      </c>
      <c r="J1466" s="7">
        <f t="shared" si="68"/>
        <v>365573.79356030643</v>
      </c>
      <c r="K1466" s="7"/>
    </row>
    <row r="1467" spans="1:11" x14ac:dyDescent="0.25">
      <c r="A1467" s="1" t="s">
        <v>18</v>
      </c>
      <c r="B1467" s="2">
        <v>201702</v>
      </c>
      <c r="C1467" s="2">
        <v>202003</v>
      </c>
      <c r="D1467" s="10">
        <v>14510.934450302739</v>
      </c>
      <c r="E1467" s="10">
        <v>317608.33429928921</v>
      </c>
      <c r="F1467" s="1">
        <v>0</v>
      </c>
      <c r="G1467" s="1">
        <v>748</v>
      </c>
      <c r="H1467">
        <f t="shared" si="66"/>
        <v>2017</v>
      </c>
      <c r="I1467">
        <f t="shared" si="67"/>
        <v>2020</v>
      </c>
      <c r="J1467" s="7">
        <f t="shared" si="68"/>
        <v>332119.26874959195</v>
      </c>
      <c r="K1467" s="7"/>
    </row>
    <row r="1468" spans="1:11" x14ac:dyDescent="0.25">
      <c r="A1468" s="1" t="s">
        <v>18</v>
      </c>
      <c r="B1468" s="2">
        <v>201702</v>
      </c>
      <c r="C1468" s="2">
        <v>202004</v>
      </c>
      <c r="D1468" s="10">
        <v>6681.9810685059283</v>
      </c>
      <c r="E1468" s="10">
        <v>288277.88911293045</v>
      </c>
      <c r="F1468" s="1">
        <v>1</v>
      </c>
      <c r="G1468" s="1">
        <v>642</v>
      </c>
      <c r="H1468">
        <f t="shared" si="66"/>
        <v>2017</v>
      </c>
      <c r="I1468">
        <f t="shared" si="67"/>
        <v>2020</v>
      </c>
      <c r="J1468" s="7">
        <f t="shared" si="68"/>
        <v>294959.87018143636</v>
      </c>
      <c r="K1468" s="7"/>
    </row>
    <row r="1469" spans="1:11" x14ac:dyDescent="0.25">
      <c r="A1469" s="1" t="s">
        <v>18</v>
      </c>
      <c r="B1469" s="2">
        <v>201702</v>
      </c>
      <c r="C1469" s="2">
        <v>202101</v>
      </c>
      <c r="D1469" s="10">
        <v>6754.7113478642286</v>
      </c>
      <c r="E1469" s="10">
        <v>288598.97075281909</v>
      </c>
      <c r="F1469" s="1">
        <v>0</v>
      </c>
      <c r="G1469" s="1">
        <v>498</v>
      </c>
      <c r="H1469">
        <f t="shared" si="66"/>
        <v>2017</v>
      </c>
      <c r="I1469">
        <f t="shared" si="67"/>
        <v>2021</v>
      </c>
      <c r="J1469" s="7">
        <f t="shared" si="68"/>
        <v>295353.68210068333</v>
      </c>
      <c r="K1469" s="7"/>
    </row>
    <row r="1470" spans="1:11" x14ac:dyDescent="0.25">
      <c r="A1470" s="1" t="s">
        <v>18</v>
      </c>
      <c r="B1470" s="2">
        <v>201702</v>
      </c>
      <c r="C1470" s="2">
        <v>202102</v>
      </c>
      <c r="D1470" s="10">
        <v>1994.86849336096</v>
      </c>
      <c r="E1470" s="10">
        <v>286847.70556142391</v>
      </c>
      <c r="F1470" s="1">
        <v>0</v>
      </c>
      <c r="G1470" s="1">
        <v>452</v>
      </c>
      <c r="H1470">
        <f t="shared" si="66"/>
        <v>2017</v>
      </c>
      <c r="I1470">
        <f t="shared" si="67"/>
        <v>2021</v>
      </c>
      <c r="J1470" s="7">
        <f t="shared" si="68"/>
        <v>288842.57405478484</v>
      </c>
      <c r="K1470" s="7"/>
    </row>
    <row r="1471" spans="1:11" x14ac:dyDescent="0.25">
      <c r="A1471" s="1" t="s">
        <v>18</v>
      </c>
      <c r="B1471" s="2">
        <v>201702</v>
      </c>
      <c r="C1471" s="2">
        <v>202103</v>
      </c>
      <c r="D1471" s="10">
        <v>775.12491747354431</v>
      </c>
      <c r="E1471" s="10">
        <v>292333.19298304932</v>
      </c>
      <c r="F1471" s="1">
        <v>1</v>
      </c>
      <c r="G1471" s="1">
        <v>402</v>
      </c>
      <c r="H1471">
        <f t="shared" si="66"/>
        <v>2017</v>
      </c>
      <c r="I1471">
        <f t="shared" si="67"/>
        <v>2021</v>
      </c>
      <c r="J1471" s="7">
        <f t="shared" si="68"/>
        <v>293108.31790052284</v>
      </c>
      <c r="K1471" s="7"/>
    </row>
    <row r="1472" spans="1:11" x14ac:dyDescent="0.25">
      <c r="A1472" s="1" t="s">
        <v>18</v>
      </c>
      <c r="B1472" s="2">
        <v>201702</v>
      </c>
      <c r="C1472" s="2">
        <v>202104</v>
      </c>
      <c r="D1472" s="10">
        <v>6472.4791217079164</v>
      </c>
      <c r="E1472" s="10">
        <v>246989.46951619638</v>
      </c>
      <c r="F1472" s="1">
        <v>0</v>
      </c>
      <c r="G1472" s="1">
        <v>328</v>
      </c>
      <c r="H1472">
        <f t="shared" si="66"/>
        <v>2017</v>
      </c>
      <c r="I1472">
        <f t="shared" si="67"/>
        <v>2021</v>
      </c>
      <c r="J1472" s="7">
        <f t="shared" si="68"/>
        <v>253461.94863790428</v>
      </c>
      <c r="K1472" s="7"/>
    </row>
    <row r="1473" spans="1:11" x14ac:dyDescent="0.25">
      <c r="A1473" s="1" t="s">
        <v>18</v>
      </c>
      <c r="B1473" s="2">
        <v>201703</v>
      </c>
      <c r="C1473" s="2">
        <v>201703</v>
      </c>
      <c r="D1473" s="10">
        <v>557435.52904106362</v>
      </c>
      <c r="E1473" s="10">
        <v>1584552.251642758</v>
      </c>
      <c r="F1473" s="1">
        <v>14778</v>
      </c>
      <c r="G1473" s="1">
        <v>9281</v>
      </c>
      <c r="H1473">
        <f t="shared" si="66"/>
        <v>2017</v>
      </c>
      <c r="I1473">
        <f t="shared" si="67"/>
        <v>2017</v>
      </c>
      <c r="J1473" s="7">
        <f t="shared" si="68"/>
        <v>2141987.7806838215</v>
      </c>
      <c r="K1473" s="7"/>
    </row>
    <row r="1474" spans="1:11" x14ac:dyDescent="0.25">
      <c r="A1474" s="1" t="s">
        <v>18</v>
      </c>
      <c r="B1474" s="2">
        <v>201703</v>
      </c>
      <c r="C1474" s="2">
        <v>201704</v>
      </c>
      <c r="D1474" s="10">
        <v>675109.207144432</v>
      </c>
      <c r="E1474" s="10">
        <v>1424680.5738399022</v>
      </c>
      <c r="F1474" s="1">
        <v>2445</v>
      </c>
      <c r="G1474" s="1">
        <v>6396</v>
      </c>
      <c r="H1474">
        <f t="shared" si="66"/>
        <v>2017</v>
      </c>
      <c r="I1474">
        <f t="shared" si="67"/>
        <v>2017</v>
      </c>
      <c r="J1474" s="7">
        <f t="shared" si="68"/>
        <v>2099789.7809843342</v>
      </c>
      <c r="K1474" s="7"/>
    </row>
    <row r="1475" spans="1:11" x14ac:dyDescent="0.25">
      <c r="A1475" s="1" t="s">
        <v>18</v>
      </c>
      <c r="B1475" s="2">
        <v>201703</v>
      </c>
      <c r="C1475" s="2">
        <v>201801</v>
      </c>
      <c r="D1475" s="10">
        <v>255739.60979414172</v>
      </c>
      <c r="E1475" s="10">
        <v>1305242.4229022134</v>
      </c>
      <c r="F1475" s="1">
        <v>469</v>
      </c>
      <c r="G1475" s="1">
        <v>5227</v>
      </c>
      <c r="H1475">
        <f t="shared" si="66"/>
        <v>2017</v>
      </c>
      <c r="I1475">
        <f t="shared" si="67"/>
        <v>2018</v>
      </c>
      <c r="J1475" s="7">
        <f t="shared" si="68"/>
        <v>1560982.0326963551</v>
      </c>
      <c r="K1475" s="7"/>
    </row>
    <row r="1476" spans="1:11" x14ac:dyDescent="0.25">
      <c r="A1476" s="1" t="s">
        <v>18</v>
      </c>
      <c r="B1476" s="2">
        <v>201703</v>
      </c>
      <c r="C1476" s="2">
        <v>201802</v>
      </c>
      <c r="D1476" s="10">
        <v>144214.37624046221</v>
      </c>
      <c r="E1476" s="10">
        <v>1027484.9467477556</v>
      </c>
      <c r="F1476" s="1">
        <v>151</v>
      </c>
      <c r="G1476" s="1">
        <v>3957</v>
      </c>
      <c r="H1476">
        <f t="shared" ref="H1476:H1539" si="69">VALUE(LEFT(B1476,4))</f>
        <v>2017</v>
      </c>
      <c r="I1476">
        <f t="shared" ref="I1476:I1539" si="70">VALUE(LEFT(C1476,4))</f>
        <v>2018</v>
      </c>
      <c r="J1476" s="7">
        <f t="shared" si="68"/>
        <v>1171699.3229882179</v>
      </c>
      <c r="K1476" s="7"/>
    </row>
    <row r="1477" spans="1:11" x14ac:dyDescent="0.25">
      <c r="A1477" s="1" t="s">
        <v>18</v>
      </c>
      <c r="B1477" s="2">
        <v>201703</v>
      </c>
      <c r="C1477" s="2">
        <v>201803</v>
      </c>
      <c r="D1477" s="10">
        <v>91420.499389032397</v>
      </c>
      <c r="E1477" s="10">
        <v>1008405.6261245256</v>
      </c>
      <c r="F1477" s="1">
        <v>79</v>
      </c>
      <c r="G1477" s="1">
        <v>3437</v>
      </c>
      <c r="H1477">
        <f t="shared" si="69"/>
        <v>2017</v>
      </c>
      <c r="I1477">
        <f t="shared" si="70"/>
        <v>2018</v>
      </c>
      <c r="J1477" s="7">
        <f t="shared" ref="J1477:J1540" si="71">D1477+E1477</f>
        <v>1099826.125513558</v>
      </c>
      <c r="K1477" s="7"/>
    </row>
    <row r="1478" spans="1:11" x14ac:dyDescent="0.25">
      <c r="A1478" s="1" t="s">
        <v>18</v>
      </c>
      <c r="B1478" s="2">
        <v>201703</v>
      </c>
      <c r="C1478" s="2">
        <v>201804</v>
      </c>
      <c r="D1478" s="10">
        <v>55723.975898714969</v>
      </c>
      <c r="E1478" s="10">
        <v>983716.75032623624</v>
      </c>
      <c r="F1478" s="1">
        <v>46</v>
      </c>
      <c r="G1478" s="1">
        <v>2960</v>
      </c>
      <c r="H1478">
        <f t="shared" si="69"/>
        <v>2017</v>
      </c>
      <c r="I1478">
        <f t="shared" si="70"/>
        <v>2018</v>
      </c>
      <c r="J1478" s="7">
        <f t="shared" si="71"/>
        <v>1039440.7262249512</v>
      </c>
      <c r="K1478" s="7"/>
    </row>
    <row r="1479" spans="1:11" x14ac:dyDescent="0.25">
      <c r="A1479" s="1" t="s">
        <v>18</v>
      </c>
      <c r="B1479" s="2">
        <v>201703</v>
      </c>
      <c r="C1479" s="2">
        <v>201901</v>
      </c>
      <c r="D1479" s="10">
        <v>57272.776000571255</v>
      </c>
      <c r="E1479" s="10">
        <v>877591.22458186711</v>
      </c>
      <c r="F1479" s="1">
        <v>26</v>
      </c>
      <c r="G1479" s="1">
        <v>2511</v>
      </c>
      <c r="H1479">
        <f t="shared" si="69"/>
        <v>2017</v>
      </c>
      <c r="I1479">
        <f t="shared" si="70"/>
        <v>2019</v>
      </c>
      <c r="J1479" s="7">
        <f t="shared" si="71"/>
        <v>934864.00058243831</v>
      </c>
      <c r="K1479" s="7"/>
    </row>
    <row r="1480" spans="1:11" x14ac:dyDescent="0.25">
      <c r="A1480" s="1" t="s">
        <v>18</v>
      </c>
      <c r="B1480" s="2">
        <v>201703</v>
      </c>
      <c r="C1480" s="2">
        <v>201902</v>
      </c>
      <c r="D1480" s="10">
        <v>43832.837157422611</v>
      </c>
      <c r="E1480" s="10">
        <v>795227.41080873518</v>
      </c>
      <c r="F1480" s="1">
        <v>23</v>
      </c>
      <c r="G1480" s="1">
        <v>2227</v>
      </c>
      <c r="H1480">
        <f t="shared" si="69"/>
        <v>2017</v>
      </c>
      <c r="I1480">
        <f t="shared" si="70"/>
        <v>2019</v>
      </c>
      <c r="J1480" s="7">
        <f t="shared" si="71"/>
        <v>839060.24796615774</v>
      </c>
      <c r="K1480" s="7"/>
    </row>
    <row r="1481" spans="1:11" x14ac:dyDescent="0.25">
      <c r="A1481" s="1" t="s">
        <v>18</v>
      </c>
      <c r="B1481" s="2">
        <v>201703</v>
      </c>
      <c r="C1481" s="2">
        <v>201903</v>
      </c>
      <c r="D1481" s="10">
        <v>22316.897872330592</v>
      </c>
      <c r="E1481" s="10">
        <v>732736.89756255201</v>
      </c>
      <c r="F1481" s="1">
        <v>14</v>
      </c>
      <c r="G1481" s="1">
        <v>1979</v>
      </c>
      <c r="H1481">
        <f t="shared" si="69"/>
        <v>2017</v>
      </c>
      <c r="I1481">
        <f t="shared" si="70"/>
        <v>2019</v>
      </c>
      <c r="J1481" s="7">
        <f t="shared" si="71"/>
        <v>755053.79543488263</v>
      </c>
      <c r="K1481" s="7"/>
    </row>
    <row r="1482" spans="1:11" x14ac:dyDescent="0.25">
      <c r="A1482" s="1" t="s">
        <v>18</v>
      </c>
      <c r="B1482" s="2">
        <v>201703</v>
      </c>
      <c r="C1482" s="2">
        <v>201904</v>
      </c>
      <c r="D1482" s="10">
        <v>15734.034182940108</v>
      </c>
      <c r="E1482" s="10">
        <v>689913.35820919648</v>
      </c>
      <c r="F1482" s="1">
        <v>10</v>
      </c>
      <c r="G1482" s="1">
        <v>1731</v>
      </c>
      <c r="H1482">
        <f t="shared" si="69"/>
        <v>2017</v>
      </c>
      <c r="I1482">
        <f t="shared" si="70"/>
        <v>2019</v>
      </c>
      <c r="J1482" s="7">
        <f t="shared" si="71"/>
        <v>705647.39239213662</v>
      </c>
      <c r="K1482" s="7"/>
    </row>
    <row r="1483" spans="1:11" x14ac:dyDescent="0.25">
      <c r="A1483" s="1" t="s">
        <v>18</v>
      </c>
      <c r="B1483" s="2">
        <v>201703</v>
      </c>
      <c r="C1483" s="2">
        <v>202001</v>
      </c>
      <c r="D1483" s="10">
        <v>30074.827610702912</v>
      </c>
      <c r="E1483" s="10">
        <v>635446.37345102604</v>
      </c>
      <c r="F1483" s="1">
        <v>7</v>
      </c>
      <c r="G1483" s="1">
        <v>1386</v>
      </c>
      <c r="H1483">
        <f t="shared" si="69"/>
        <v>2017</v>
      </c>
      <c r="I1483">
        <f t="shared" si="70"/>
        <v>2020</v>
      </c>
      <c r="J1483" s="7">
        <f t="shared" si="71"/>
        <v>665521.20106172899</v>
      </c>
      <c r="K1483" s="7"/>
    </row>
    <row r="1484" spans="1:11" x14ac:dyDescent="0.25">
      <c r="A1484" s="1" t="s">
        <v>18</v>
      </c>
      <c r="B1484" s="2">
        <v>201703</v>
      </c>
      <c r="C1484" s="2">
        <v>202002</v>
      </c>
      <c r="D1484" s="10">
        <v>32282.576279303234</v>
      </c>
      <c r="E1484" s="10">
        <v>544044.92253555148</v>
      </c>
      <c r="F1484" s="1">
        <v>15</v>
      </c>
      <c r="G1484" s="1">
        <v>1163</v>
      </c>
      <c r="H1484">
        <f t="shared" si="69"/>
        <v>2017</v>
      </c>
      <c r="I1484">
        <f t="shared" si="70"/>
        <v>2020</v>
      </c>
      <c r="J1484" s="7">
        <f t="shared" si="71"/>
        <v>576327.49881485477</v>
      </c>
      <c r="K1484" s="7"/>
    </row>
    <row r="1485" spans="1:11" x14ac:dyDescent="0.25">
      <c r="A1485" s="1" t="s">
        <v>18</v>
      </c>
      <c r="B1485" s="2">
        <v>201703</v>
      </c>
      <c r="C1485" s="2">
        <v>202003</v>
      </c>
      <c r="D1485" s="10">
        <v>29653.386823085209</v>
      </c>
      <c r="E1485" s="10">
        <v>491661.76973505237</v>
      </c>
      <c r="F1485" s="1">
        <v>1</v>
      </c>
      <c r="G1485" s="1">
        <v>987</v>
      </c>
      <c r="H1485">
        <f t="shared" si="69"/>
        <v>2017</v>
      </c>
      <c r="I1485">
        <f t="shared" si="70"/>
        <v>2020</v>
      </c>
      <c r="J1485" s="7">
        <f t="shared" si="71"/>
        <v>521315.15655813756</v>
      </c>
      <c r="K1485" s="7"/>
    </row>
    <row r="1486" spans="1:11" x14ac:dyDescent="0.25">
      <c r="A1486" s="1" t="s">
        <v>18</v>
      </c>
      <c r="B1486" s="2">
        <v>201703</v>
      </c>
      <c r="C1486" s="2">
        <v>202004</v>
      </c>
      <c r="D1486" s="10">
        <v>14864.289120148756</v>
      </c>
      <c r="E1486" s="10">
        <v>447959.78146549955</v>
      </c>
      <c r="F1486" s="1">
        <v>0</v>
      </c>
      <c r="G1486" s="1">
        <v>816</v>
      </c>
      <c r="H1486">
        <f t="shared" si="69"/>
        <v>2017</v>
      </c>
      <c r="I1486">
        <f t="shared" si="70"/>
        <v>2020</v>
      </c>
      <c r="J1486" s="7">
        <f t="shared" si="71"/>
        <v>462824.0705856483</v>
      </c>
      <c r="K1486" s="7"/>
    </row>
    <row r="1487" spans="1:11" x14ac:dyDescent="0.25">
      <c r="A1487" s="1" t="s">
        <v>18</v>
      </c>
      <c r="B1487" s="2">
        <v>201703</v>
      </c>
      <c r="C1487" s="2">
        <v>202101</v>
      </c>
      <c r="D1487" s="10">
        <v>16195.877610015224</v>
      </c>
      <c r="E1487" s="10">
        <v>451028.36955447728</v>
      </c>
      <c r="F1487" s="1">
        <v>0</v>
      </c>
      <c r="G1487" s="1">
        <v>590</v>
      </c>
      <c r="H1487">
        <f t="shared" si="69"/>
        <v>2017</v>
      </c>
      <c r="I1487">
        <f t="shared" si="70"/>
        <v>2021</v>
      </c>
      <c r="J1487" s="7">
        <f t="shared" si="71"/>
        <v>467224.2471644925</v>
      </c>
      <c r="K1487" s="7"/>
    </row>
    <row r="1488" spans="1:11" x14ac:dyDescent="0.25">
      <c r="A1488" s="1" t="s">
        <v>18</v>
      </c>
      <c r="B1488" s="2">
        <v>201703</v>
      </c>
      <c r="C1488" s="2">
        <v>202102</v>
      </c>
      <c r="D1488" s="10">
        <v>8120.4827888071086</v>
      </c>
      <c r="E1488" s="10">
        <v>445723.08068337681</v>
      </c>
      <c r="F1488" s="1">
        <v>0</v>
      </c>
      <c r="G1488" s="1">
        <v>522</v>
      </c>
      <c r="H1488">
        <f t="shared" si="69"/>
        <v>2017</v>
      </c>
      <c r="I1488">
        <f t="shared" si="70"/>
        <v>2021</v>
      </c>
      <c r="J1488" s="7">
        <f t="shared" si="71"/>
        <v>453843.56347218395</v>
      </c>
      <c r="K1488" s="7"/>
    </row>
    <row r="1489" spans="1:11" x14ac:dyDescent="0.25">
      <c r="A1489" s="1" t="s">
        <v>18</v>
      </c>
      <c r="B1489" s="2">
        <v>201703</v>
      </c>
      <c r="C1489" s="2">
        <v>202103</v>
      </c>
      <c r="D1489" s="10">
        <v>6022.6967300737379</v>
      </c>
      <c r="E1489" s="10">
        <v>446618.52082020126</v>
      </c>
      <c r="F1489" s="1">
        <v>0</v>
      </c>
      <c r="G1489" s="1">
        <v>459</v>
      </c>
      <c r="H1489">
        <f t="shared" si="69"/>
        <v>2017</v>
      </c>
      <c r="I1489">
        <f t="shared" si="70"/>
        <v>2021</v>
      </c>
      <c r="J1489" s="7">
        <f t="shared" si="71"/>
        <v>452641.21755027497</v>
      </c>
      <c r="K1489" s="7"/>
    </row>
    <row r="1490" spans="1:11" x14ac:dyDescent="0.25">
      <c r="A1490" s="1" t="s">
        <v>18</v>
      </c>
      <c r="B1490" s="2">
        <v>201703</v>
      </c>
      <c r="C1490" s="2">
        <v>202104</v>
      </c>
      <c r="D1490" s="10">
        <v>5503.7659874279452</v>
      </c>
      <c r="E1490" s="10">
        <v>343394.65437472006</v>
      </c>
      <c r="F1490" s="1">
        <v>0</v>
      </c>
      <c r="G1490" s="1">
        <v>390</v>
      </c>
      <c r="H1490">
        <f t="shared" si="69"/>
        <v>2017</v>
      </c>
      <c r="I1490">
        <f t="shared" si="70"/>
        <v>2021</v>
      </c>
      <c r="J1490" s="7">
        <f t="shared" si="71"/>
        <v>348898.42036214803</v>
      </c>
      <c r="K1490" s="7"/>
    </row>
    <row r="1491" spans="1:11" x14ac:dyDescent="0.25">
      <c r="A1491" s="1" t="s">
        <v>18</v>
      </c>
      <c r="B1491" s="2">
        <v>201704</v>
      </c>
      <c r="C1491" s="2">
        <v>201704</v>
      </c>
      <c r="D1491" s="10">
        <v>525247.50040399248</v>
      </c>
      <c r="E1491" s="10">
        <v>1892649.4181401664</v>
      </c>
      <c r="F1491" s="1">
        <v>14405</v>
      </c>
      <c r="G1491" s="1">
        <v>9698</v>
      </c>
      <c r="H1491">
        <f t="shared" si="69"/>
        <v>2017</v>
      </c>
      <c r="I1491">
        <f t="shared" si="70"/>
        <v>2017</v>
      </c>
      <c r="J1491" s="7">
        <f t="shared" si="71"/>
        <v>2417896.9185441588</v>
      </c>
      <c r="K1491" s="7"/>
    </row>
    <row r="1492" spans="1:11" x14ac:dyDescent="0.25">
      <c r="A1492" s="1" t="s">
        <v>18</v>
      </c>
      <c r="B1492" s="2">
        <v>201704</v>
      </c>
      <c r="C1492" s="2">
        <v>201801</v>
      </c>
      <c r="D1492" s="10">
        <v>812726.81392485776</v>
      </c>
      <c r="E1492" s="10">
        <v>1477165.8302999816</v>
      </c>
      <c r="F1492" s="1">
        <v>2936</v>
      </c>
      <c r="G1492" s="1">
        <v>6588</v>
      </c>
      <c r="H1492">
        <f t="shared" si="69"/>
        <v>2017</v>
      </c>
      <c r="I1492">
        <f t="shared" si="70"/>
        <v>2018</v>
      </c>
      <c r="J1492" s="7">
        <f t="shared" si="71"/>
        <v>2289892.6442248393</v>
      </c>
      <c r="K1492" s="7"/>
    </row>
    <row r="1493" spans="1:11" x14ac:dyDescent="0.25">
      <c r="A1493" s="1" t="s">
        <v>18</v>
      </c>
      <c r="B1493" s="2">
        <v>201704</v>
      </c>
      <c r="C1493" s="2">
        <v>201802</v>
      </c>
      <c r="D1493" s="10">
        <v>230531.66239947066</v>
      </c>
      <c r="E1493" s="10">
        <v>1309815.9578011341</v>
      </c>
      <c r="F1493" s="1">
        <v>447</v>
      </c>
      <c r="G1493" s="1">
        <v>4716</v>
      </c>
      <c r="H1493">
        <f t="shared" si="69"/>
        <v>2017</v>
      </c>
      <c r="I1493">
        <f t="shared" si="70"/>
        <v>2018</v>
      </c>
      <c r="J1493" s="7">
        <f t="shared" si="71"/>
        <v>1540347.6202006047</v>
      </c>
      <c r="K1493" s="7"/>
    </row>
    <row r="1494" spans="1:11" x14ac:dyDescent="0.25">
      <c r="A1494" s="1" t="s">
        <v>18</v>
      </c>
      <c r="B1494" s="2">
        <v>201704</v>
      </c>
      <c r="C1494" s="2">
        <v>201803</v>
      </c>
      <c r="D1494" s="10">
        <v>110285.22095683536</v>
      </c>
      <c r="E1494" s="10">
        <v>1228194.421655339</v>
      </c>
      <c r="F1494" s="1">
        <v>169</v>
      </c>
      <c r="G1494" s="1">
        <v>4010</v>
      </c>
      <c r="H1494">
        <f t="shared" si="69"/>
        <v>2017</v>
      </c>
      <c r="I1494">
        <f t="shared" si="70"/>
        <v>2018</v>
      </c>
      <c r="J1494" s="7">
        <f t="shared" si="71"/>
        <v>1338479.6426121744</v>
      </c>
      <c r="K1494" s="7"/>
    </row>
    <row r="1495" spans="1:11" x14ac:dyDescent="0.25">
      <c r="A1495" s="1" t="s">
        <v>18</v>
      </c>
      <c r="B1495" s="2">
        <v>201704</v>
      </c>
      <c r="C1495" s="2">
        <v>201804</v>
      </c>
      <c r="D1495" s="10">
        <v>75712.847542437376</v>
      </c>
      <c r="E1495" s="10">
        <v>1136344.2821282549</v>
      </c>
      <c r="F1495" s="1">
        <v>65</v>
      </c>
      <c r="G1495" s="1">
        <v>3406</v>
      </c>
      <c r="H1495">
        <f t="shared" si="69"/>
        <v>2017</v>
      </c>
      <c r="I1495">
        <f t="shared" si="70"/>
        <v>2018</v>
      </c>
      <c r="J1495" s="7">
        <f t="shared" si="71"/>
        <v>1212057.1296706921</v>
      </c>
      <c r="K1495" s="7"/>
    </row>
    <row r="1496" spans="1:11" x14ac:dyDescent="0.25">
      <c r="A1496" s="1" t="s">
        <v>18</v>
      </c>
      <c r="B1496" s="2">
        <v>201704</v>
      </c>
      <c r="C1496" s="2">
        <v>201901</v>
      </c>
      <c r="D1496" s="10">
        <v>75100.371517439373</v>
      </c>
      <c r="E1496" s="10">
        <v>1009747.2298667016</v>
      </c>
      <c r="F1496" s="1">
        <v>45</v>
      </c>
      <c r="G1496" s="1">
        <v>2850</v>
      </c>
      <c r="H1496">
        <f t="shared" si="69"/>
        <v>2017</v>
      </c>
      <c r="I1496">
        <f t="shared" si="70"/>
        <v>2019</v>
      </c>
      <c r="J1496" s="7">
        <f t="shared" si="71"/>
        <v>1084847.601384141</v>
      </c>
      <c r="K1496" s="7"/>
    </row>
    <row r="1497" spans="1:11" x14ac:dyDescent="0.25">
      <c r="A1497" s="1" t="s">
        <v>18</v>
      </c>
      <c r="B1497" s="2">
        <v>201704</v>
      </c>
      <c r="C1497" s="2">
        <v>201902</v>
      </c>
      <c r="D1497" s="10">
        <v>59240.841171770851</v>
      </c>
      <c r="E1497" s="10">
        <v>889591.19821492117</v>
      </c>
      <c r="F1497" s="1">
        <v>20</v>
      </c>
      <c r="G1497" s="1">
        <v>2404</v>
      </c>
      <c r="H1497">
        <f t="shared" si="69"/>
        <v>2017</v>
      </c>
      <c r="I1497">
        <f t="shared" si="70"/>
        <v>2019</v>
      </c>
      <c r="J1497" s="7">
        <f t="shared" si="71"/>
        <v>948832.03938669199</v>
      </c>
      <c r="K1497" s="7"/>
    </row>
    <row r="1498" spans="1:11" x14ac:dyDescent="0.25">
      <c r="A1498" s="1" t="s">
        <v>18</v>
      </c>
      <c r="B1498" s="2">
        <v>201704</v>
      </c>
      <c r="C1498" s="2">
        <v>201903</v>
      </c>
      <c r="D1498" s="10">
        <v>46243.476113926619</v>
      </c>
      <c r="E1498" s="10">
        <v>823023.88933774503</v>
      </c>
      <c r="F1498" s="1">
        <v>15</v>
      </c>
      <c r="G1498" s="1">
        <v>2121</v>
      </c>
      <c r="H1498">
        <f t="shared" si="69"/>
        <v>2017</v>
      </c>
      <c r="I1498">
        <f t="shared" si="70"/>
        <v>2019</v>
      </c>
      <c r="J1498" s="7">
        <f t="shared" si="71"/>
        <v>869267.36545167165</v>
      </c>
      <c r="K1498" s="7"/>
    </row>
    <row r="1499" spans="1:11" x14ac:dyDescent="0.25">
      <c r="A1499" s="1" t="s">
        <v>18</v>
      </c>
      <c r="B1499" s="2">
        <v>201704</v>
      </c>
      <c r="C1499" s="2">
        <v>201904</v>
      </c>
      <c r="D1499" s="10">
        <v>25777.737609512038</v>
      </c>
      <c r="E1499" s="10">
        <v>777948.13911601354</v>
      </c>
      <c r="F1499" s="1">
        <v>14</v>
      </c>
      <c r="G1499" s="1">
        <v>1798</v>
      </c>
      <c r="H1499">
        <f t="shared" si="69"/>
        <v>2017</v>
      </c>
      <c r="I1499">
        <f t="shared" si="70"/>
        <v>2019</v>
      </c>
      <c r="J1499" s="7">
        <f t="shared" si="71"/>
        <v>803725.8767255256</v>
      </c>
      <c r="K1499" s="7"/>
    </row>
    <row r="1500" spans="1:11" x14ac:dyDescent="0.25">
      <c r="A1500" s="1" t="s">
        <v>18</v>
      </c>
      <c r="B1500" s="2">
        <v>201704</v>
      </c>
      <c r="C1500" s="2">
        <v>202001</v>
      </c>
      <c r="D1500" s="10">
        <v>24115.726605740263</v>
      </c>
      <c r="E1500" s="10">
        <v>730513.54413518228</v>
      </c>
      <c r="F1500" s="1">
        <v>12</v>
      </c>
      <c r="G1500" s="1">
        <v>1515</v>
      </c>
      <c r="H1500">
        <f t="shared" si="69"/>
        <v>2017</v>
      </c>
      <c r="I1500">
        <f t="shared" si="70"/>
        <v>2020</v>
      </c>
      <c r="J1500" s="7">
        <f t="shared" si="71"/>
        <v>754629.27074092254</v>
      </c>
      <c r="K1500" s="7"/>
    </row>
    <row r="1501" spans="1:11" x14ac:dyDescent="0.25">
      <c r="A1501" s="1" t="s">
        <v>18</v>
      </c>
      <c r="B1501" s="2">
        <v>201704</v>
      </c>
      <c r="C1501" s="2">
        <v>202002</v>
      </c>
      <c r="D1501" s="10">
        <v>14682.139402940827</v>
      </c>
      <c r="E1501" s="10">
        <v>665210.75810929656</v>
      </c>
      <c r="F1501" s="1">
        <v>18</v>
      </c>
      <c r="G1501" s="1">
        <v>1222</v>
      </c>
      <c r="H1501">
        <f t="shared" si="69"/>
        <v>2017</v>
      </c>
      <c r="I1501">
        <f t="shared" si="70"/>
        <v>2020</v>
      </c>
      <c r="J1501" s="7">
        <f t="shared" si="71"/>
        <v>679892.89751223742</v>
      </c>
      <c r="K1501" s="7"/>
    </row>
    <row r="1502" spans="1:11" x14ac:dyDescent="0.25">
      <c r="A1502" s="1" t="s">
        <v>18</v>
      </c>
      <c r="B1502" s="2">
        <v>201704</v>
      </c>
      <c r="C1502" s="2">
        <v>202003</v>
      </c>
      <c r="D1502" s="10">
        <v>42460.446671765836</v>
      </c>
      <c r="E1502" s="10">
        <v>625975.19342770881</v>
      </c>
      <c r="F1502" s="1">
        <v>6</v>
      </c>
      <c r="G1502" s="1">
        <v>1053</v>
      </c>
      <c r="H1502">
        <f t="shared" si="69"/>
        <v>2017</v>
      </c>
      <c r="I1502">
        <f t="shared" si="70"/>
        <v>2020</v>
      </c>
      <c r="J1502" s="7">
        <f t="shared" si="71"/>
        <v>668435.64009947469</v>
      </c>
      <c r="K1502" s="7"/>
    </row>
    <row r="1503" spans="1:11" x14ac:dyDescent="0.25">
      <c r="A1503" s="1" t="s">
        <v>18</v>
      </c>
      <c r="B1503" s="2">
        <v>201704</v>
      </c>
      <c r="C1503" s="2">
        <v>202004</v>
      </c>
      <c r="D1503" s="10">
        <v>12222.023621329698</v>
      </c>
      <c r="E1503" s="10">
        <v>578249.82694271673</v>
      </c>
      <c r="F1503" s="1">
        <v>6</v>
      </c>
      <c r="G1503" s="1">
        <v>880</v>
      </c>
      <c r="H1503">
        <f t="shared" si="69"/>
        <v>2017</v>
      </c>
      <c r="I1503">
        <f t="shared" si="70"/>
        <v>2020</v>
      </c>
      <c r="J1503" s="7">
        <f t="shared" si="71"/>
        <v>590471.85056404641</v>
      </c>
      <c r="K1503" s="7"/>
    </row>
    <row r="1504" spans="1:11" x14ac:dyDescent="0.25">
      <c r="A1504" s="1" t="s">
        <v>18</v>
      </c>
      <c r="B1504" s="2">
        <v>201704</v>
      </c>
      <c r="C1504" s="2">
        <v>202101</v>
      </c>
      <c r="D1504" s="10">
        <v>26714.715141263387</v>
      </c>
      <c r="E1504" s="10">
        <v>579547.26643361687</v>
      </c>
      <c r="F1504" s="1">
        <v>0</v>
      </c>
      <c r="G1504" s="1">
        <v>603</v>
      </c>
      <c r="H1504">
        <f t="shared" si="69"/>
        <v>2017</v>
      </c>
      <c r="I1504">
        <f t="shared" si="70"/>
        <v>2021</v>
      </c>
      <c r="J1504" s="7">
        <f t="shared" si="71"/>
        <v>606261.98157488031</v>
      </c>
      <c r="K1504" s="7"/>
    </row>
    <row r="1505" spans="1:11" x14ac:dyDescent="0.25">
      <c r="A1505" s="1" t="s">
        <v>18</v>
      </c>
      <c r="B1505" s="2">
        <v>201704</v>
      </c>
      <c r="C1505" s="2">
        <v>202102</v>
      </c>
      <c r="D1505" s="10">
        <v>16273.937315487587</v>
      </c>
      <c r="E1505" s="10">
        <v>582163.70701311086</v>
      </c>
      <c r="F1505" s="1">
        <v>1</v>
      </c>
      <c r="G1505" s="1">
        <v>534</v>
      </c>
      <c r="H1505">
        <f t="shared" si="69"/>
        <v>2017</v>
      </c>
      <c r="I1505">
        <f t="shared" si="70"/>
        <v>2021</v>
      </c>
      <c r="J1505" s="7">
        <f t="shared" si="71"/>
        <v>598437.6443285984</v>
      </c>
      <c r="K1505" s="7"/>
    </row>
    <row r="1506" spans="1:11" x14ac:dyDescent="0.25">
      <c r="A1506" s="1" t="s">
        <v>18</v>
      </c>
      <c r="B1506" s="2">
        <v>201704</v>
      </c>
      <c r="C1506" s="2">
        <v>202103</v>
      </c>
      <c r="D1506" s="10">
        <v>9499.9287047842972</v>
      </c>
      <c r="E1506" s="10">
        <v>583793.50454914127</v>
      </c>
      <c r="F1506" s="1">
        <v>0</v>
      </c>
      <c r="G1506" s="1">
        <v>473</v>
      </c>
      <c r="H1506">
        <f t="shared" si="69"/>
        <v>2017</v>
      </c>
      <c r="I1506">
        <f t="shared" si="70"/>
        <v>2021</v>
      </c>
      <c r="J1506" s="7">
        <f t="shared" si="71"/>
        <v>593293.43325392553</v>
      </c>
      <c r="K1506" s="7"/>
    </row>
    <row r="1507" spans="1:11" x14ac:dyDescent="0.25">
      <c r="A1507" s="1" t="s">
        <v>18</v>
      </c>
      <c r="B1507" s="2">
        <v>201704</v>
      </c>
      <c r="C1507" s="2">
        <v>202104</v>
      </c>
      <c r="D1507" s="10">
        <v>7223.364284741011</v>
      </c>
      <c r="E1507" s="10">
        <v>595890.37233784294</v>
      </c>
      <c r="F1507" s="1">
        <v>0</v>
      </c>
      <c r="G1507" s="1">
        <v>400</v>
      </c>
      <c r="H1507">
        <f t="shared" si="69"/>
        <v>2017</v>
      </c>
      <c r="I1507">
        <f t="shared" si="70"/>
        <v>2021</v>
      </c>
      <c r="J1507" s="7">
        <f t="shared" si="71"/>
        <v>603113.73662258394</v>
      </c>
      <c r="K1507" s="7"/>
    </row>
    <row r="1508" spans="1:11" x14ac:dyDescent="0.25">
      <c r="A1508" s="1" t="s">
        <v>18</v>
      </c>
      <c r="B1508" s="2">
        <v>201801</v>
      </c>
      <c r="C1508" s="2">
        <v>201801</v>
      </c>
      <c r="D1508" s="10">
        <v>716548.41999923682</v>
      </c>
      <c r="E1508" s="10">
        <v>1465428.4117645684</v>
      </c>
      <c r="F1508" s="1">
        <v>14712</v>
      </c>
      <c r="G1508" s="1">
        <v>8702</v>
      </c>
      <c r="H1508">
        <f t="shared" si="69"/>
        <v>2018</v>
      </c>
      <c r="I1508">
        <f t="shared" si="70"/>
        <v>2018</v>
      </c>
      <c r="J1508" s="7">
        <f t="shared" si="71"/>
        <v>2181976.8317638054</v>
      </c>
      <c r="K1508" s="7"/>
    </row>
    <row r="1509" spans="1:11" x14ac:dyDescent="0.25">
      <c r="A1509" s="1" t="s">
        <v>18</v>
      </c>
      <c r="B1509" s="2">
        <v>201801</v>
      </c>
      <c r="C1509" s="2">
        <v>201802</v>
      </c>
      <c r="D1509" s="10">
        <v>726185.29926083167</v>
      </c>
      <c r="E1509" s="10">
        <v>1047686.9908748553</v>
      </c>
      <c r="F1509" s="1">
        <v>2231</v>
      </c>
      <c r="G1509" s="1">
        <v>5370</v>
      </c>
      <c r="H1509">
        <f t="shared" si="69"/>
        <v>2018</v>
      </c>
      <c r="I1509">
        <f t="shared" si="70"/>
        <v>2018</v>
      </c>
      <c r="J1509" s="7">
        <f t="shared" si="71"/>
        <v>1773872.290135687</v>
      </c>
      <c r="K1509" s="7"/>
    </row>
    <row r="1510" spans="1:11" x14ac:dyDescent="0.25">
      <c r="A1510" s="1" t="s">
        <v>18</v>
      </c>
      <c r="B1510" s="2">
        <v>201801</v>
      </c>
      <c r="C1510" s="2">
        <v>201803</v>
      </c>
      <c r="D1510" s="10">
        <v>325251.13663598697</v>
      </c>
      <c r="E1510" s="10">
        <v>888575.52735636476</v>
      </c>
      <c r="F1510" s="1">
        <v>414</v>
      </c>
      <c r="G1510" s="1">
        <v>4223</v>
      </c>
      <c r="H1510">
        <f t="shared" si="69"/>
        <v>2018</v>
      </c>
      <c r="I1510">
        <f t="shared" si="70"/>
        <v>2018</v>
      </c>
      <c r="J1510" s="7">
        <f t="shared" si="71"/>
        <v>1213826.6639923519</v>
      </c>
      <c r="K1510" s="7"/>
    </row>
    <row r="1511" spans="1:11" x14ac:dyDescent="0.25">
      <c r="A1511" s="1" t="s">
        <v>18</v>
      </c>
      <c r="B1511" s="2">
        <v>201801</v>
      </c>
      <c r="C1511" s="2">
        <v>201804</v>
      </c>
      <c r="D1511" s="10">
        <v>237948.28575961062</v>
      </c>
      <c r="E1511" s="10">
        <v>842781.92268241988</v>
      </c>
      <c r="F1511" s="1">
        <v>117</v>
      </c>
      <c r="G1511" s="1">
        <v>3558</v>
      </c>
      <c r="H1511">
        <f t="shared" si="69"/>
        <v>2018</v>
      </c>
      <c r="I1511">
        <f t="shared" si="70"/>
        <v>2018</v>
      </c>
      <c r="J1511" s="7">
        <f t="shared" si="71"/>
        <v>1080730.2084420305</v>
      </c>
      <c r="K1511" s="7"/>
    </row>
    <row r="1512" spans="1:11" x14ac:dyDescent="0.25">
      <c r="A1512" s="1" t="s">
        <v>18</v>
      </c>
      <c r="B1512" s="2">
        <v>201801</v>
      </c>
      <c r="C1512" s="2">
        <v>201901</v>
      </c>
      <c r="D1512" s="10">
        <v>301656.64764483849</v>
      </c>
      <c r="E1512" s="10">
        <v>648311.43497745611</v>
      </c>
      <c r="F1512" s="1">
        <v>169</v>
      </c>
      <c r="G1512" s="1">
        <v>2884</v>
      </c>
      <c r="H1512">
        <f t="shared" si="69"/>
        <v>2018</v>
      </c>
      <c r="I1512">
        <f t="shared" si="70"/>
        <v>2019</v>
      </c>
      <c r="J1512" s="7">
        <f t="shared" si="71"/>
        <v>949968.08262229455</v>
      </c>
      <c r="K1512" s="7"/>
    </row>
    <row r="1513" spans="1:11" x14ac:dyDescent="0.25">
      <c r="A1513" s="1" t="s">
        <v>18</v>
      </c>
      <c r="B1513" s="2">
        <v>201801</v>
      </c>
      <c r="C1513" s="2">
        <v>201902</v>
      </c>
      <c r="D1513" s="10">
        <v>105282.49265689743</v>
      </c>
      <c r="E1513" s="10">
        <v>615757.80916862062</v>
      </c>
      <c r="F1513" s="1">
        <v>39</v>
      </c>
      <c r="G1513" s="1">
        <v>2554</v>
      </c>
      <c r="H1513">
        <f t="shared" si="69"/>
        <v>2018</v>
      </c>
      <c r="I1513">
        <f t="shared" si="70"/>
        <v>2019</v>
      </c>
      <c r="J1513" s="7">
        <f t="shared" si="71"/>
        <v>721040.30182551802</v>
      </c>
      <c r="K1513" s="7"/>
    </row>
    <row r="1514" spans="1:11" x14ac:dyDescent="0.25">
      <c r="A1514" s="1" t="s">
        <v>18</v>
      </c>
      <c r="B1514" s="2">
        <v>201801</v>
      </c>
      <c r="C1514" s="2">
        <v>201903</v>
      </c>
      <c r="D1514" s="10">
        <v>59191.325869090848</v>
      </c>
      <c r="E1514" s="10">
        <v>583062.82184442098</v>
      </c>
      <c r="F1514" s="1">
        <v>19</v>
      </c>
      <c r="G1514" s="1">
        <v>2189</v>
      </c>
      <c r="H1514">
        <f t="shared" si="69"/>
        <v>2018</v>
      </c>
      <c r="I1514">
        <f t="shared" si="70"/>
        <v>2019</v>
      </c>
      <c r="J1514" s="7">
        <f t="shared" si="71"/>
        <v>642254.14771351183</v>
      </c>
      <c r="K1514" s="7"/>
    </row>
    <row r="1515" spans="1:11" x14ac:dyDescent="0.25">
      <c r="A1515" s="1" t="s">
        <v>18</v>
      </c>
      <c r="B1515" s="2">
        <v>201801</v>
      </c>
      <c r="C1515" s="2">
        <v>201904</v>
      </c>
      <c r="D1515" s="10">
        <v>47068.931717813284</v>
      </c>
      <c r="E1515" s="10">
        <v>547922.24998816312</v>
      </c>
      <c r="F1515" s="1">
        <v>23</v>
      </c>
      <c r="G1515" s="1">
        <v>1916</v>
      </c>
      <c r="H1515">
        <f t="shared" si="69"/>
        <v>2018</v>
      </c>
      <c r="I1515">
        <f t="shared" si="70"/>
        <v>2019</v>
      </c>
      <c r="J1515" s="7">
        <f t="shared" si="71"/>
        <v>594991.18170597637</v>
      </c>
      <c r="K1515" s="7"/>
    </row>
    <row r="1516" spans="1:11" x14ac:dyDescent="0.25">
      <c r="A1516" s="1" t="s">
        <v>18</v>
      </c>
      <c r="B1516" s="2">
        <v>201801</v>
      </c>
      <c r="C1516" s="2">
        <v>202001</v>
      </c>
      <c r="D1516" s="10">
        <v>46990.417918898551</v>
      </c>
      <c r="E1516" s="10">
        <v>504829.7465977986</v>
      </c>
      <c r="F1516" s="1">
        <v>20</v>
      </c>
      <c r="G1516" s="1">
        <v>1584</v>
      </c>
      <c r="H1516">
        <f t="shared" si="69"/>
        <v>2018</v>
      </c>
      <c r="I1516">
        <f t="shared" si="70"/>
        <v>2020</v>
      </c>
      <c r="J1516" s="7">
        <f t="shared" si="71"/>
        <v>551820.16451669717</v>
      </c>
      <c r="K1516" s="7"/>
    </row>
    <row r="1517" spans="1:11" x14ac:dyDescent="0.25">
      <c r="A1517" s="1" t="s">
        <v>18</v>
      </c>
      <c r="B1517" s="2">
        <v>201801</v>
      </c>
      <c r="C1517" s="2">
        <v>202002</v>
      </c>
      <c r="D1517" s="10">
        <v>31722.613074751494</v>
      </c>
      <c r="E1517" s="10">
        <v>450747.91449454241</v>
      </c>
      <c r="F1517" s="1">
        <v>13</v>
      </c>
      <c r="G1517" s="1">
        <v>1400</v>
      </c>
      <c r="H1517">
        <f t="shared" si="69"/>
        <v>2018</v>
      </c>
      <c r="I1517">
        <f t="shared" si="70"/>
        <v>2020</v>
      </c>
      <c r="J1517" s="7">
        <f t="shared" si="71"/>
        <v>482470.52756929392</v>
      </c>
      <c r="K1517" s="7"/>
    </row>
    <row r="1518" spans="1:11" x14ac:dyDescent="0.25">
      <c r="A1518" s="1" t="s">
        <v>18</v>
      </c>
      <c r="B1518" s="2">
        <v>201801</v>
      </c>
      <c r="C1518" s="2">
        <v>202003</v>
      </c>
      <c r="D1518" s="10">
        <v>30341.986102259711</v>
      </c>
      <c r="E1518" s="10">
        <v>405300.93680841592</v>
      </c>
      <c r="F1518" s="1">
        <v>13</v>
      </c>
      <c r="G1518" s="1">
        <v>1227</v>
      </c>
      <c r="H1518">
        <f t="shared" si="69"/>
        <v>2018</v>
      </c>
      <c r="I1518">
        <f t="shared" si="70"/>
        <v>2020</v>
      </c>
      <c r="J1518" s="7">
        <f t="shared" si="71"/>
        <v>435642.92291067564</v>
      </c>
      <c r="K1518" s="7"/>
    </row>
    <row r="1519" spans="1:11" x14ac:dyDescent="0.25">
      <c r="A1519" s="1" t="s">
        <v>18</v>
      </c>
      <c r="B1519" s="2">
        <v>201801</v>
      </c>
      <c r="C1519" s="2">
        <v>202004</v>
      </c>
      <c r="D1519" s="10">
        <v>24920.339048165311</v>
      </c>
      <c r="E1519" s="10">
        <v>364248.38902439596</v>
      </c>
      <c r="F1519" s="1">
        <v>2</v>
      </c>
      <c r="G1519" s="1">
        <v>987</v>
      </c>
      <c r="H1519">
        <f t="shared" si="69"/>
        <v>2018</v>
      </c>
      <c r="I1519">
        <f t="shared" si="70"/>
        <v>2020</v>
      </c>
      <c r="J1519" s="7">
        <f t="shared" si="71"/>
        <v>389168.72807256127</v>
      </c>
      <c r="K1519" s="7"/>
    </row>
    <row r="1520" spans="1:11" x14ac:dyDescent="0.25">
      <c r="A1520" s="1" t="s">
        <v>18</v>
      </c>
      <c r="B1520" s="2">
        <v>201801</v>
      </c>
      <c r="C1520" s="2">
        <v>202101</v>
      </c>
      <c r="D1520" s="10">
        <v>21521.65239523902</v>
      </c>
      <c r="E1520" s="10">
        <v>362538.35032602726</v>
      </c>
      <c r="F1520" s="1">
        <v>4</v>
      </c>
      <c r="G1520" s="1">
        <v>679</v>
      </c>
      <c r="H1520">
        <f t="shared" si="69"/>
        <v>2018</v>
      </c>
      <c r="I1520">
        <f t="shared" si="70"/>
        <v>2021</v>
      </c>
      <c r="J1520" s="7">
        <f t="shared" si="71"/>
        <v>384060.0027212663</v>
      </c>
      <c r="K1520" s="7"/>
    </row>
    <row r="1521" spans="1:11" x14ac:dyDescent="0.25">
      <c r="A1521" s="1" t="s">
        <v>18</v>
      </c>
      <c r="B1521" s="2">
        <v>201801</v>
      </c>
      <c r="C1521" s="2">
        <v>202102</v>
      </c>
      <c r="D1521" s="10">
        <v>8831.1313299968624</v>
      </c>
      <c r="E1521" s="10">
        <v>366292.52493801783</v>
      </c>
      <c r="F1521" s="1">
        <v>2</v>
      </c>
      <c r="G1521" s="1">
        <v>566</v>
      </c>
      <c r="H1521">
        <f t="shared" si="69"/>
        <v>2018</v>
      </c>
      <c r="I1521">
        <f t="shared" si="70"/>
        <v>2021</v>
      </c>
      <c r="J1521" s="7">
        <f t="shared" si="71"/>
        <v>375123.65626801469</v>
      </c>
      <c r="K1521" s="7"/>
    </row>
    <row r="1522" spans="1:11" x14ac:dyDescent="0.25">
      <c r="A1522" s="1" t="s">
        <v>18</v>
      </c>
      <c r="B1522" s="2">
        <v>201801</v>
      </c>
      <c r="C1522" s="2">
        <v>202103</v>
      </c>
      <c r="D1522" s="10">
        <v>27061.63962712849</v>
      </c>
      <c r="E1522" s="10">
        <v>362989.12688985071</v>
      </c>
      <c r="F1522" s="1">
        <v>1</v>
      </c>
      <c r="G1522" s="1">
        <v>511</v>
      </c>
      <c r="H1522">
        <f t="shared" si="69"/>
        <v>2018</v>
      </c>
      <c r="I1522">
        <f t="shared" si="70"/>
        <v>2021</v>
      </c>
      <c r="J1522" s="7">
        <f t="shared" si="71"/>
        <v>390050.7665169792</v>
      </c>
      <c r="K1522" s="7"/>
    </row>
    <row r="1523" spans="1:11" x14ac:dyDescent="0.25">
      <c r="A1523" s="1" t="s">
        <v>18</v>
      </c>
      <c r="B1523" s="2">
        <v>201801</v>
      </c>
      <c r="C1523" s="2">
        <v>202104</v>
      </c>
      <c r="D1523" s="10">
        <v>20139.827240891907</v>
      </c>
      <c r="E1523" s="10">
        <v>241061.29335635604</v>
      </c>
      <c r="F1523" s="1">
        <v>2</v>
      </c>
      <c r="G1523" s="1">
        <v>415</v>
      </c>
      <c r="H1523">
        <f t="shared" si="69"/>
        <v>2018</v>
      </c>
      <c r="I1523">
        <f t="shared" si="70"/>
        <v>2021</v>
      </c>
      <c r="J1523" s="7">
        <f t="shared" si="71"/>
        <v>261201.12059724794</v>
      </c>
      <c r="K1523" s="7"/>
    </row>
    <row r="1524" spans="1:11" x14ac:dyDescent="0.25">
      <c r="A1524" s="1" t="s">
        <v>18</v>
      </c>
      <c r="B1524" s="2">
        <v>201802</v>
      </c>
      <c r="C1524" s="2">
        <v>201802</v>
      </c>
      <c r="D1524" s="10">
        <v>548787.60324651573</v>
      </c>
      <c r="E1524" s="10">
        <v>1503099.1276148774</v>
      </c>
      <c r="F1524" s="1">
        <v>14214</v>
      </c>
      <c r="G1524" s="1">
        <v>8799</v>
      </c>
      <c r="H1524">
        <f t="shared" si="69"/>
        <v>2018</v>
      </c>
      <c r="I1524">
        <f t="shared" si="70"/>
        <v>2018</v>
      </c>
      <c r="J1524" s="7">
        <f t="shared" si="71"/>
        <v>2051886.7308613933</v>
      </c>
      <c r="K1524" s="7"/>
    </row>
    <row r="1525" spans="1:11" x14ac:dyDescent="0.25">
      <c r="A1525" s="1" t="s">
        <v>18</v>
      </c>
      <c r="B1525" s="2">
        <v>201802</v>
      </c>
      <c r="C1525" s="2">
        <v>201803</v>
      </c>
      <c r="D1525" s="10">
        <v>646228.2346128464</v>
      </c>
      <c r="E1525" s="10">
        <v>1115624.9779557888</v>
      </c>
      <c r="F1525" s="1">
        <v>2431</v>
      </c>
      <c r="G1525" s="1">
        <v>5797</v>
      </c>
      <c r="H1525">
        <f t="shared" si="69"/>
        <v>2018</v>
      </c>
      <c r="I1525">
        <f t="shared" si="70"/>
        <v>2018</v>
      </c>
      <c r="J1525" s="7">
        <f t="shared" si="71"/>
        <v>1761853.2125686351</v>
      </c>
      <c r="K1525" s="7"/>
    </row>
    <row r="1526" spans="1:11" x14ac:dyDescent="0.25">
      <c r="A1526" s="1" t="s">
        <v>18</v>
      </c>
      <c r="B1526" s="2">
        <v>201802</v>
      </c>
      <c r="C1526" s="2">
        <v>201804</v>
      </c>
      <c r="D1526" s="10">
        <v>179187.69941176209</v>
      </c>
      <c r="E1526" s="10">
        <v>993905.07162828196</v>
      </c>
      <c r="F1526" s="1">
        <v>345</v>
      </c>
      <c r="G1526" s="1">
        <v>4666</v>
      </c>
      <c r="H1526">
        <f t="shared" si="69"/>
        <v>2018</v>
      </c>
      <c r="I1526">
        <f t="shared" si="70"/>
        <v>2018</v>
      </c>
      <c r="J1526" s="7">
        <f t="shared" si="71"/>
        <v>1173092.771040044</v>
      </c>
      <c r="K1526" s="7"/>
    </row>
    <row r="1527" spans="1:11" x14ac:dyDescent="0.25">
      <c r="A1527" s="1" t="s">
        <v>18</v>
      </c>
      <c r="B1527" s="2">
        <v>201802</v>
      </c>
      <c r="C1527" s="2">
        <v>201901</v>
      </c>
      <c r="D1527" s="10">
        <v>108957.97263598305</v>
      </c>
      <c r="E1527" s="10">
        <v>864288.91783866449</v>
      </c>
      <c r="F1527" s="1">
        <v>131</v>
      </c>
      <c r="G1527" s="1">
        <v>3695</v>
      </c>
      <c r="H1527">
        <f t="shared" si="69"/>
        <v>2018</v>
      </c>
      <c r="I1527">
        <f t="shared" si="70"/>
        <v>2019</v>
      </c>
      <c r="J1527" s="7">
        <f t="shared" si="71"/>
        <v>973246.89047464752</v>
      </c>
      <c r="K1527" s="7"/>
    </row>
    <row r="1528" spans="1:11" x14ac:dyDescent="0.25">
      <c r="A1528" s="1" t="s">
        <v>18</v>
      </c>
      <c r="B1528" s="2">
        <v>201802</v>
      </c>
      <c r="C1528" s="2">
        <v>201902</v>
      </c>
      <c r="D1528" s="10">
        <v>68304.753821771606</v>
      </c>
      <c r="E1528" s="10">
        <v>758762.08560147393</v>
      </c>
      <c r="F1528" s="1">
        <v>68</v>
      </c>
      <c r="G1528" s="1">
        <v>3046</v>
      </c>
      <c r="H1528">
        <f t="shared" si="69"/>
        <v>2018</v>
      </c>
      <c r="I1528">
        <f t="shared" si="70"/>
        <v>2019</v>
      </c>
      <c r="J1528" s="7">
        <f t="shared" si="71"/>
        <v>827066.83942324552</v>
      </c>
      <c r="K1528" s="7"/>
    </row>
    <row r="1529" spans="1:11" x14ac:dyDescent="0.25">
      <c r="A1529" s="1" t="s">
        <v>18</v>
      </c>
      <c r="B1529" s="2">
        <v>201802</v>
      </c>
      <c r="C1529" s="2">
        <v>201903</v>
      </c>
      <c r="D1529" s="10">
        <v>33400.228864129575</v>
      </c>
      <c r="E1529" s="10">
        <v>694284.62131664832</v>
      </c>
      <c r="F1529" s="1">
        <v>42</v>
      </c>
      <c r="G1529" s="1">
        <v>2695</v>
      </c>
      <c r="H1529">
        <f t="shared" si="69"/>
        <v>2018</v>
      </c>
      <c r="I1529">
        <f t="shared" si="70"/>
        <v>2019</v>
      </c>
      <c r="J1529" s="7">
        <f t="shared" si="71"/>
        <v>727684.85018077795</v>
      </c>
      <c r="K1529" s="7"/>
    </row>
    <row r="1530" spans="1:11" x14ac:dyDescent="0.25">
      <c r="A1530" s="1" t="s">
        <v>18</v>
      </c>
      <c r="B1530" s="2">
        <v>201802</v>
      </c>
      <c r="C1530" s="2">
        <v>201904</v>
      </c>
      <c r="D1530" s="10">
        <v>28939.554082324936</v>
      </c>
      <c r="E1530" s="10">
        <v>636456.75990530627</v>
      </c>
      <c r="F1530" s="1">
        <v>21</v>
      </c>
      <c r="G1530" s="1">
        <v>2327</v>
      </c>
      <c r="H1530">
        <f t="shared" si="69"/>
        <v>2018</v>
      </c>
      <c r="I1530">
        <f t="shared" si="70"/>
        <v>2019</v>
      </c>
      <c r="J1530" s="7">
        <f t="shared" si="71"/>
        <v>665396.31398763123</v>
      </c>
      <c r="K1530" s="7"/>
    </row>
    <row r="1531" spans="1:11" x14ac:dyDescent="0.25">
      <c r="A1531" s="1" t="s">
        <v>18</v>
      </c>
      <c r="B1531" s="2">
        <v>201802</v>
      </c>
      <c r="C1531" s="2">
        <v>202001</v>
      </c>
      <c r="D1531" s="10">
        <v>34140.311692860952</v>
      </c>
      <c r="E1531" s="10">
        <v>577687.88907441986</v>
      </c>
      <c r="F1531" s="1">
        <v>23</v>
      </c>
      <c r="G1531" s="1">
        <v>2014</v>
      </c>
      <c r="H1531">
        <f t="shared" si="69"/>
        <v>2018</v>
      </c>
      <c r="I1531">
        <f t="shared" si="70"/>
        <v>2020</v>
      </c>
      <c r="J1531" s="7">
        <f t="shared" si="71"/>
        <v>611828.20076728077</v>
      </c>
      <c r="K1531" s="7"/>
    </row>
    <row r="1532" spans="1:11" x14ac:dyDescent="0.25">
      <c r="A1532" s="1" t="s">
        <v>18</v>
      </c>
      <c r="B1532" s="2">
        <v>201802</v>
      </c>
      <c r="C1532" s="2">
        <v>202002</v>
      </c>
      <c r="D1532" s="10">
        <v>18950.123338035992</v>
      </c>
      <c r="E1532" s="10">
        <v>531226.98050533491</v>
      </c>
      <c r="F1532" s="1">
        <v>9</v>
      </c>
      <c r="G1532" s="1">
        <v>1755</v>
      </c>
      <c r="H1532">
        <f t="shared" si="69"/>
        <v>2018</v>
      </c>
      <c r="I1532">
        <f t="shared" si="70"/>
        <v>2020</v>
      </c>
      <c r="J1532" s="7">
        <f t="shared" si="71"/>
        <v>550177.10384337092</v>
      </c>
      <c r="K1532" s="7"/>
    </row>
    <row r="1533" spans="1:11" x14ac:dyDescent="0.25">
      <c r="A1533" s="1" t="s">
        <v>18</v>
      </c>
      <c r="B1533" s="2">
        <v>201802</v>
      </c>
      <c r="C1533" s="2">
        <v>202003</v>
      </c>
      <c r="D1533" s="10">
        <v>21539.789285558763</v>
      </c>
      <c r="E1533" s="10">
        <v>514229.72592434788</v>
      </c>
      <c r="F1533" s="1">
        <v>12</v>
      </c>
      <c r="G1533" s="1">
        <v>1574</v>
      </c>
      <c r="H1533">
        <f t="shared" si="69"/>
        <v>2018</v>
      </c>
      <c r="I1533">
        <f t="shared" si="70"/>
        <v>2020</v>
      </c>
      <c r="J1533" s="7">
        <f t="shared" si="71"/>
        <v>535769.51520990662</v>
      </c>
      <c r="K1533" s="7"/>
    </row>
    <row r="1534" spans="1:11" x14ac:dyDescent="0.25">
      <c r="A1534" s="1" t="s">
        <v>18</v>
      </c>
      <c r="B1534" s="2">
        <v>201802</v>
      </c>
      <c r="C1534" s="2">
        <v>202004</v>
      </c>
      <c r="D1534" s="10">
        <v>11015.114942626446</v>
      </c>
      <c r="E1534" s="10">
        <v>464264.46991315461</v>
      </c>
      <c r="F1534" s="1">
        <v>5</v>
      </c>
      <c r="G1534" s="1">
        <v>1265</v>
      </c>
      <c r="H1534">
        <f t="shared" si="69"/>
        <v>2018</v>
      </c>
      <c r="I1534">
        <f t="shared" si="70"/>
        <v>2020</v>
      </c>
      <c r="J1534" s="7">
        <f t="shared" si="71"/>
        <v>475279.58485578105</v>
      </c>
      <c r="K1534" s="7"/>
    </row>
    <row r="1535" spans="1:11" x14ac:dyDescent="0.25">
      <c r="A1535" s="1" t="s">
        <v>18</v>
      </c>
      <c r="B1535" s="2">
        <v>201802</v>
      </c>
      <c r="C1535" s="2">
        <v>202101</v>
      </c>
      <c r="D1535" s="10">
        <v>17692.629092638726</v>
      </c>
      <c r="E1535" s="10">
        <v>465902.28748669248</v>
      </c>
      <c r="F1535" s="1">
        <v>3</v>
      </c>
      <c r="G1535" s="1">
        <v>830</v>
      </c>
      <c r="H1535">
        <f t="shared" si="69"/>
        <v>2018</v>
      </c>
      <c r="I1535">
        <f t="shared" si="70"/>
        <v>2021</v>
      </c>
      <c r="J1535" s="7">
        <f t="shared" si="71"/>
        <v>483594.91657933121</v>
      </c>
      <c r="K1535" s="7"/>
    </row>
    <row r="1536" spans="1:11" x14ac:dyDescent="0.25">
      <c r="A1536" s="1" t="s">
        <v>18</v>
      </c>
      <c r="B1536" s="2">
        <v>201802</v>
      </c>
      <c r="C1536" s="2">
        <v>202102</v>
      </c>
      <c r="D1536" s="10">
        <v>4669.0419832714924</v>
      </c>
      <c r="E1536" s="10">
        <v>465511.0404291501</v>
      </c>
      <c r="F1536" s="1">
        <v>5</v>
      </c>
      <c r="G1536" s="1">
        <v>716</v>
      </c>
      <c r="H1536">
        <f t="shared" si="69"/>
        <v>2018</v>
      </c>
      <c r="I1536">
        <f t="shared" si="70"/>
        <v>2021</v>
      </c>
      <c r="J1536" s="7">
        <f t="shared" si="71"/>
        <v>470180.08241242159</v>
      </c>
      <c r="K1536" s="7"/>
    </row>
    <row r="1537" spans="1:11" x14ac:dyDescent="0.25">
      <c r="A1537" s="1" t="s">
        <v>18</v>
      </c>
      <c r="B1537" s="2">
        <v>201802</v>
      </c>
      <c r="C1537" s="2">
        <v>202103</v>
      </c>
      <c r="D1537" s="10">
        <v>21533.881716424748</v>
      </c>
      <c r="E1537" s="10">
        <v>462536.30261891952</v>
      </c>
      <c r="F1537" s="1">
        <v>0</v>
      </c>
      <c r="G1537" s="1">
        <v>598</v>
      </c>
      <c r="H1537">
        <f t="shared" si="69"/>
        <v>2018</v>
      </c>
      <c r="I1537">
        <f t="shared" si="70"/>
        <v>2021</v>
      </c>
      <c r="J1537" s="7">
        <f t="shared" si="71"/>
        <v>484070.1843353443</v>
      </c>
      <c r="K1537" s="7"/>
    </row>
    <row r="1538" spans="1:11" x14ac:dyDescent="0.25">
      <c r="A1538" s="1" t="s">
        <v>18</v>
      </c>
      <c r="B1538" s="2">
        <v>201802</v>
      </c>
      <c r="C1538" s="2">
        <v>202104</v>
      </c>
      <c r="D1538" s="10">
        <v>4349.6761294398093</v>
      </c>
      <c r="E1538" s="10">
        <v>341936.46032698947</v>
      </c>
      <c r="F1538" s="1">
        <v>0</v>
      </c>
      <c r="G1538" s="1">
        <v>508</v>
      </c>
      <c r="H1538">
        <f t="shared" si="69"/>
        <v>2018</v>
      </c>
      <c r="I1538">
        <f t="shared" si="70"/>
        <v>2021</v>
      </c>
      <c r="J1538" s="7">
        <f t="shared" si="71"/>
        <v>346286.13645642926</v>
      </c>
      <c r="K1538" s="7"/>
    </row>
    <row r="1539" spans="1:11" x14ac:dyDescent="0.25">
      <c r="A1539" s="1" t="s">
        <v>18</v>
      </c>
      <c r="B1539" s="2">
        <v>201803</v>
      </c>
      <c r="C1539" s="2">
        <v>201803</v>
      </c>
      <c r="D1539" s="10">
        <v>632752.94720014406</v>
      </c>
      <c r="E1539" s="10">
        <v>1946219.5178509105</v>
      </c>
      <c r="F1539" s="1">
        <v>14800</v>
      </c>
      <c r="G1539" s="1">
        <v>9095</v>
      </c>
      <c r="H1539">
        <f t="shared" si="69"/>
        <v>2018</v>
      </c>
      <c r="I1539">
        <f t="shared" si="70"/>
        <v>2018</v>
      </c>
      <c r="J1539" s="7">
        <f t="shared" si="71"/>
        <v>2578972.4650510545</v>
      </c>
      <c r="K1539" s="7"/>
    </row>
    <row r="1540" spans="1:11" x14ac:dyDescent="0.25">
      <c r="A1540" s="1" t="s">
        <v>18</v>
      </c>
      <c r="B1540" s="2">
        <v>201803</v>
      </c>
      <c r="C1540" s="2">
        <v>201804</v>
      </c>
      <c r="D1540" s="10">
        <v>687821.59780090291</v>
      </c>
      <c r="E1540" s="10">
        <v>1257542.8371686819</v>
      </c>
      <c r="F1540" s="1">
        <v>2358</v>
      </c>
      <c r="G1540" s="1">
        <v>5904</v>
      </c>
      <c r="H1540">
        <f t="shared" ref="H1540:H1603" si="72">VALUE(LEFT(B1540,4))</f>
        <v>2018</v>
      </c>
      <c r="I1540">
        <f t="shared" ref="I1540:I1603" si="73">VALUE(LEFT(C1540,4))</f>
        <v>2018</v>
      </c>
      <c r="J1540" s="7">
        <f t="shared" si="71"/>
        <v>1945364.4349695849</v>
      </c>
      <c r="K1540" s="7"/>
    </row>
    <row r="1541" spans="1:11" x14ac:dyDescent="0.25">
      <c r="A1541" s="1" t="s">
        <v>18</v>
      </c>
      <c r="B1541" s="2">
        <v>201803</v>
      </c>
      <c r="C1541" s="2">
        <v>201901</v>
      </c>
      <c r="D1541" s="10">
        <v>242304.35613403845</v>
      </c>
      <c r="E1541" s="10">
        <v>1015841.5161400725</v>
      </c>
      <c r="F1541" s="1">
        <v>348</v>
      </c>
      <c r="G1541" s="1">
        <v>4529</v>
      </c>
      <c r="H1541">
        <f t="shared" si="72"/>
        <v>2018</v>
      </c>
      <c r="I1541">
        <f t="shared" si="73"/>
        <v>2019</v>
      </c>
      <c r="J1541" s="7">
        <f t="shared" ref="J1541:J1604" si="74">D1541+E1541</f>
        <v>1258145.872274111</v>
      </c>
      <c r="K1541" s="7"/>
    </row>
    <row r="1542" spans="1:11" x14ac:dyDescent="0.25">
      <c r="A1542" s="1" t="s">
        <v>18</v>
      </c>
      <c r="B1542" s="2">
        <v>201803</v>
      </c>
      <c r="C1542" s="2">
        <v>201902</v>
      </c>
      <c r="D1542" s="10">
        <v>138355.23246050009</v>
      </c>
      <c r="E1542" s="10">
        <v>874056.43115811155</v>
      </c>
      <c r="F1542" s="1">
        <v>113</v>
      </c>
      <c r="G1542" s="1">
        <v>3740</v>
      </c>
      <c r="H1542">
        <f t="shared" si="72"/>
        <v>2018</v>
      </c>
      <c r="I1542">
        <f t="shared" si="73"/>
        <v>2019</v>
      </c>
      <c r="J1542" s="7">
        <f t="shared" si="74"/>
        <v>1012411.6636186116</v>
      </c>
      <c r="K1542" s="7"/>
    </row>
    <row r="1543" spans="1:11" x14ac:dyDescent="0.25">
      <c r="A1543" s="1" t="s">
        <v>18</v>
      </c>
      <c r="B1543" s="2">
        <v>201803</v>
      </c>
      <c r="C1543" s="2">
        <v>201903</v>
      </c>
      <c r="D1543" s="10">
        <v>72958.779348274213</v>
      </c>
      <c r="E1543" s="10">
        <v>782092.87119379605</v>
      </c>
      <c r="F1543" s="1">
        <v>75</v>
      </c>
      <c r="G1543" s="1">
        <v>3118</v>
      </c>
      <c r="H1543">
        <f t="shared" si="72"/>
        <v>2018</v>
      </c>
      <c r="I1543">
        <f t="shared" si="73"/>
        <v>2019</v>
      </c>
      <c r="J1543" s="7">
        <f t="shared" si="74"/>
        <v>855051.65054207027</v>
      </c>
      <c r="K1543" s="7"/>
    </row>
    <row r="1544" spans="1:11" x14ac:dyDescent="0.25">
      <c r="A1544" s="1" t="s">
        <v>18</v>
      </c>
      <c r="B1544" s="2">
        <v>201803</v>
      </c>
      <c r="C1544" s="2">
        <v>201904</v>
      </c>
      <c r="D1544" s="10">
        <v>65977.65550819179</v>
      </c>
      <c r="E1544" s="10">
        <v>654368.98918249342</v>
      </c>
      <c r="F1544" s="1">
        <v>34</v>
      </c>
      <c r="G1544" s="1">
        <v>2667</v>
      </c>
      <c r="H1544">
        <f t="shared" si="72"/>
        <v>2018</v>
      </c>
      <c r="I1544">
        <f t="shared" si="73"/>
        <v>2019</v>
      </c>
      <c r="J1544" s="7">
        <f t="shared" si="74"/>
        <v>720346.64469068521</v>
      </c>
      <c r="K1544" s="7"/>
    </row>
    <row r="1545" spans="1:11" x14ac:dyDescent="0.25">
      <c r="A1545" s="1" t="s">
        <v>18</v>
      </c>
      <c r="B1545" s="2">
        <v>201803</v>
      </c>
      <c r="C1545" s="2">
        <v>202001</v>
      </c>
      <c r="D1545" s="10">
        <v>35437.623338790276</v>
      </c>
      <c r="E1545" s="10">
        <v>644838.71160499996</v>
      </c>
      <c r="F1545" s="1">
        <v>24</v>
      </c>
      <c r="G1545" s="1">
        <v>2253</v>
      </c>
      <c r="H1545">
        <f t="shared" si="72"/>
        <v>2018</v>
      </c>
      <c r="I1545">
        <f t="shared" si="73"/>
        <v>2020</v>
      </c>
      <c r="J1545" s="7">
        <f t="shared" si="74"/>
        <v>680276.33494379022</v>
      </c>
      <c r="K1545" s="7"/>
    </row>
    <row r="1546" spans="1:11" x14ac:dyDescent="0.25">
      <c r="A1546" s="1" t="s">
        <v>18</v>
      </c>
      <c r="B1546" s="2">
        <v>201803</v>
      </c>
      <c r="C1546" s="2">
        <v>202002</v>
      </c>
      <c r="D1546" s="10">
        <v>34390.140804882787</v>
      </c>
      <c r="E1546" s="10">
        <v>573768.86473216221</v>
      </c>
      <c r="F1546" s="1">
        <v>21</v>
      </c>
      <c r="G1546" s="1">
        <v>1882</v>
      </c>
      <c r="H1546">
        <f t="shared" si="72"/>
        <v>2018</v>
      </c>
      <c r="I1546">
        <f t="shared" si="73"/>
        <v>2020</v>
      </c>
      <c r="J1546" s="7">
        <f t="shared" si="74"/>
        <v>608159.00553704496</v>
      </c>
      <c r="K1546" s="7"/>
    </row>
    <row r="1547" spans="1:11" x14ac:dyDescent="0.25">
      <c r="A1547" s="1" t="s">
        <v>18</v>
      </c>
      <c r="B1547" s="2">
        <v>201803</v>
      </c>
      <c r="C1547" s="2">
        <v>202003</v>
      </c>
      <c r="D1547" s="10">
        <v>27946.573330692125</v>
      </c>
      <c r="E1547" s="10">
        <v>504933.25869024557</v>
      </c>
      <c r="F1547" s="1">
        <v>23</v>
      </c>
      <c r="G1547" s="1">
        <v>1710</v>
      </c>
      <c r="H1547">
        <f t="shared" si="72"/>
        <v>2018</v>
      </c>
      <c r="I1547">
        <f t="shared" si="73"/>
        <v>2020</v>
      </c>
      <c r="J1547" s="7">
        <f t="shared" si="74"/>
        <v>532879.8320209377</v>
      </c>
      <c r="K1547" s="7"/>
    </row>
    <row r="1548" spans="1:11" x14ac:dyDescent="0.25">
      <c r="A1548" s="1" t="s">
        <v>18</v>
      </c>
      <c r="B1548" s="2">
        <v>201803</v>
      </c>
      <c r="C1548" s="2">
        <v>202004</v>
      </c>
      <c r="D1548" s="10">
        <v>23418.921748329722</v>
      </c>
      <c r="E1548" s="10">
        <v>460339.62579182722</v>
      </c>
      <c r="F1548" s="1">
        <v>10</v>
      </c>
      <c r="G1548" s="1">
        <v>1435</v>
      </c>
      <c r="H1548">
        <f t="shared" si="72"/>
        <v>2018</v>
      </c>
      <c r="I1548">
        <f t="shared" si="73"/>
        <v>2020</v>
      </c>
      <c r="J1548" s="7">
        <f t="shared" si="74"/>
        <v>483758.54754015693</v>
      </c>
      <c r="K1548" s="7"/>
    </row>
    <row r="1549" spans="1:11" x14ac:dyDescent="0.25">
      <c r="A1549" s="1" t="s">
        <v>18</v>
      </c>
      <c r="B1549" s="2">
        <v>201803</v>
      </c>
      <c r="C1549" s="2">
        <v>202101</v>
      </c>
      <c r="D1549" s="10">
        <v>11812.47650241635</v>
      </c>
      <c r="E1549" s="10">
        <v>455765.38317931019</v>
      </c>
      <c r="F1549" s="1">
        <v>5</v>
      </c>
      <c r="G1549" s="1">
        <v>1001</v>
      </c>
      <c r="H1549">
        <f t="shared" si="72"/>
        <v>2018</v>
      </c>
      <c r="I1549">
        <f t="shared" si="73"/>
        <v>2021</v>
      </c>
      <c r="J1549" s="7">
        <f t="shared" si="74"/>
        <v>467577.85968172655</v>
      </c>
      <c r="K1549" s="7"/>
    </row>
    <row r="1550" spans="1:11" x14ac:dyDescent="0.25">
      <c r="A1550" s="1" t="s">
        <v>18</v>
      </c>
      <c r="B1550" s="2">
        <v>201803</v>
      </c>
      <c r="C1550" s="2">
        <v>202102</v>
      </c>
      <c r="D1550" s="10">
        <v>11718.968360745403</v>
      </c>
      <c r="E1550" s="10">
        <v>457905.58921266306</v>
      </c>
      <c r="F1550" s="1">
        <v>2</v>
      </c>
      <c r="G1550" s="1">
        <v>800</v>
      </c>
      <c r="H1550">
        <f t="shared" si="72"/>
        <v>2018</v>
      </c>
      <c r="I1550">
        <f t="shared" si="73"/>
        <v>2021</v>
      </c>
      <c r="J1550" s="7">
        <f t="shared" si="74"/>
        <v>469624.55757340847</v>
      </c>
      <c r="K1550" s="7"/>
    </row>
    <row r="1551" spans="1:11" x14ac:dyDescent="0.25">
      <c r="A1551" s="1" t="s">
        <v>18</v>
      </c>
      <c r="B1551" s="2">
        <v>201803</v>
      </c>
      <c r="C1551" s="2">
        <v>202103</v>
      </c>
      <c r="D1551" s="10">
        <v>8351.3685502717763</v>
      </c>
      <c r="E1551" s="10">
        <v>458253.39637452824</v>
      </c>
      <c r="F1551" s="1">
        <v>3</v>
      </c>
      <c r="G1551" s="1">
        <v>700</v>
      </c>
      <c r="H1551">
        <f t="shared" si="72"/>
        <v>2018</v>
      </c>
      <c r="I1551">
        <f t="shared" si="73"/>
        <v>2021</v>
      </c>
      <c r="J1551" s="7">
        <f t="shared" si="74"/>
        <v>466604.76492480002</v>
      </c>
      <c r="K1551" s="7"/>
    </row>
    <row r="1552" spans="1:11" x14ac:dyDescent="0.25">
      <c r="A1552" s="1" t="s">
        <v>18</v>
      </c>
      <c r="B1552" s="2">
        <v>201803</v>
      </c>
      <c r="C1552" s="2">
        <v>202104</v>
      </c>
      <c r="D1552" s="10">
        <v>10293.809606659834</v>
      </c>
      <c r="E1552" s="10">
        <v>307003.89693257312</v>
      </c>
      <c r="F1552" s="1">
        <v>1</v>
      </c>
      <c r="G1552" s="1">
        <v>562</v>
      </c>
      <c r="H1552">
        <f t="shared" si="72"/>
        <v>2018</v>
      </c>
      <c r="I1552">
        <f t="shared" si="73"/>
        <v>2021</v>
      </c>
      <c r="J1552" s="7">
        <f t="shared" si="74"/>
        <v>317297.70653923292</v>
      </c>
      <c r="K1552" s="7"/>
    </row>
    <row r="1553" spans="1:11" x14ac:dyDescent="0.25">
      <c r="A1553" s="1" t="s">
        <v>18</v>
      </c>
      <c r="B1553" s="2">
        <v>201804</v>
      </c>
      <c r="C1553" s="2">
        <v>201804</v>
      </c>
      <c r="D1553" s="10">
        <v>588312.73128888535</v>
      </c>
      <c r="E1553" s="10">
        <v>1761704.8663648805</v>
      </c>
      <c r="F1553" s="1">
        <v>15751</v>
      </c>
      <c r="G1553" s="1">
        <v>10021</v>
      </c>
      <c r="H1553">
        <f t="shared" si="72"/>
        <v>2018</v>
      </c>
      <c r="I1553">
        <f t="shared" si="73"/>
        <v>2018</v>
      </c>
      <c r="J1553" s="7">
        <f t="shared" si="74"/>
        <v>2350017.5976537657</v>
      </c>
      <c r="K1553" s="7"/>
    </row>
    <row r="1554" spans="1:11" x14ac:dyDescent="0.25">
      <c r="A1554" s="1" t="s">
        <v>18</v>
      </c>
      <c r="B1554" s="2">
        <v>201804</v>
      </c>
      <c r="C1554" s="2">
        <v>201901</v>
      </c>
      <c r="D1554" s="10">
        <v>819661.15695492446</v>
      </c>
      <c r="E1554" s="10">
        <v>1169880.781097864</v>
      </c>
      <c r="F1554" s="1">
        <v>2901</v>
      </c>
      <c r="G1554" s="1">
        <v>6236</v>
      </c>
      <c r="H1554">
        <f t="shared" si="72"/>
        <v>2018</v>
      </c>
      <c r="I1554">
        <f t="shared" si="73"/>
        <v>2019</v>
      </c>
      <c r="J1554" s="7">
        <f t="shared" si="74"/>
        <v>1989541.9380527884</v>
      </c>
      <c r="K1554" s="7"/>
    </row>
    <row r="1555" spans="1:11" x14ac:dyDescent="0.25">
      <c r="A1555" s="1" t="s">
        <v>18</v>
      </c>
      <c r="B1555" s="2">
        <v>201804</v>
      </c>
      <c r="C1555" s="2">
        <v>201902</v>
      </c>
      <c r="D1555" s="10">
        <v>208005.49277411296</v>
      </c>
      <c r="E1555" s="10">
        <v>997095.70778077003</v>
      </c>
      <c r="F1555" s="1">
        <v>390</v>
      </c>
      <c r="G1555" s="1">
        <v>4746</v>
      </c>
      <c r="H1555">
        <f t="shared" si="72"/>
        <v>2018</v>
      </c>
      <c r="I1555">
        <f t="shared" si="73"/>
        <v>2019</v>
      </c>
      <c r="J1555" s="7">
        <f t="shared" si="74"/>
        <v>1205101.2005548831</v>
      </c>
      <c r="K1555" s="7"/>
    </row>
    <row r="1556" spans="1:11" x14ac:dyDescent="0.25">
      <c r="A1556" s="1" t="s">
        <v>18</v>
      </c>
      <c r="B1556" s="2">
        <v>201804</v>
      </c>
      <c r="C1556" s="2">
        <v>201903</v>
      </c>
      <c r="D1556" s="10">
        <v>92002.629206668673</v>
      </c>
      <c r="E1556" s="10">
        <v>961396.97429769952</v>
      </c>
      <c r="F1556" s="1">
        <v>130</v>
      </c>
      <c r="G1556" s="1">
        <v>3937</v>
      </c>
      <c r="H1556">
        <f t="shared" si="72"/>
        <v>2018</v>
      </c>
      <c r="I1556">
        <f t="shared" si="73"/>
        <v>2019</v>
      </c>
      <c r="J1556" s="7">
        <f t="shared" si="74"/>
        <v>1053399.6035043681</v>
      </c>
      <c r="K1556" s="7"/>
    </row>
    <row r="1557" spans="1:11" x14ac:dyDescent="0.25">
      <c r="A1557" s="1" t="s">
        <v>18</v>
      </c>
      <c r="B1557" s="2">
        <v>201804</v>
      </c>
      <c r="C1557" s="2">
        <v>201904</v>
      </c>
      <c r="D1557" s="10">
        <v>84352.77147982418</v>
      </c>
      <c r="E1557" s="10">
        <v>816614.33233263274</v>
      </c>
      <c r="F1557" s="1">
        <v>75</v>
      </c>
      <c r="G1557" s="1">
        <v>3207</v>
      </c>
      <c r="H1557">
        <f t="shared" si="72"/>
        <v>2018</v>
      </c>
      <c r="I1557">
        <f t="shared" si="73"/>
        <v>2019</v>
      </c>
      <c r="J1557" s="7">
        <f t="shared" si="74"/>
        <v>900967.10381245695</v>
      </c>
      <c r="K1557" s="7"/>
    </row>
    <row r="1558" spans="1:11" x14ac:dyDescent="0.25">
      <c r="A1558" s="1" t="s">
        <v>18</v>
      </c>
      <c r="B1558" s="2">
        <v>201804</v>
      </c>
      <c r="C1558" s="2">
        <v>202001</v>
      </c>
      <c r="D1558" s="10">
        <v>55191.413759048504</v>
      </c>
      <c r="E1558" s="10">
        <v>681049.66168444813</v>
      </c>
      <c r="F1558" s="1">
        <v>37</v>
      </c>
      <c r="G1558" s="1">
        <v>2702</v>
      </c>
      <c r="H1558">
        <f t="shared" si="72"/>
        <v>2018</v>
      </c>
      <c r="I1558">
        <f t="shared" si="73"/>
        <v>2020</v>
      </c>
      <c r="J1558" s="7">
        <f t="shared" si="74"/>
        <v>736241.07544349669</v>
      </c>
      <c r="K1558" s="7"/>
    </row>
    <row r="1559" spans="1:11" x14ac:dyDescent="0.25">
      <c r="A1559" s="1" t="s">
        <v>18</v>
      </c>
      <c r="B1559" s="2">
        <v>201804</v>
      </c>
      <c r="C1559" s="2">
        <v>202002</v>
      </c>
      <c r="D1559" s="10">
        <v>36348.148509579172</v>
      </c>
      <c r="E1559" s="10">
        <v>606685.80779606546</v>
      </c>
      <c r="F1559" s="1">
        <v>21</v>
      </c>
      <c r="G1559" s="1">
        <v>2221</v>
      </c>
      <c r="H1559">
        <f t="shared" si="72"/>
        <v>2018</v>
      </c>
      <c r="I1559">
        <f t="shared" si="73"/>
        <v>2020</v>
      </c>
      <c r="J1559" s="7">
        <f t="shared" si="74"/>
        <v>643033.95630564459</v>
      </c>
      <c r="K1559" s="7"/>
    </row>
    <row r="1560" spans="1:11" x14ac:dyDescent="0.25">
      <c r="A1560" s="1" t="s">
        <v>18</v>
      </c>
      <c r="B1560" s="2">
        <v>201804</v>
      </c>
      <c r="C1560" s="2">
        <v>202003</v>
      </c>
      <c r="D1560" s="10">
        <v>21691.974969795519</v>
      </c>
      <c r="E1560" s="10">
        <v>554715.30559200991</v>
      </c>
      <c r="F1560" s="1">
        <v>32</v>
      </c>
      <c r="G1560" s="1">
        <v>1972</v>
      </c>
      <c r="H1560">
        <f t="shared" si="72"/>
        <v>2018</v>
      </c>
      <c r="I1560">
        <f t="shared" si="73"/>
        <v>2020</v>
      </c>
      <c r="J1560" s="7">
        <f t="shared" si="74"/>
        <v>576407.28056180547</v>
      </c>
      <c r="K1560" s="7"/>
    </row>
    <row r="1561" spans="1:11" x14ac:dyDescent="0.25">
      <c r="A1561" s="1" t="s">
        <v>18</v>
      </c>
      <c r="B1561" s="2">
        <v>201804</v>
      </c>
      <c r="C1561" s="2">
        <v>202004</v>
      </c>
      <c r="D1561" s="10">
        <v>23288.01225158542</v>
      </c>
      <c r="E1561" s="10">
        <v>543694.32387773029</v>
      </c>
      <c r="F1561" s="1">
        <v>13</v>
      </c>
      <c r="G1561" s="1">
        <v>1639</v>
      </c>
      <c r="H1561">
        <f t="shared" si="72"/>
        <v>2018</v>
      </c>
      <c r="I1561">
        <f t="shared" si="73"/>
        <v>2020</v>
      </c>
      <c r="J1561" s="7">
        <f t="shared" si="74"/>
        <v>566982.33612931566</v>
      </c>
      <c r="K1561" s="7"/>
    </row>
    <row r="1562" spans="1:11" x14ac:dyDescent="0.25">
      <c r="A1562" s="1" t="s">
        <v>18</v>
      </c>
      <c r="B1562" s="2">
        <v>201804</v>
      </c>
      <c r="C1562" s="2">
        <v>202101</v>
      </c>
      <c r="D1562" s="10">
        <v>21964.672672618366</v>
      </c>
      <c r="E1562" s="10">
        <v>551820.35850207915</v>
      </c>
      <c r="F1562" s="1">
        <v>5</v>
      </c>
      <c r="G1562" s="1">
        <v>1267</v>
      </c>
      <c r="H1562">
        <f t="shared" si="72"/>
        <v>2018</v>
      </c>
      <c r="I1562">
        <f t="shared" si="73"/>
        <v>2021</v>
      </c>
      <c r="J1562" s="7">
        <f t="shared" si="74"/>
        <v>573785.03117469756</v>
      </c>
      <c r="K1562" s="7"/>
    </row>
    <row r="1563" spans="1:11" x14ac:dyDescent="0.25">
      <c r="A1563" s="1" t="s">
        <v>18</v>
      </c>
      <c r="B1563" s="2">
        <v>201804</v>
      </c>
      <c r="C1563" s="2">
        <v>202102</v>
      </c>
      <c r="D1563" s="10">
        <v>15548.768892757496</v>
      </c>
      <c r="E1563" s="10">
        <v>547050.22703469847</v>
      </c>
      <c r="F1563" s="1">
        <v>10</v>
      </c>
      <c r="G1563" s="1">
        <v>1007</v>
      </c>
      <c r="H1563">
        <f t="shared" si="72"/>
        <v>2018</v>
      </c>
      <c r="I1563">
        <f t="shared" si="73"/>
        <v>2021</v>
      </c>
      <c r="J1563" s="7">
        <f t="shared" si="74"/>
        <v>562598.99592745595</v>
      </c>
      <c r="K1563" s="7"/>
    </row>
    <row r="1564" spans="1:11" x14ac:dyDescent="0.25">
      <c r="A1564" s="1" t="s">
        <v>18</v>
      </c>
      <c r="B1564" s="2">
        <v>201804</v>
      </c>
      <c r="C1564" s="2">
        <v>202103</v>
      </c>
      <c r="D1564" s="10">
        <v>5359.4431473069944</v>
      </c>
      <c r="E1564" s="10">
        <v>546903.29761547153</v>
      </c>
      <c r="F1564" s="1">
        <v>5</v>
      </c>
      <c r="G1564" s="1">
        <v>916</v>
      </c>
      <c r="H1564">
        <f t="shared" si="72"/>
        <v>2018</v>
      </c>
      <c r="I1564">
        <f t="shared" si="73"/>
        <v>2021</v>
      </c>
      <c r="J1564" s="7">
        <f t="shared" si="74"/>
        <v>552262.74076277856</v>
      </c>
      <c r="K1564" s="7"/>
    </row>
    <row r="1565" spans="1:11" x14ac:dyDescent="0.25">
      <c r="A1565" s="1" t="s">
        <v>18</v>
      </c>
      <c r="B1565" s="2">
        <v>201804</v>
      </c>
      <c r="C1565" s="2">
        <v>202104</v>
      </c>
      <c r="D1565" s="10">
        <v>14526.600372446095</v>
      </c>
      <c r="E1565" s="10">
        <v>389394.55237659474</v>
      </c>
      <c r="F1565" s="1">
        <v>3</v>
      </c>
      <c r="G1565" s="1">
        <v>763</v>
      </c>
      <c r="H1565">
        <f t="shared" si="72"/>
        <v>2018</v>
      </c>
      <c r="I1565">
        <f t="shared" si="73"/>
        <v>2021</v>
      </c>
      <c r="J1565" s="7">
        <f t="shared" si="74"/>
        <v>403921.15274904086</v>
      </c>
      <c r="K1565" s="7"/>
    </row>
    <row r="1566" spans="1:11" x14ac:dyDescent="0.25">
      <c r="A1566" s="1" t="s">
        <v>18</v>
      </c>
      <c r="B1566" s="2">
        <v>201901</v>
      </c>
      <c r="C1566" s="2">
        <v>201901</v>
      </c>
      <c r="D1566" s="10">
        <v>681016.48822115199</v>
      </c>
      <c r="E1566" s="10">
        <v>1191461.5898999549</v>
      </c>
      <c r="F1566" s="1">
        <v>13148</v>
      </c>
      <c r="G1566" s="1">
        <v>7157</v>
      </c>
      <c r="H1566">
        <f t="shared" si="72"/>
        <v>2019</v>
      </c>
      <c r="I1566">
        <f t="shared" si="73"/>
        <v>2019</v>
      </c>
      <c r="J1566" s="7">
        <f t="shared" si="74"/>
        <v>1872478.0781211068</v>
      </c>
      <c r="K1566" s="7"/>
    </row>
    <row r="1567" spans="1:11" x14ac:dyDescent="0.25">
      <c r="A1567" s="1" t="s">
        <v>18</v>
      </c>
      <c r="B1567" s="2">
        <v>201901</v>
      </c>
      <c r="C1567" s="2">
        <v>201902</v>
      </c>
      <c r="D1567" s="10">
        <v>582420.96764239273</v>
      </c>
      <c r="E1567" s="10">
        <v>931132.37199517526</v>
      </c>
      <c r="F1567" s="1">
        <v>1882</v>
      </c>
      <c r="G1567" s="1">
        <v>4930</v>
      </c>
      <c r="H1567">
        <f t="shared" si="72"/>
        <v>2019</v>
      </c>
      <c r="I1567">
        <f t="shared" si="73"/>
        <v>2019</v>
      </c>
      <c r="J1567" s="7">
        <f t="shared" si="74"/>
        <v>1513553.339637568</v>
      </c>
      <c r="K1567" s="7"/>
    </row>
    <row r="1568" spans="1:11" x14ac:dyDescent="0.25">
      <c r="A1568" s="1" t="s">
        <v>18</v>
      </c>
      <c r="B1568" s="2">
        <v>201901</v>
      </c>
      <c r="C1568" s="2">
        <v>201903</v>
      </c>
      <c r="D1568" s="10">
        <v>343353.08499983163</v>
      </c>
      <c r="E1568" s="10">
        <v>803096.95066108636</v>
      </c>
      <c r="F1568" s="1">
        <v>269</v>
      </c>
      <c r="G1568" s="1">
        <v>3856</v>
      </c>
      <c r="H1568">
        <f t="shared" si="72"/>
        <v>2019</v>
      </c>
      <c r="I1568">
        <f t="shared" si="73"/>
        <v>2019</v>
      </c>
      <c r="J1568" s="7">
        <f t="shared" si="74"/>
        <v>1146450.0356609179</v>
      </c>
      <c r="K1568" s="7"/>
    </row>
    <row r="1569" spans="1:11" x14ac:dyDescent="0.25">
      <c r="A1569" s="1" t="s">
        <v>18</v>
      </c>
      <c r="B1569" s="2">
        <v>201901</v>
      </c>
      <c r="C1569" s="2">
        <v>201904</v>
      </c>
      <c r="D1569" s="10">
        <v>275248.16790360759</v>
      </c>
      <c r="E1569" s="10">
        <v>720742.35514364578</v>
      </c>
      <c r="F1569" s="1">
        <v>123</v>
      </c>
      <c r="G1569" s="1">
        <v>3115</v>
      </c>
      <c r="H1569">
        <f t="shared" si="72"/>
        <v>2019</v>
      </c>
      <c r="I1569">
        <f t="shared" si="73"/>
        <v>2019</v>
      </c>
      <c r="J1569" s="7">
        <f t="shared" si="74"/>
        <v>995990.52304725337</v>
      </c>
      <c r="K1569" s="7"/>
    </row>
    <row r="1570" spans="1:11" x14ac:dyDescent="0.25">
      <c r="A1570" s="1" t="s">
        <v>18</v>
      </c>
      <c r="B1570" s="2">
        <v>201901</v>
      </c>
      <c r="C1570" s="2">
        <v>202001</v>
      </c>
      <c r="D1570" s="10">
        <v>175280.11538652758</v>
      </c>
      <c r="E1570" s="10">
        <v>592325.95763723238</v>
      </c>
      <c r="F1570" s="1">
        <v>141</v>
      </c>
      <c r="G1570" s="1">
        <v>2487</v>
      </c>
      <c r="H1570">
        <f t="shared" si="72"/>
        <v>2019</v>
      </c>
      <c r="I1570">
        <f t="shared" si="73"/>
        <v>2020</v>
      </c>
      <c r="J1570" s="7">
        <f t="shared" si="74"/>
        <v>767606.07302375999</v>
      </c>
      <c r="K1570" s="7"/>
    </row>
    <row r="1571" spans="1:11" x14ac:dyDescent="0.25">
      <c r="A1571" s="1" t="s">
        <v>18</v>
      </c>
      <c r="B1571" s="2">
        <v>201901</v>
      </c>
      <c r="C1571" s="2">
        <v>202002</v>
      </c>
      <c r="D1571" s="10">
        <v>68670.124258620199</v>
      </c>
      <c r="E1571" s="10">
        <v>537970.00312560366</v>
      </c>
      <c r="F1571" s="1">
        <v>47</v>
      </c>
      <c r="G1571" s="1">
        <v>2084</v>
      </c>
      <c r="H1571">
        <f t="shared" si="72"/>
        <v>2019</v>
      </c>
      <c r="I1571">
        <f t="shared" si="73"/>
        <v>2020</v>
      </c>
      <c r="J1571" s="7">
        <f t="shared" si="74"/>
        <v>606640.12738422386</v>
      </c>
      <c r="K1571" s="7"/>
    </row>
    <row r="1572" spans="1:11" x14ac:dyDescent="0.25">
      <c r="A1572" s="1" t="s">
        <v>18</v>
      </c>
      <c r="B1572" s="2">
        <v>201901</v>
      </c>
      <c r="C1572" s="2">
        <v>202003</v>
      </c>
      <c r="D1572" s="10">
        <v>52525.048498731863</v>
      </c>
      <c r="E1572" s="10">
        <v>474111.5245578835</v>
      </c>
      <c r="F1572" s="1">
        <v>19</v>
      </c>
      <c r="G1572" s="1">
        <v>1802</v>
      </c>
      <c r="H1572">
        <f t="shared" si="72"/>
        <v>2019</v>
      </c>
      <c r="I1572">
        <f t="shared" si="73"/>
        <v>2020</v>
      </c>
      <c r="J1572" s="7">
        <f t="shared" si="74"/>
        <v>526636.57305661542</v>
      </c>
      <c r="K1572" s="7"/>
    </row>
    <row r="1573" spans="1:11" x14ac:dyDescent="0.25">
      <c r="A1573" s="1" t="s">
        <v>18</v>
      </c>
      <c r="B1573" s="2">
        <v>201901</v>
      </c>
      <c r="C1573" s="2">
        <v>202004</v>
      </c>
      <c r="D1573" s="10">
        <v>38766.354093989423</v>
      </c>
      <c r="E1573" s="10">
        <v>419048.95442327525</v>
      </c>
      <c r="F1573" s="1">
        <v>15</v>
      </c>
      <c r="G1573" s="1">
        <v>1562</v>
      </c>
      <c r="H1573">
        <f t="shared" si="72"/>
        <v>2019</v>
      </c>
      <c r="I1573">
        <f t="shared" si="73"/>
        <v>2020</v>
      </c>
      <c r="J1573" s="7">
        <f t="shared" si="74"/>
        <v>457815.30851726467</v>
      </c>
      <c r="K1573" s="7"/>
    </row>
    <row r="1574" spans="1:11" x14ac:dyDescent="0.25">
      <c r="A1574" s="1" t="s">
        <v>18</v>
      </c>
      <c r="B1574" s="2">
        <v>201901</v>
      </c>
      <c r="C1574" s="2">
        <v>202101</v>
      </c>
      <c r="D1574" s="10">
        <v>32728.502888002138</v>
      </c>
      <c r="E1574" s="10">
        <v>419787.74111337756</v>
      </c>
      <c r="F1574" s="1">
        <v>15</v>
      </c>
      <c r="G1574" s="1">
        <v>1055</v>
      </c>
      <c r="H1574">
        <f t="shared" si="72"/>
        <v>2019</v>
      </c>
      <c r="I1574">
        <f t="shared" si="73"/>
        <v>2021</v>
      </c>
      <c r="J1574" s="7">
        <f t="shared" si="74"/>
        <v>452516.2440013797</v>
      </c>
      <c r="K1574" s="7"/>
    </row>
    <row r="1575" spans="1:11" x14ac:dyDescent="0.25">
      <c r="A1575" s="1" t="s">
        <v>18</v>
      </c>
      <c r="B1575" s="2">
        <v>201901</v>
      </c>
      <c r="C1575" s="2">
        <v>202102</v>
      </c>
      <c r="D1575" s="10">
        <v>18570.318504732622</v>
      </c>
      <c r="E1575" s="10">
        <v>429559.77330289583</v>
      </c>
      <c r="F1575" s="1">
        <v>6</v>
      </c>
      <c r="G1575" s="1">
        <v>943</v>
      </c>
      <c r="H1575">
        <f t="shared" si="72"/>
        <v>2019</v>
      </c>
      <c r="I1575">
        <f t="shared" si="73"/>
        <v>2021</v>
      </c>
      <c r="J1575" s="7">
        <f t="shared" si="74"/>
        <v>448130.09180762846</v>
      </c>
      <c r="K1575" s="7"/>
    </row>
    <row r="1576" spans="1:11" x14ac:dyDescent="0.25">
      <c r="A1576" s="1" t="s">
        <v>18</v>
      </c>
      <c r="B1576" s="2">
        <v>201901</v>
      </c>
      <c r="C1576" s="2">
        <v>202103</v>
      </c>
      <c r="D1576" s="10">
        <v>17393.239189138072</v>
      </c>
      <c r="E1576" s="10">
        <v>426853.66350802704</v>
      </c>
      <c r="F1576" s="1">
        <v>9</v>
      </c>
      <c r="G1576" s="1">
        <v>909</v>
      </c>
      <c r="H1576">
        <f t="shared" si="72"/>
        <v>2019</v>
      </c>
      <c r="I1576">
        <f t="shared" si="73"/>
        <v>2021</v>
      </c>
      <c r="J1576" s="7">
        <f t="shared" si="74"/>
        <v>444246.90269716509</v>
      </c>
      <c r="K1576" s="7"/>
    </row>
    <row r="1577" spans="1:11" x14ac:dyDescent="0.25">
      <c r="A1577" s="1" t="s">
        <v>18</v>
      </c>
      <c r="B1577" s="2">
        <v>201901</v>
      </c>
      <c r="C1577" s="2">
        <v>202104</v>
      </c>
      <c r="D1577" s="10">
        <v>17666.768962971331</v>
      </c>
      <c r="E1577" s="10">
        <v>247783.5594027419</v>
      </c>
      <c r="F1577" s="1">
        <v>5</v>
      </c>
      <c r="G1577" s="1">
        <v>698</v>
      </c>
      <c r="H1577">
        <f t="shared" si="72"/>
        <v>2019</v>
      </c>
      <c r="I1577">
        <f t="shared" si="73"/>
        <v>2021</v>
      </c>
      <c r="J1577" s="7">
        <f t="shared" si="74"/>
        <v>265450.32836571324</v>
      </c>
      <c r="K1577" s="7"/>
    </row>
    <row r="1578" spans="1:11" x14ac:dyDescent="0.25">
      <c r="A1578" s="1" t="s">
        <v>18</v>
      </c>
      <c r="B1578" s="2">
        <v>201902</v>
      </c>
      <c r="C1578" s="2">
        <v>201902</v>
      </c>
      <c r="D1578" s="10">
        <v>624930.37557198107</v>
      </c>
      <c r="E1578" s="10">
        <v>1489731.5281611537</v>
      </c>
      <c r="F1578" s="1">
        <v>14390</v>
      </c>
      <c r="G1578" s="1">
        <v>8859</v>
      </c>
      <c r="H1578">
        <f t="shared" si="72"/>
        <v>2019</v>
      </c>
      <c r="I1578">
        <f t="shared" si="73"/>
        <v>2019</v>
      </c>
      <c r="J1578" s="7">
        <f t="shared" si="74"/>
        <v>2114661.9037331347</v>
      </c>
      <c r="K1578" s="7"/>
    </row>
    <row r="1579" spans="1:11" x14ac:dyDescent="0.25">
      <c r="A1579" s="1" t="s">
        <v>18</v>
      </c>
      <c r="B1579" s="2">
        <v>201902</v>
      </c>
      <c r="C1579" s="2">
        <v>201903</v>
      </c>
      <c r="D1579" s="10">
        <v>717327.40132635133</v>
      </c>
      <c r="E1579" s="10">
        <v>1223426.6435811478</v>
      </c>
      <c r="F1579" s="1">
        <v>2441</v>
      </c>
      <c r="G1579" s="1">
        <v>5862</v>
      </c>
      <c r="H1579">
        <f t="shared" si="72"/>
        <v>2019</v>
      </c>
      <c r="I1579">
        <f t="shared" si="73"/>
        <v>2019</v>
      </c>
      <c r="J1579" s="7">
        <f t="shared" si="74"/>
        <v>1940754.0449074991</v>
      </c>
      <c r="K1579" s="7"/>
    </row>
    <row r="1580" spans="1:11" x14ac:dyDescent="0.25">
      <c r="A1580" s="1" t="s">
        <v>18</v>
      </c>
      <c r="B1580" s="2">
        <v>201902</v>
      </c>
      <c r="C1580" s="2">
        <v>201904</v>
      </c>
      <c r="D1580" s="10">
        <v>199179.55178435022</v>
      </c>
      <c r="E1580" s="10">
        <v>1084384.7682528507</v>
      </c>
      <c r="F1580" s="1">
        <v>322</v>
      </c>
      <c r="G1580" s="1">
        <v>4439</v>
      </c>
      <c r="H1580">
        <f t="shared" si="72"/>
        <v>2019</v>
      </c>
      <c r="I1580">
        <f t="shared" si="73"/>
        <v>2019</v>
      </c>
      <c r="J1580" s="7">
        <f t="shared" si="74"/>
        <v>1283564.320037201</v>
      </c>
      <c r="K1580" s="7"/>
    </row>
    <row r="1581" spans="1:11" x14ac:dyDescent="0.25">
      <c r="A1581" s="1" t="s">
        <v>18</v>
      </c>
      <c r="B1581" s="2">
        <v>201902</v>
      </c>
      <c r="C1581" s="2">
        <v>202001</v>
      </c>
      <c r="D1581" s="10">
        <v>124674.95601894996</v>
      </c>
      <c r="E1581" s="10">
        <v>903790.65430928615</v>
      </c>
      <c r="F1581" s="1">
        <v>150</v>
      </c>
      <c r="G1581" s="1">
        <v>3612</v>
      </c>
      <c r="H1581">
        <f t="shared" si="72"/>
        <v>2019</v>
      </c>
      <c r="I1581">
        <f t="shared" si="73"/>
        <v>2020</v>
      </c>
      <c r="J1581" s="7">
        <f t="shared" si="74"/>
        <v>1028465.6103282361</v>
      </c>
      <c r="K1581" s="7"/>
    </row>
    <row r="1582" spans="1:11" x14ac:dyDescent="0.25">
      <c r="A1582" s="1" t="s">
        <v>18</v>
      </c>
      <c r="B1582" s="2">
        <v>201902</v>
      </c>
      <c r="C1582" s="2">
        <v>202002</v>
      </c>
      <c r="D1582" s="10">
        <v>83631.647434050828</v>
      </c>
      <c r="E1582" s="10">
        <v>801529.94046699791</v>
      </c>
      <c r="F1582" s="1">
        <v>81</v>
      </c>
      <c r="G1582" s="1">
        <v>2927</v>
      </c>
      <c r="H1582">
        <f t="shared" si="72"/>
        <v>2019</v>
      </c>
      <c r="I1582">
        <f t="shared" si="73"/>
        <v>2020</v>
      </c>
      <c r="J1582" s="7">
        <f t="shared" si="74"/>
        <v>885161.58790104871</v>
      </c>
      <c r="K1582" s="7"/>
    </row>
    <row r="1583" spans="1:11" x14ac:dyDescent="0.25">
      <c r="A1583" s="1" t="s">
        <v>18</v>
      </c>
      <c r="B1583" s="2">
        <v>201902</v>
      </c>
      <c r="C1583" s="2">
        <v>202003</v>
      </c>
      <c r="D1583" s="10">
        <v>59005.014195772288</v>
      </c>
      <c r="E1583" s="10">
        <v>715587.86446500348</v>
      </c>
      <c r="F1583" s="1">
        <v>56</v>
      </c>
      <c r="G1583" s="1">
        <v>2584</v>
      </c>
      <c r="H1583">
        <f t="shared" si="72"/>
        <v>2019</v>
      </c>
      <c r="I1583">
        <f t="shared" si="73"/>
        <v>2020</v>
      </c>
      <c r="J1583" s="7">
        <f t="shared" si="74"/>
        <v>774592.87866077572</v>
      </c>
      <c r="K1583" s="7"/>
    </row>
    <row r="1584" spans="1:11" x14ac:dyDescent="0.25">
      <c r="A1584" s="1" t="s">
        <v>18</v>
      </c>
      <c r="B1584" s="2">
        <v>201902</v>
      </c>
      <c r="C1584" s="2">
        <v>202004</v>
      </c>
      <c r="D1584" s="10">
        <v>46620.983782963376</v>
      </c>
      <c r="E1584" s="10">
        <v>640968.41848374554</v>
      </c>
      <c r="F1584" s="1">
        <v>36</v>
      </c>
      <c r="G1584" s="1">
        <v>2079</v>
      </c>
      <c r="H1584">
        <f t="shared" si="72"/>
        <v>2019</v>
      </c>
      <c r="I1584">
        <f t="shared" si="73"/>
        <v>2020</v>
      </c>
      <c r="J1584" s="7">
        <f t="shared" si="74"/>
        <v>687589.4022667089</v>
      </c>
      <c r="K1584" s="7"/>
    </row>
    <row r="1585" spans="1:11" x14ac:dyDescent="0.25">
      <c r="A1585" s="1" t="s">
        <v>18</v>
      </c>
      <c r="B1585" s="2">
        <v>201902</v>
      </c>
      <c r="C1585" s="2">
        <v>202101</v>
      </c>
      <c r="D1585" s="10">
        <v>30586.214361245206</v>
      </c>
      <c r="E1585" s="10">
        <v>652289.60362076154</v>
      </c>
      <c r="F1585" s="1">
        <v>18</v>
      </c>
      <c r="G1585" s="1">
        <v>1541</v>
      </c>
      <c r="H1585">
        <f t="shared" si="72"/>
        <v>2019</v>
      </c>
      <c r="I1585">
        <f t="shared" si="73"/>
        <v>2021</v>
      </c>
      <c r="J1585" s="7">
        <f t="shared" si="74"/>
        <v>682875.8179820067</v>
      </c>
      <c r="K1585" s="7"/>
    </row>
    <row r="1586" spans="1:11" x14ac:dyDescent="0.25">
      <c r="A1586" s="1" t="s">
        <v>18</v>
      </c>
      <c r="B1586" s="2">
        <v>201902</v>
      </c>
      <c r="C1586" s="2">
        <v>202102</v>
      </c>
      <c r="D1586" s="10">
        <v>70129.599978504266</v>
      </c>
      <c r="E1586" s="10">
        <v>643295.01072219305</v>
      </c>
      <c r="F1586" s="1">
        <v>11</v>
      </c>
      <c r="G1586" s="1">
        <v>1299</v>
      </c>
      <c r="H1586">
        <f t="shared" si="72"/>
        <v>2019</v>
      </c>
      <c r="I1586">
        <f t="shared" si="73"/>
        <v>2021</v>
      </c>
      <c r="J1586" s="7">
        <f t="shared" si="74"/>
        <v>713424.61070069729</v>
      </c>
      <c r="K1586" s="7"/>
    </row>
    <row r="1587" spans="1:11" x14ac:dyDescent="0.25">
      <c r="A1587" s="1" t="s">
        <v>18</v>
      </c>
      <c r="B1587" s="2">
        <v>201902</v>
      </c>
      <c r="C1587" s="2">
        <v>202103</v>
      </c>
      <c r="D1587" s="10">
        <v>19681.476582821448</v>
      </c>
      <c r="E1587" s="10">
        <v>659447.65336257592</v>
      </c>
      <c r="F1587" s="1">
        <v>5</v>
      </c>
      <c r="G1587" s="1">
        <v>1222</v>
      </c>
      <c r="H1587">
        <f t="shared" si="72"/>
        <v>2019</v>
      </c>
      <c r="I1587">
        <f t="shared" si="73"/>
        <v>2021</v>
      </c>
      <c r="J1587" s="7">
        <f t="shared" si="74"/>
        <v>679129.12994539738</v>
      </c>
      <c r="K1587" s="7"/>
    </row>
    <row r="1588" spans="1:11" x14ac:dyDescent="0.25">
      <c r="A1588" s="1" t="s">
        <v>18</v>
      </c>
      <c r="B1588" s="2">
        <v>201902</v>
      </c>
      <c r="C1588" s="2">
        <v>202104</v>
      </c>
      <c r="D1588" s="10">
        <v>10891.134995548042</v>
      </c>
      <c r="E1588" s="10">
        <v>442024.79078460607</v>
      </c>
      <c r="F1588" s="1">
        <v>8</v>
      </c>
      <c r="G1588" s="1">
        <v>1045</v>
      </c>
      <c r="H1588">
        <f t="shared" si="72"/>
        <v>2019</v>
      </c>
      <c r="I1588">
        <f t="shared" si="73"/>
        <v>2021</v>
      </c>
      <c r="J1588" s="7">
        <f t="shared" si="74"/>
        <v>452915.92578015412</v>
      </c>
      <c r="K1588" s="7"/>
    </row>
    <row r="1589" spans="1:11" x14ac:dyDescent="0.25">
      <c r="A1589" s="1" t="s">
        <v>18</v>
      </c>
      <c r="B1589" s="2">
        <v>201903</v>
      </c>
      <c r="C1589" s="2">
        <v>201903</v>
      </c>
      <c r="D1589" s="10">
        <v>633373.17523398891</v>
      </c>
      <c r="E1589" s="10">
        <v>1584157.8141813066</v>
      </c>
      <c r="F1589" s="1">
        <v>14856</v>
      </c>
      <c r="G1589" s="1">
        <v>9121</v>
      </c>
      <c r="H1589">
        <f t="shared" si="72"/>
        <v>2019</v>
      </c>
      <c r="I1589">
        <f t="shared" si="73"/>
        <v>2019</v>
      </c>
      <c r="J1589" s="7">
        <f t="shared" si="74"/>
        <v>2217530.9894152954</v>
      </c>
      <c r="K1589" s="7"/>
    </row>
    <row r="1590" spans="1:11" x14ac:dyDescent="0.25">
      <c r="A1590" s="1" t="s">
        <v>18</v>
      </c>
      <c r="B1590" s="2">
        <v>201903</v>
      </c>
      <c r="C1590" s="2">
        <v>201904</v>
      </c>
      <c r="D1590" s="10">
        <v>676875.92850576411</v>
      </c>
      <c r="E1590" s="10">
        <v>1241195.296298862</v>
      </c>
      <c r="F1590" s="1">
        <v>2385</v>
      </c>
      <c r="G1590" s="1">
        <v>6029</v>
      </c>
      <c r="H1590">
        <f t="shared" si="72"/>
        <v>2019</v>
      </c>
      <c r="I1590">
        <f t="shared" si="73"/>
        <v>2019</v>
      </c>
      <c r="J1590" s="7">
        <f t="shared" si="74"/>
        <v>1918071.2248046261</v>
      </c>
      <c r="K1590" s="7"/>
    </row>
    <row r="1591" spans="1:11" x14ac:dyDescent="0.25">
      <c r="A1591" s="1" t="s">
        <v>18</v>
      </c>
      <c r="B1591" s="2">
        <v>201903</v>
      </c>
      <c r="C1591" s="2">
        <v>202001</v>
      </c>
      <c r="D1591" s="10">
        <v>234259.55047382388</v>
      </c>
      <c r="E1591" s="10">
        <v>1037883.5776162363</v>
      </c>
      <c r="F1591" s="1">
        <v>337</v>
      </c>
      <c r="G1591" s="1">
        <v>4317</v>
      </c>
      <c r="H1591">
        <f t="shared" si="72"/>
        <v>2019</v>
      </c>
      <c r="I1591">
        <f t="shared" si="73"/>
        <v>2020</v>
      </c>
      <c r="J1591" s="7">
        <f t="shared" si="74"/>
        <v>1272143.1280900601</v>
      </c>
      <c r="K1591" s="7"/>
    </row>
    <row r="1592" spans="1:11" x14ac:dyDescent="0.25">
      <c r="A1592" s="1" t="s">
        <v>18</v>
      </c>
      <c r="B1592" s="2">
        <v>201903</v>
      </c>
      <c r="C1592" s="2">
        <v>202002</v>
      </c>
      <c r="D1592" s="10">
        <v>97606.713817234879</v>
      </c>
      <c r="E1592" s="10">
        <v>953765.22877313953</v>
      </c>
      <c r="F1592" s="1">
        <v>124</v>
      </c>
      <c r="G1592" s="1">
        <v>3643</v>
      </c>
      <c r="H1592">
        <f t="shared" si="72"/>
        <v>2019</v>
      </c>
      <c r="I1592">
        <f t="shared" si="73"/>
        <v>2020</v>
      </c>
      <c r="J1592" s="7">
        <f t="shared" si="74"/>
        <v>1051371.9425903745</v>
      </c>
      <c r="K1592" s="7"/>
    </row>
    <row r="1593" spans="1:11" x14ac:dyDescent="0.25">
      <c r="A1593" s="1" t="s">
        <v>18</v>
      </c>
      <c r="B1593" s="2">
        <v>201903</v>
      </c>
      <c r="C1593" s="2">
        <v>202003</v>
      </c>
      <c r="D1593" s="10">
        <v>80399.563618967441</v>
      </c>
      <c r="E1593" s="10">
        <v>872263.24427039362</v>
      </c>
      <c r="F1593" s="1">
        <v>81</v>
      </c>
      <c r="G1593" s="1">
        <v>3076</v>
      </c>
      <c r="H1593">
        <f t="shared" si="72"/>
        <v>2019</v>
      </c>
      <c r="I1593">
        <f t="shared" si="73"/>
        <v>2020</v>
      </c>
      <c r="J1593" s="7">
        <f t="shared" si="74"/>
        <v>952662.80788936105</v>
      </c>
      <c r="K1593" s="7"/>
    </row>
    <row r="1594" spans="1:11" x14ac:dyDescent="0.25">
      <c r="A1594" s="1" t="s">
        <v>18</v>
      </c>
      <c r="B1594" s="2">
        <v>201903</v>
      </c>
      <c r="C1594" s="2">
        <v>202004</v>
      </c>
      <c r="D1594" s="10">
        <v>70821.631757027528</v>
      </c>
      <c r="E1594" s="10">
        <v>791011.65722463618</v>
      </c>
      <c r="F1594" s="1">
        <v>42</v>
      </c>
      <c r="G1594" s="1">
        <v>2536</v>
      </c>
      <c r="H1594">
        <f t="shared" si="72"/>
        <v>2019</v>
      </c>
      <c r="I1594">
        <f t="shared" si="73"/>
        <v>2020</v>
      </c>
      <c r="J1594" s="7">
        <f t="shared" si="74"/>
        <v>861833.28898166376</v>
      </c>
      <c r="K1594" s="7"/>
    </row>
    <row r="1595" spans="1:11" x14ac:dyDescent="0.25">
      <c r="A1595" s="1" t="s">
        <v>18</v>
      </c>
      <c r="B1595" s="2">
        <v>201903</v>
      </c>
      <c r="C1595" s="2">
        <v>202101</v>
      </c>
      <c r="D1595" s="10">
        <v>50951.776981415278</v>
      </c>
      <c r="E1595" s="10">
        <v>796638.93952320109</v>
      </c>
      <c r="F1595" s="1">
        <v>17</v>
      </c>
      <c r="G1595" s="1">
        <v>1742</v>
      </c>
      <c r="H1595">
        <f t="shared" si="72"/>
        <v>2019</v>
      </c>
      <c r="I1595">
        <f t="shared" si="73"/>
        <v>2021</v>
      </c>
      <c r="J1595" s="7">
        <f t="shared" si="74"/>
        <v>847590.71650461631</v>
      </c>
      <c r="K1595" s="7"/>
    </row>
    <row r="1596" spans="1:11" x14ac:dyDescent="0.25">
      <c r="A1596" s="1" t="s">
        <v>18</v>
      </c>
      <c r="B1596" s="2">
        <v>201903</v>
      </c>
      <c r="C1596" s="2">
        <v>202102</v>
      </c>
      <c r="D1596" s="10">
        <v>52618.908207456814</v>
      </c>
      <c r="E1596" s="10">
        <v>801867.292633345</v>
      </c>
      <c r="F1596" s="1">
        <v>11</v>
      </c>
      <c r="G1596" s="1">
        <v>1532</v>
      </c>
      <c r="H1596">
        <f t="shared" si="72"/>
        <v>2019</v>
      </c>
      <c r="I1596">
        <f t="shared" si="73"/>
        <v>2021</v>
      </c>
      <c r="J1596" s="7">
        <f t="shared" si="74"/>
        <v>854486.20084080182</v>
      </c>
      <c r="K1596" s="7"/>
    </row>
    <row r="1597" spans="1:11" x14ac:dyDescent="0.25">
      <c r="A1597" s="1" t="s">
        <v>18</v>
      </c>
      <c r="B1597" s="2">
        <v>201903</v>
      </c>
      <c r="C1597" s="2">
        <v>202103</v>
      </c>
      <c r="D1597" s="10">
        <v>35303.681027955703</v>
      </c>
      <c r="E1597" s="10">
        <v>784626.96223633888</v>
      </c>
      <c r="F1597" s="1">
        <v>16</v>
      </c>
      <c r="G1597" s="1">
        <v>1408</v>
      </c>
      <c r="H1597">
        <f t="shared" si="72"/>
        <v>2019</v>
      </c>
      <c r="I1597">
        <f t="shared" si="73"/>
        <v>2021</v>
      </c>
      <c r="J1597" s="7">
        <f t="shared" si="74"/>
        <v>819930.6432642946</v>
      </c>
      <c r="K1597" s="7"/>
    </row>
    <row r="1598" spans="1:11" x14ac:dyDescent="0.25">
      <c r="A1598" s="1" t="s">
        <v>18</v>
      </c>
      <c r="B1598" s="2">
        <v>201903</v>
      </c>
      <c r="C1598" s="2">
        <v>202104</v>
      </c>
      <c r="D1598" s="10">
        <v>31249.451655713478</v>
      </c>
      <c r="E1598" s="10">
        <v>529396.23044160323</v>
      </c>
      <c r="F1598" s="1">
        <v>9</v>
      </c>
      <c r="G1598" s="1">
        <v>1207</v>
      </c>
      <c r="H1598">
        <f t="shared" si="72"/>
        <v>2019</v>
      </c>
      <c r="I1598">
        <f t="shared" si="73"/>
        <v>2021</v>
      </c>
      <c r="J1598" s="7">
        <f t="shared" si="74"/>
        <v>560645.68209731672</v>
      </c>
      <c r="K1598" s="7"/>
    </row>
    <row r="1599" spans="1:11" x14ac:dyDescent="0.25">
      <c r="A1599" s="1" t="s">
        <v>18</v>
      </c>
      <c r="B1599" s="2">
        <v>201904</v>
      </c>
      <c r="C1599" s="2">
        <v>201904</v>
      </c>
      <c r="D1599" s="10">
        <v>627949.88489179255</v>
      </c>
      <c r="E1599" s="10">
        <v>1451387.0990296253</v>
      </c>
      <c r="F1599" s="1">
        <v>14231</v>
      </c>
      <c r="G1599" s="1">
        <v>8981</v>
      </c>
      <c r="H1599">
        <f t="shared" si="72"/>
        <v>2019</v>
      </c>
      <c r="I1599">
        <f t="shared" si="73"/>
        <v>2019</v>
      </c>
      <c r="J1599" s="7">
        <f t="shared" si="74"/>
        <v>2079336.983921418</v>
      </c>
      <c r="K1599" s="7"/>
    </row>
    <row r="1600" spans="1:11" x14ac:dyDescent="0.25">
      <c r="A1600" s="1" t="s">
        <v>18</v>
      </c>
      <c r="B1600" s="2">
        <v>201904</v>
      </c>
      <c r="C1600" s="2">
        <v>202001</v>
      </c>
      <c r="D1600" s="10">
        <v>747090.69918520993</v>
      </c>
      <c r="E1600" s="10">
        <v>940104.40226378676</v>
      </c>
      <c r="F1600" s="1">
        <v>2514</v>
      </c>
      <c r="G1600" s="1">
        <v>5531</v>
      </c>
      <c r="H1600">
        <f t="shared" si="72"/>
        <v>2019</v>
      </c>
      <c r="I1600">
        <f t="shared" si="73"/>
        <v>2020</v>
      </c>
      <c r="J1600" s="7">
        <f t="shared" si="74"/>
        <v>1687195.1014489967</v>
      </c>
      <c r="K1600" s="7"/>
    </row>
    <row r="1601" spans="1:11" x14ac:dyDescent="0.25">
      <c r="A1601" s="1" t="s">
        <v>18</v>
      </c>
      <c r="B1601" s="2">
        <v>201904</v>
      </c>
      <c r="C1601" s="2">
        <v>202002</v>
      </c>
      <c r="D1601" s="10">
        <v>165777.50534965229</v>
      </c>
      <c r="E1601" s="10">
        <v>731032.76432591781</v>
      </c>
      <c r="F1601" s="1">
        <v>332</v>
      </c>
      <c r="G1601" s="1">
        <v>4083</v>
      </c>
      <c r="H1601">
        <f t="shared" si="72"/>
        <v>2019</v>
      </c>
      <c r="I1601">
        <f t="shared" si="73"/>
        <v>2020</v>
      </c>
      <c r="J1601" s="7">
        <f t="shared" si="74"/>
        <v>896810.26967557007</v>
      </c>
      <c r="K1601" s="7"/>
    </row>
    <row r="1602" spans="1:11" x14ac:dyDescent="0.25">
      <c r="A1602" s="1" t="s">
        <v>18</v>
      </c>
      <c r="B1602" s="2">
        <v>201904</v>
      </c>
      <c r="C1602" s="2">
        <v>202003</v>
      </c>
      <c r="D1602" s="10">
        <v>90820.308614334106</v>
      </c>
      <c r="E1602" s="10">
        <v>669941.25899848994</v>
      </c>
      <c r="F1602" s="1">
        <v>113</v>
      </c>
      <c r="G1602" s="1">
        <v>3420</v>
      </c>
      <c r="H1602">
        <f t="shared" si="72"/>
        <v>2019</v>
      </c>
      <c r="I1602">
        <f t="shared" si="73"/>
        <v>2020</v>
      </c>
      <c r="J1602" s="7">
        <f t="shared" si="74"/>
        <v>760761.56761282403</v>
      </c>
      <c r="K1602" s="7"/>
    </row>
    <row r="1603" spans="1:11" x14ac:dyDescent="0.25">
      <c r="A1603" s="1" t="s">
        <v>18</v>
      </c>
      <c r="B1603" s="2">
        <v>201904</v>
      </c>
      <c r="C1603" s="2">
        <v>202004</v>
      </c>
      <c r="D1603" s="10">
        <v>54645.208324901236</v>
      </c>
      <c r="E1603" s="10">
        <v>616633.22386156407</v>
      </c>
      <c r="F1603" s="1">
        <v>85</v>
      </c>
      <c r="G1603" s="1">
        <v>2783</v>
      </c>
      <c r="H1603">
        <f t="shared" si="72"/>
        <v>2019</v>
      </c>
      <c r="I1603">
        <f t="shared" si="73"/>
        <v>2020</v>
      </c>
      <c r="J1603" s="7">
        <f t="shared" si="74"/>
        <v>671278.43218646524</v>
      </c>
      <c r="K1603" s="7"/>
    </row>
    <row r="1604" spans="1:11" x14ac:dyDescent="0.25">
      <c r="A1604" s="1" t="s">
        <v>18</v>
      </c>
      <c r="B1604" s="2">
        <v>201904</v>
      </c>
      <c r="C1604" s="2">
        <v>202101</v>
      </c>
      <c r="D1604" s="10">
        <v>72567.440126510977</v>
      </c>
      <c r="E1604" s="10">
        <v>617110.74714514043</v>
      </c>
      <c r="F1604" s="1">
        <v>39</v>
      </c>
      <c r="G1604" s="1">
        <v>2040</v>
      </c>
      <c r="H1604">
        <f t="shared" ref="H1604:H1667" si="75">VALUE(LEFT(B1604,4))</f>
        <v>2019</v>
      </c>
      <c r="I1604">
        <f t="shared" ref="I1604:I1667" si="76">VALUE(LEFT(C1604,4))</f>
        <v>2021</v>
      </c>
      <c r="J1604" s="7">
        <f t="shared" si="74"/>
        <v>689678.18727165135</v>
      </c>
      <c r="K1604" s="7"/>
    </row>
    <row r="1605" spans="1:11" x14ac:dyDescent="0.25">
      <c r="A1605" s="1" t="s">
        <v>18</v>
      </c>
      <c r="B1605" s="2">
        <v>201904</v>
      </c>
      <c r="C1605" s="2">
        <v>202102</v>
      </c>
      <c r="D1605" s="10">
        <v>36874.587914810436</v>
      </c>
      <c r="E1605" s="10">
        <v>602814.67149693356</v>
      </c>
      <c r="F1605" s="1">
        <v>21</v>
      </c>
      <c r="G1605" s="1">
        <v>1712</v>
      </c>
      <c r="H1605">
        <f t="shared" si="75"/>
        <v>2019</v>
      </c>
      <c r="I1605">
        <f t="shared" si="76"/>
        <v>2021</v>
      </c>
      <c r="J1605" s="7">
        <f t="shared" ref="J1605:J1668" si="77">D1605+E1605</f>
        <v>639689.25941174396</v>
      </c>
      <c r="K1605" s="7"/>
    </row>
    <row r="1606" spans="1:11" x14ac:dyDescent="0.25">
      <c r="A1606" s="1" t="s">
        <v>18</v>
      </c>
      <c r="B1606" s="2">
        <v>201904</v>
      </c>
      <c r="C1606" s="2">
        <v>202103</v>
      </c>
      <c r="D1606" s="10">
        <v>12239.170252514972</v>
      </c>
      <c r="E1606" s="10">
        <v>607860.29415544786</v>
      </c>
      <c r="F1606" s="1">
        <v>13</v>
      </c>
      <c r="G1606" s="1">
        <v>1588</v>
      </c>
      <c r="H1606">
        <f t="shared" si="75"/>
        <v>2019</v>
      </c>
      <c r="I1606">
        <f t="shared" si="76"/>
        <v>2021</v>
      </c>
      <c r="J1606" s="7">
        <f t="shared" si="77"/>
        <v>620099.46440796286</v>
      </c>
      <c r="K1606" s="7"/>
    </row>
    <row r="1607" spans="1:11" x14ac:dyDescent="0.25">
      <c r="A1607" s="1" t="s">
        <v>18</v>
      </c>
      <c r="B1607" s="2">
        <v>201904</v>
      </c>
      <c r="C1607" s="2">
        <v>202104</v>
      </c>
      <c r="D1607" s="10">
        <v>4465.9512284496668</v>
      </c>
      <c r="E1607" s="10">
        <v>474368.01891095546</v>
      </c>
      <c r="F1607" s="1">
        <v>14</v>
      </c>
      <c r="G1607" s="1">
        <v>1339</v>
      </c>
      <c r="H1607">
        <f t="shared" si="75"/>
        <v>2019</v>
      </c>
      <c r="I1607">
        <f t="shared" si="76"/>
        <v>2021</v>
      </c>
      <c r="J1607" s="7">
        <f t="shared" si="77"/>
        <v>478833.97013940511</v>
      </c>
      <c r="K1607" s="7"/>
    </row>
    <row r="1608" spans="1:11" x14ac:dyDescent="0.25">
      <c r="A1608" s="1" t="s">
        <v>18</v>
      </c>
      <c r="B1608" s="2">
        <v>202001</v>
      </c>
      <c r="C1608" s="2">
        <v>202001</v>
      </c>
      <c r="D1608" s="10">
        <v>800207.23847788852</v>
      </c>
      <c r="E1608" s="10">
        <v>1367375.3213314102</v>
      </c>
      <c r="F1608" s="1">
        <v>14706</v>
      </c>
      <c r="G1608" s="1">
        <v>7885</v>
      </c>
      <c r="H1608">
        <f t="shared" si="75"/>
        <v>2020</v>
      </c>
      <c r="I1608">
        <f t="shared" si="76"/>
        <v>2020</v>
      </c>
      <c r="J1608" s="7">
        <f t="shared" si="77"/>
        <v>2167582.5598092987</v>
      </c>
      <c r="K1608" s="7"/>
    </row>
    <row r="1609" spans="1:11" x14ac:dyDescent="0.25">
      <c r="A1609" s="1" t="s">
        <v>18</v>
      </c>
      <c r="B1609" s="2">
        <v>202001</v>
      </c>
      <c r="C1609" s="2">
        <v>202002</v>
      </c>
      <c r="D1609" s="10">
        <v>701551.69898142316</v>
      </c>
      <c r="E1609" s="10">
        <v>1002261.5316921775</v>
      </c>
      <c r="F1609" s="1">
        <v>2268</v>
      </c>
      <c r="G1609" s="1">
        <v>5118</v>
      </c>
      <c r="H1609">
        <f t="shared" si="75"/>
        <v>2020</v>
      </c>
      <c r="I1609">
        <f t="shared" si="76"/>
        <v>2020</v>
      </c>
      <c r="J1609" s="7">
        <f t="shared" si="77"/>
        <v>1703813.2306736007</v>
      </c>
      <c r="K1609" s="7"/>
    </row>
    <row r="1610" spans="1:11" x14ac:dyDescent="0.25">
      <c r="A1610" s="1" t="s">
        <v>18</v>
      </c>
      <c r="B1610" s="2">
        <v>202001</v>
      </c>
      <c r="C1610" s="2">
        <v>202003</v>
      </c>
      <c r="D1610" s="10">
        <v>261899.47305231018</v>
      </c>
      <c r="E1610" s="10">
        <v>898620.62118645827</v>
      </c>
      <c r="F1610" s="1">
        <v>282</v>
      </c>
      <c r="G1610" s="1">
        <v>4031</v>
      </c>
      <c r="H1610">
        <f t="shared" si="75"/>
        <v>2020</v>
      </c>
      <c r="I1610">
        <f t="shared" si="76"/>
        <v>2020</v>
      </c>
      <c r="J1610" s="7">
        <f t="shared" si="77"/>
        <v>1160520.0942387683</v>
      </c>
      <c r="K1610" s="7"/>
    </row>
    <row r="1611" spans="1:11" x14ac:dyDescent="0.25">
      <c r="A1611" s="1" t="s">
        <v>18</v>
      </c>
      <c r="B1611" s="2">
        <v>202001</v>
      </c>
      <c r="C1611" s="2">
        <v>202004</v>
      </c>
      <c r="D1611" s="10">
        <v>233928.41995337515</v>
      </c>
      <c r="E1611" s="10">
        <v>806849.73777392099</v>
      </c>
      <c r="F1611" s="1">
        <v>134</v>
      </c>
      <c r="G1611" s="1">
        <v>3190</v>
      </c>
      <c r="H1611">
        <f t="shared" si="75"/>
        <v>2020</v>
      </c>
      <c r="I1611">
        <f t="shared" si="76"/>
        <v>2020</v>
      </c>
      <c r="J1611" s="7">
        <f t="shared" si="77"/>
        <v>1040778.1577272961</v>
      </c>
      <c r="K1611" s="7"/>
    </row>
    <row r="1612" spans="1:11" x14ac:dyDescent="0.25">
      <c r="A1612" s="1" t="s">
        <v>18</v>
      </c>
      <c r="B1612" s="2">
        <v>202001</v>
      </c>
      <c r="C1612" s="2">
        <v>202101</v>
      </c>
      <c r="D1612" s="10">
        <v>161067.83348830149</v>
      </c>
      <c r="E1612" s="10">
        <v>827348.05926998379</v>
      </c>
      <c r="F1612" s="1">
        <v>161</v>
      </c>
      <c r="G1612" s="1">
        <v>2487</v>
      </c>
      <c r="H1612">
        <f t="shared" si="75"/>
        <v>2020</v>
      </c>
      <c r="I1612">
        <f t="shared" si="76"/>
        <v>2021</v>
      </c>
      <c r="J1612" s="7">
        <f t="shared" si="77"/>
        <v>988415.89275828528</v>
      </c>
      <c r="K1612" s="7"/>
    </row>
    <row r="1613" spans="1:11" x14ac:dyDescent="0.25">
      <c r="A1613" s="1" t="s">
        <v>18</v>
      </c>
      <c r="B1613" s="2">
        <v>202001</v>
      </c>
      <c r="C1613" s="2">
        <v>202102</v>
      </c>
      <c r="D1613" s="10">
        <v>66741.86393223569</v>
      </c>
      <c r="E1613" s="10">
        <v>807547.18014890701</v>
      </c>
      <c r="F1613" s="1">
        <v>41</v>
      </c>
      <c r="G1613" s="1">
        <v>2050</v>
      </c>
      <c r="H1613">
        <f t="shared" si="75"/>
        <v>2020</v>
      </c>
      <c r="I1613">
        <f t="shared" si="76"/>
        <v>2021</v>
      </c>
      <c r="J1613" s="7">
        <f t="shared" si="77"/>
        <v>874289.04408114264</v>
      </c>
      <c r="K1613" s="7"/>
    </row>
    <row r="1614" spans="1:11" x14ac:dyDescent="0.25">
      <c r="A1614" s="1" t="s">
        <v>18</v>
      </c>
      <c r="B1614" s="2">
        <v>202001</v>
      </c>
      <c r="C1614" s="2">
        <v>202103</v>
      </c>
      <c r="D1614" s="10">
        <v>44135.357189982831</v>
      </c>
      <c r="E1614" s="10">
        <v>819538.39542716322</v>
      </c>
      <c r="F1614" s="1">
        <v>25</v>
      </c>
      <c r="G1614" s="1">
        <v>1796</v>
      </c>
      <c r="H1614">
        <f t="shared" si="75"/>
        <v>2020</v>
      </c>
      <c r="I1614">
        <f t="shared" si="76"/>
        <v>2021</v>
      </c>
      <c r="J1614" s="7">
        <f t="shared" si="77"/>
        <v>863673.752617146</v>
      </c>
      <c r="K1614" s="7"/>
    </row>
    <row r="1615" spans="1:11" x14ac:dyDescent="0.25">
      <c r="A1615" s="1" t="s">
        <v>18</v>
      </c>
      <c r="B1615" s="2">
        <v>202001</v>
      </c>
      <c r="C1615" s="2">
        <v>202104</v>
      </c>
      <c r="D1615" s="10">
        <v>30312.054346113135</v>
      </c>
      <c r="E1615" s="10">
        <v>604604.67839580111</v>
      </c>
      <c r="F1615" s="1">
        <v>10</v>
      </c>
      <c r="G1615" s="1">
        <v>1454</v>
      </c>
      <c r="H1615">
        <f t="shared" si="75"/>
        <v>2020</v>
      </c>
      <c r="I1615">
        <f t="shared" si="76"/>
        <v>2021</v>
      </c>
      <c r="J1615" s="7">
        <f t="shared" si="77"/>
        <v>634916.73274191422</v>
      </c>
      <c r="K1615" s="7"/>
    </row>
    <row r="1616" spans="1:11" x14ac:dyDescent="0.25">
      <c r="A1616" s="1" t="s">
        <v>18</v>
      </c>
      <c r="B1616" s="2">
        <v>202002</v>
      </c>
      <c r="C1616" s="2">
        <v>202002</v>
      </c>
      <c r="D1616" s="10">
        <v>606542.68253128079</v>
      </c>
      <c r="E1616" s="10">
        <v>1312712.6902764684</v>
      </c>
      <c r="F1616" s="1">
        <v>13923</v>
      </c>
      <c r="G1616" s="1">
        <v>8398</v>
      </c>
      <c r="H1616">
        <f t="shared" si="75"/>
        <v>2020</v>
      </c>
      <c r="I1616">
        <f t="shared" si="76"/>
        <v>2020</v>
      </c>
      <c r="J1616" s="7">
        <f t="shared" si="77"/>
        <v>1919255.3728077491</v>
      </c>
      <c r="K1616" s="7"/>
    </row>
    <row r="1617" spans="1:11" x14ac:dyDescent="0.25">
      <c r="A1617" s="1" t="s">
        <v>18</v>
      </c>
      <c r="B1617" s="2">
        <v>202002</v>
      </c>
      <c r="C1617" s="2">
        <v>202003</v>
      </c>
      <c r="D1617" s="10">
        <v>639106.62575212109</v>
      </c>
      <c r="E1617" s="10">
        <v>927917.3355935209</v>
      </c>
      <c r="F1617" s="1">
        <v>2356</v>
      </c>
      <c r="G1617" s="1">
        <v>5754</v>
      </c>
      <c r="H1617">
        <f t="shared" si="75"/>
        <v>2020</v>
      </c>
      <c r="I1617">
        <f t="shared" si="76"/>
        <v>2020</v>
      </c>
      <c r="J1617" s="7">
        <f t="shared" si="77"/>
        <v>1567023.9613456419</v>
      </c>
      <c r="K1617" s="7"/>
    </row>
    <row r="1618" spans="1:11" x14ac:dyDescent="0.25">
      <c r="A1618" s="1" t="s">
        <v>18</v>
      </c>
      <c r="B1618" s="2">
        <v>202002</v>
      </c>
      <c r="C1618" s="2">
        <v>202004</v>
      </c>
      <c r="D1618" s="10">
        <v>190230.48155651742</v>
      </c>
      <c r="E1618" s="10">
        <v>784839.82020663482</v>
      </c>
      <c r="F1618" s="1">
        <v>336</v>
      </c>
      <c r="G1618" s="1">
        <v>4174</v>
      </c>
      <c r="H1618">
        <f t="shared" si="75"/>
        <v>2020</v>
      </c>
      <c r="I1618">
        <f t="shared" si="76"/>
        <v>2020</v>
      </c>
      <c r="J1618" s="7">
        <f t="shared" si="77"/>
        <v>975070.30176315224</v>
      </c>
      <c r="K1618" s="7"/>
    </row>
    <row r="1619" spans="1:11" x14ac:dyDescent="0.25">
      <c r="A1619" s="1" t="s">
        <v>18</v>
      </c>
      <c r="B1619" s="2">
        <v>202002</v>
      </c>
      <c r="C1619" s="2">
        <v>202101</v>
      </c>
      <c r="D1619" s="10">
        <v>114840.78507956727</v>
      </c>
      <c r="E1619" s="10">
        <v>786552.96707816434</v>
      </c>
      <c r="F1619" s="1">
        <v>165</v>
      </c>
      <c r="G1619" s="1">
        <v>3273</v>
      </c>
      <c r="H1619">
        <f t="shared" si="75"/>
        <v>2020</v>
      </c>
      <c r="I1619">
        <f t="shared" si="76"/>
        <v>2021</v>
      </c>
      <c r="J1619" s="7">
        <f t="shared" si="77"/>
        <v>901393.75215773156</v>
      </c>
      <c r="K1619" s="7"/>
    </row>
    <row r="1620" spans="1:11" x14ac:dyDescent="0.25">
      <c r="A1620" s="1" t="s">
        <v>18</v>
      </c>
      <c r="B1620" s="2">
        <v>202002</v>
      </c>
      <c r="C1620" s="2">
        <v>202102</v>
      </c>
      <c r="D1620" s="10">
        <v>54583.168890361339</v>
      </c>
      <c r="E1620" s="10">
        <v>780551.06543227471</v>
      </c>
      <c r="F1620" s="1">
        <v>70</v>
      </c>
      <c r="G1620" s="1">
        <v>2696</v>
      </c>
      <c r="H1620">
        <f t="shared" si="75"/>
        <v>2020</v>
      </c>
      <c r="I1620">
        <f t="shared" si="76"/>
        <v>2021</v>
      </c>
      <c r="J1620" s="7">
        <f t="shared" si="77"/>
        <v>835134.23432263604</v>
      </c>
      <c r="K1620" s="7"/>
    </row>
    <row r="1621" spans="1:11" x14ac:dyDescent="0.25">
      <c r="A1621" s="1" t="s">
        <v>18</v>
      </c>
      <c r="B1621" s="2">
        <v>202002</v>
      </c>
      <c r="C1621" s="2">
        <v>202103</v>
      </c>
      <c r="D1621" s="10">
        <v>42135.98953188536</v>
      </c>
      <c r="E1621" s="10">
        <v>779605.32748684543</v>
      </c>
      <c r="F1621" s="1">
        <v>35</v>
      </c>
      <c r="G1621" s="1">
        <v>2213</v>
      </c>
      <c r="H1621">
        <f t="shared" si="75"/>
        <v>2020</v>
      </c>
      <c r="I1621">
        <f t="shared" si="76"/>
        <v>2021</v>
      </c>
      <c r="J1621" s="7">
        <f t="shared" si="77"/>
        <v>821741.3170187308</v>
      </c>
      <c r="K1621" s="7"/>
    </row>
    <row r="1622" spans="1:11" x14ac:dyDescent="0.25">
      <c r="A1622" s="1" t="s">
        <v>18</v>
      </c>
      <c r="B1622" s="2">
        <v>202002</v>
      </c>
      <c r="C1622" s="2">
        <v>202104</v>
      </c>
      <c r="D1622" s="10">
        <v>32455.120465747899</v>
      </c>
      <c r="E1622" s="10">
        <v>465245.52855020727</v>
      </c>
      <c r="F1622" s="1">
        <v>22</v>
      </c>
      <c r="G1622" s="1">
        <v>1776</v>
      </c>
      <c r="H1622">
        <f t="shared" si="75"/>
        <v>2020</v>
      </c>
      <c r="I1622">
        <f t="shared" si="76"/>
        <v>2021</v>
      </c>
      <c r="J1622" s="7">
        <f t="shared" si="77"/>
        <v>497700.64901595516</v>
      </c>
      <c r="K1622" s="7"/>
    </row>
    <row r="1623" spans="1:11" x14ac:dyDescent="0.25">
      <c r="A1623" s="1" t="s">
        <v>18</v>
      </c>
      <c r="B1623" s="2">
        <v>202003</v>
      </c>
      <c r="C1623" s="2">
        <v>202003</v>
      </c>
      <c r="D1623" s="10">
        <v>582109.89854291908</v>
      </c>
      <c r="E1623" s="10">
        <v>1408541.6217907052</v>
      </c>
      <c r="F1623" s="1">
        <v>13665</v>
      </c>
      <c r="G1623" s="1">
        <v>8379</v>
      </c>
      <c r="H1623">
        <f t="shared" si="75"/>
        <v>2020</v>
      </c>
      <c r="I1623">
        <f t="shared" si="76"/>
        <v>2020</v>
      </c>
      <c r="J1623" s="7">
        <f t="shared" si="77"/>
        <v>1990651.5203336244</v>
      </c>
      <c r="K1623" s="7"/>
    </row>
    <row r="1624" spans="1:11" x14ac:dyDescent="0.25">
      <c r="A1624" s="1" t="s">
        <v>18</v>
      </c>
      <c r="B1624" s="2">
        <v>202003</v>
      </c>
      <c r="C1624" s="2">
        <v>202004</v>
      </c>
      <c r="D1624" s="10">
        <v>667864.63126203069</v>
      </c>
      <c r="E1624" s="10">
        <v>1054756.4800337206</v>
      </c>
      <c r="F1624" s="1">
        <v>2379</v>
      </c>
      <c r="G1624" s="1">
        <v>5253</v>
      </c>
      <c r="H1624">
        <f t="shared" si="75"/>
        <v>2020</v>
      </c>
      <c r="I1624">
        <f t="shared" si="76"/>
        <v>2020</v>
      </c>
      <c r="J1624" s="7">
        <f t="shared" si="77"/>
        <v>1722621.1112957513</v>
      </c>
      <c r="K1624" s="7"/>
    </row>
    <row r="1625" spans="1:11" x14ac:dyDescent="0.25">
      <c r="A1625" s="1" t="s">
        <v>18</v>
      </c>
      <c r="B1625" s="2">
        <v>202003</v>
      </c>
      <c r="C1625" s="2">
        <v>202101</v>
      </c>
      <c r="D1625" s="10">
        <v>230802.60090560321</v>
      </c>
      <c r="E1625" s="10">
        <v>1064067.2024565251</v>
      </c>
      <c r="F1625" s="1">
        <v>273</v>
      </c>
      <c r="G1625" s="1">
        <v>4007</v>
      </c>
      <c r="H1625">
        <f t="shared" si="75"/>
        <v>2020</v>
      </c>
      <c r="I1625">
        <f t="shared" si="76"/>
        <v>2021</v>
      </c>
      <c r="J1625" s="7">
        <f t="shared" si="77"/>
        <v>1294869.8033621283</v>
      </c>
      <c r="K1625" s="7"/>
    </row>
    <row r="1626" spans="1:11" x14ac:dyDescent="0.25">
      <c r="A1626" s="1" t="s">
        <v>18</v>
      </c>
      <c r="B1626" s="2">
        <v>202003</v>
      </c>
      <c r="C1626" s="2">
        <v>202102</v>
      </c>
      <c r="D1626" s="10">
        <v>120145.48380911829</v>
      </c>
      <c r="E1626" s="10">
        <v>1067464.2248193836</v>
      </c>
      <c r="F1626" s="1">
        <v>115</v>
      </c>
      <c r="G1626" s="1">
        <v>3215</v>
      </c>
      <c r="H1626">
        <f t="shared" si="75"/>
        <v>2020</v>
      </c>
      <c r="I1626">
        <f t="shared" si="76"/>
        <v>2021</v>
      </c>
      <c r="J1626" s="7">
        <f t="shared" si="77"/>
        <v>1187609.708628502</v>
      </c>
      <c r="K1626" s="7"/>
    </row>
    <row r="1627" spans="1:11" x14ac:dyDescent="0.25">
      <c r="A1627" s="1" t="s">
        <v>18</v>
      </c>
      <c r="B1627" s="2">
        <v>202003</v>
      </c>
      <c r="C1627" s="2">
        <v>202103</v>
      </c>
      <c r="D1627" s="10">
        <v>57285.85017822613</v>
      </c>
      <c r="E1627" s="10">
        <v>1065637.9373693534</v>
      </c>
      <c r="F1627" s="1">
        <v>68</v>
      </c>
      <c r="G1627" s="1">
        <v>2603</v>
      </c>
      <c r="H1627">
        <f t="shared" si="75"/>
        <v>2020</v>
      </c>
      <c r="I1627">
        <f t="shared" si="76"/>
        <v>2021</v>
      </c>
      <c r="J1627" s="7">
        <f t="shared" si="77"/>
        <v>1122923.7875475795</v>
      </c>
      <c r="K1627" s="7"/>
    </row>
    <row r="1628" spans="1:11" x14ac:dyDescent="0.25">
      <c r="A1628" s="1" t="s">
        <v>18</v>
      </c>
      <c r="B1628" s="2">
        <v>202003</v>
      </c>
      <c r="C1628" s="2">
        <v>202104</v>
      </c>
      <c r="D1628" s="10">
        <v>42034.599742350045</v>
      </c>
      <c r="E1628" s="10">
        <v>543776.91435816488</v>
      </c>
      <c r="F1628" s="1">
        <v>34</v>
      </c>
      <c r="G1628" s="1">
        <v>2210</v>
      </c>
      <c r="H1628">
        <f t="shared" si="75"/>
        <v>2020</v>
      </c>
      <c r="I1628">
        <f t="shared" si="76"/>
        <v>2021</v>
      </c>
      <c r="J1628" s="7">
        <f t="shared" si="77"/>
        <v>585811.51410051493</v>
      </c>
      <c r="K1628" s="7"/>
    </row>
    <row r="1629" spans="1:11" x14ac:dyDescent="0.25">
      <c r="A1629" s="1" t="s">
        <v>18</v>
      </c>
      <c r="B1629" s="2">
        <v>202004</v>
      </c>
      <c r="C1629" s="2">
        <v>202004</v>
      </c>
      <c r="D1629" s="10">
        <v>627574.3604563215</v>
      </c>
      <c r="E1629" s="10">
        <v>1428971.2029566376</v>
      </c>
      <c r="F1629" s="1">
        <v>14454</v>
      </c>
      <c r="G1629" s="1">
        <v>8877</v>
      </c>
      <c r="H1629">
        <f t="shared" si="75"/>
        <v>2020</v>
      </c>
      <c r="I1629">
        <f t="shared" si="76"/>
        <v>2020</v>
      </c>
      <c r="J1629" s="7">
        <f t="shared" si="77"/>
        <v>2056545.5634129592</v>
      </c>
      <c r="K1629" s="7"/>
    </row>
    <row r="1630" spans="1:11" x14ac:dyDescent="0.25">
      <c r="A1630" s="1" t="s">
        <v>18</v>
      </c>
      <c r="B1630" s="2">
        <v>202004</v>
      </c>
      <c r="C1630" s="2">
        <v>202101</v>
      </c>
      <c r="D1630" s="10">
        <v>745776.53620821715</v>
      </c>
      <c r="E1630" s="10">
        <v>1423501.5311066674</v>
      </c>
      <c r="F1630" s="1">
        <v>2681</v>
      </c>
      <c r="G1630" s="1">
        <v>5484</v>
      </c>
      <c r="H1630">
        <f t="shared" si="75"/>
        <v>2020</v>
      </c>
      <c r="I1630">
        <f t="shared" si="76"/>
        <v>2021</v>
      </c>
      <c r="J1630" s="7">
        <f t="shared" si="77"/>
        <v>2169278.0673148846</v>
      </c>
      <c r="K1630" s="7"/>
    </row>
    <row r="1631" spans="1:11" x14ac:dyDescent="0.25">
      <c r="A1631" s="1" t="s">
        <v>18</v>
      </c>
      <c r="B1631" s="2">
        <v>202004</v>
      </c>
      <c r="C1631" s="2">
        <v>202102</v>
      </c>
      <c r="D1631" s="10">
        <v>174191.60196223971</v>
      </c>
      <c r="E1631" s="10">
        <v>1396021.308521997</v>
      </c>
      <c r="F1631" s="1">
        <v>337</v>
      </c>
      <c r="G1631" s="1">
        <v>4050</v>
      </c>
      <c r="H1631">
        <f t="shared" si="75"/>
        <v>2020</v>
      </c>
      <c r="I1631">
        <f t="shared" si="76"/>
        <v>2021</v>
      </c>
      <c r="J1631" s="7">
        <f t="shared" si="77"/>
        <v>1570212.9104842367</v>
      </c>
      <c r="K1631" s="7"/>
    </row>
    <row r="1632" spans="1:11" x14ac:dyDescent="0.25">
      <c r="A1632" s="1" t="s">
        <v>18</v>
      </c>
      <c r="B1632" s="2">
        <v>202004</v>
      </c>
      <c r="C1632" s="2">
        <v>202103</v>
      </c>
      <c r="D1632" s="10">
        <v>101599.70266493291</v>
      </c>
      <c r="E1632" s="10">
        <v>1417944.6821855111</v>
      </c>
      <c r="F1632" s="1">
        <v>143</v>
      </c>
      <c r="G1632" s="1">
        <v>3281</v>
      </c>
      <c r="H1632">
        <f t="shared" si="75"/>
        <v>2020</v>
      </c>
      <c r="I1632">
        <f t="shared" si="76"/>
        <v>2021</v>
      </c>
      <c r="J1632" s="7">
        <f t="shared" si="77"/>
        <v>1519544.384850444</v>
      </c>
      <c r="K1632" s="7"/>
    </row>
    <row r="1633" spans="1:11" x14ac:dyDescent="0.25">
      <c r="A1633" s="1" t="s">
        <v>18</v>
      </c>
      <c r="B1633" s="2">
        <v>202004</v>
      </c>
      <c r="C1633" s="2">
        <v>202104</v>
      </c>
      <c r="D1633" s="10">
        <v>54752.875539274166</v>
      </c>
      <c r="E1633" s="10">
        <v>486174.57975068531</v>
      </c>
      <c r="F1633" s="1">
        <v>72</v>
      </c>
      <c r="G1633" s="1">
        <v>2623</v>
      </c>
      <c r="H1633">
        <f t="shared" si="75"/>
        <v>2020</v>
      </c>
      <c r="I1633">
        <f t="shared" si="76"/>
        <v>2021</v>
      </c>
      <c r="J1633" s="7">
        <f t="shared" si="77"/>
        <v>540927.45528995944</v>
      </c>
      <c r="K1633" s="7"/>
    </row>
    <row r="1634" spans="1:11" x14ac:dyDescent="0.25">
      <c r="A1634" s="1" t="s">
        <v>18</v>
      </c>
      <c r="B1634" s="2">
        <v>202101</v>
      </c>
      <c r="C1634" s="2">
        <v>202101</v>
      </c>
      <c r="D1634" s="10">
        <v>742247.23794321495</v>
      </c>
      <c r="E1634" s="10">
        <v>0</v>
      </c>
      <c r="F1634" s="1">
        <v>13874</v>
      </c>
      <c r="G1634" s="1">
        <v>7718</v>
      </c>
      <c r="H1634">
        <f t="shared" si="75"/>
        <v>2021</v>
      </c>
      <c r="I1634">
        <f t="shared" si="76"/>
        <v>2021</v>
      </c>
      <c r="J1634" s="7">
        <f t="shared" si="77"/>
        <v>742247.23794321495</v>
      </c>
      <c r="K1634" s="7"/>
    </row>
    <row r="1635" spans="1:11" x14ac:dyDescent="0.25">
      <c r="A1635" s="1" t="s">
        <v>18</v>
      </c>
      <c r="B1635" s="2">
        <v>202101</v>
      </c>
      <c r="C1635" s="2">
        <v>202102</v>
      </c>
      <c r="D1635" s="10">
        <v>731566.40875178925</v>
      </c>
      <c r="E1635" s="10">
        <v>0</v>
      </c>
      <c r="F1635" s="1">
        <v>2328</v>
      </c>
      <c r="G1635" s="1">
        <v>4884</v>
      </c>
      <c r="H1635">
        <f t="shared" si="75"/>
        <v>2021</v>
      </c>
      <c r="I1635">
        <f t="shared" si="76"/>
        <v>2021</v>
      </c>
      <c r="J1635" s="7">
        <f t="shared" si="77"/>
        <v>731566.40875178925</v>
      </c>
      <c r="K1635" s="7"/>
    </row>
    <row r="1636" spans="1:11" x14ac:dyDescent="0.25">
      <c r="A1636" s="1" t="s">
        <v>18</v>
      </c>
      <c r="B1636" s="2">
        <v>202101</v>
      </c>
      <c r="C1636" s="2">
        <v>202103</v>
      </c>
      <c r="D1636" s="10">
        <v>328151.28388471931</v>
      </c>
      <c r="E1636" s="10">
        <v>0</v>
      </c>
      <c r="F1636" s="1">
        <v>357</v>
      </c>
      <c r="G1636" s="1">
        <v>3744</v>
      </c>
      <c r="H1636">
        <f t="shared" si="75"/>
        <v>2021</v>
      </c>
      <c r="I1636">
        <f t="shared" si="76"/>
        <v>2021</v>
      </c>
      <c r="J1636" s="7">
        <f t="shared" si="77"/>
        <v>328151.28388471931</v>
      </c>
      <c r="K1636" s="7"/>
    </row>
    <row r="1637" spans="1:11" x14ac:dyDescent="0.25">
      <c r="A1637" s="1" t="s">
        <v>18</v>
      </c>
      <c r="B1637" s="2">
        <v>202101</v>
      </c>
      <c r="C1637" s="2">
        <v>202104</v>
      </c>
      <c r="D1637" s="10">
        <v>152725.73786100012</v>
      </c>
      <c r="E1637" s="10">
        <v>570444.23837474291</v>
      </c>
      <c r="F1637" s="1">
        <v>115</v>
      </c>
      <c r="G1637" s="1">
        <v>2980</v>
      </c>
      <c r="H1637">
        <f t="shared" si="75"/>
        <v>2021</v>
      </c>
      <c r="I1637">
        <f t="shared" si="76"/>
        <v>2021</v>
      </c>
      <c r="J1637" s="7">
        <f t="shared" si="77"/>
        <v>723169.97623574303</v>
      </c>
      <c r="K1637" s="7"/>
    </row>
    <row r="1638" spans="1:11" x14ac:dyDescent="0.25">
      <c r="A1638" s="1" t="s">
        <v>18</v>
      </c>
      <c r="B1638" s="2">
        <v>202102</v>
      </c>
      <c r="C1638" s="2">
        <v>202102</v>
      </c>
      <c r="D1638" s="10">
        <v>555887.72680696333</v>
      </c>
      <c r="E1638" s="10">
        <v>0</v>
      </c>
      <c r="F1638" s="1">
        <v>13741</v>
      </c>
      <c r="G1638" s="1">
        <v>8488</v>
      </c>
      <c r="H1638">
        <f t="shared" si="75"/>
        <v>2021</v>
      </c>
      <c r="I1638">
        <f t="shared" si="76"/>
        <v>2021</v>
      </c>
      <c r="J1638" s="7">
        <f t="shared" si="77"/>
        <v>555887.72680696333</v>
      </c>
      <c r="K1638" s="7"/>
    </row>
    <row r="1639" spans="1:11" x14ac:dyDescent="0.25">
      <c r="A1639" s="1" t="s">
        <v>18</v>
      </c>
      <c r="B1639" s="2">
        <v>202102</v>
      </c>
      <c r="C1639" s="2">
        <v>202103</v>
      </c>
      <c r="D1639" s="10">
        <v>713109.61368322058</v>
      </c>
      <c r="E1639" s="10">
        <v>0</v>
      </c>
      <c r="F1639" s="1">
        <v>2365</v>
      </c>
      <c r="G1639" s="1">
        <v>5518</v>
      </c>
      <c r="H1639">
        <f t="shared" si="75"/>
        <v>2021</v>
      </c>
      <c r="I1639">
        <f t="shared" si="76"/>
        <v>2021</v>
      </c>
      <c r="J1639" s="7">
        <f t="shared" si="77"/>
        <v>713109.61368322058</v>
      </c>
      <c r="K1639" s="7"/>
    </row>
    <row r="1640" spans="1:11" x14ac:dyDescent="0.25">
      <c r="A1640" s="1" t="s">
        <v>18</v>
      </c>
      <c r="B1640" s="2">
        <v>202102</v>
      </c>
      <c r="C1640" s="2">
        <v>202104</v>
      </c>
      <c r="D1640" s="10">
        <v>185864.91457790133</v>
      </c>
      <c r="E1640" s="10">
        <v>793211.50110120373</v>
      </c>
      <c r="F1640" s="1">
        <v>312</v>
      </c>
      <c r="G1640" s="1">
        <v>4044</v>
      </c>
      <c r="H1640">
        <f t="shared" si="75"/>
        <v>2021</v>
      </c>
      <c r="I1640">
        <f t="shared" si="76"/>
        <v>2021</v>
      </c>
      <c r="J1640" s="7">
        <f t="shared" si="77"/>
        <v>979076.41567910509</v>
      </c>
      <c r="K1640" s="7"/>
    </row>
    <row r="1641" spans="1:11" x14ac:dyDescent="0.25">
      <c r="A1641" s="1" t="s">
        <v>18</v>
      </c>
      <c r="B1641" s="2">
        <v>202103</v>
      </c>
      <c r="C1641" s="2">
        <v>202103</v>
      </c>
      <c r="D1641" s="10">
        <v>638334.31664880656</v>
      </c>
      <c r="E1641" s="10">
        <v>0</v>
      </c>
      <c r="F1641" s="1">
        <v>13914</v>
      </c>
      <c r="G1641" s="1">
        <v>8473</v>
      </c>
      <c r="H1641">
        <f t="shared" si="75"/>
        <v>2021</v>
      </c>
      <c r="I1641">
        <f t="shared" si="76"/>
        <v>2021</v>
      </c>
      <c r="J1641" s="7">
        <f t="shared" si="77"/>
        <v>638334.31664880656</v>
      </c>
      <c r="K1641" s="7"/>
    </row>
    <row r="1642" spans="1:11" x14ac:dyDescent="0.25">
      <c r="A1642" s="1" t="s">
        <v>18</v>
      </c>
      <c r="B1642" s="2">
        <v>202103</v>
      </c>
      <c r="C1642" s="2">
        <v>202104</v>
      </c>
      <c r="D1642" s="10">
        <v>635367.73996333906</v>
      </c>
      <c r="E1642" s="10">
        <v>963811.78730487067</v>
      </c>
      <c r="F1642" s="1">
        <v>2211</v>
      </c>
      <c r="G1642" s="1">
        <v>5469</v>
      </c>
      <c r="H1642">
        <f t="shared" si="75"/>
        <v>2021</v>
      </c>
      <c r="I1642">
        <f t="shared" si="76"/>
        <v>2021</v>
      </c>
      <c r="J1642" s="7">
        <f t="shared" si="77"/>
        <v>1599179.5272682097</v>
      </c>
      <c r="K1642" s="7"/>
    </row>
    <row r="1643" spans="1:11" x14ac:dyDescent="0.25">
      <c r="A1643" s="1" t="s">
        <v>18</v>
      </c>
      <c r="B1643" s="2">
        <v>202104</v>
      </c>
      <c r="C1643" s="2">
        <v>202104</v>
      </c>
      <c r="D1643" s="10">
        <v>616395.8611130733</v>
      </c>
      <c r="E1643" s="10">
        <v>1384675.9439158828</v>
      </c>
      <c r="F1643" s="1">
        <v>13380</v>
      </c>
      <c r="G1643" s="1">
        <v>8361</v>
      </c>
      <c r="H1643">
        <f t="shared" si="75"/>
        <v>2021</v>
      </c>
      <c r="I1643">
        <f t="shared" si="76"/>
        <v>2021</v>
      </c>
      <c r="J1643" s="7">
        <f t="shared" si="77"/>
        <v>2001071.8050289562</v>
      </c>
      <c r="K1643" s="7"/>
    </row>
    <row r="1644" spans="1:11" x14ac:dyDescent="0.25">
      <c r="A1644" s="1" t="s">
        <v>19</v>
      </c>
      <c r="B1644" s="2">
        <v>201201</v>
      </c>
      <c r="C1644" s="2">
        <v>201201</v>
      </c>
      <c r="D1644" s="10">
        <v>649648.73098740575</v>
      </c>
      <c r="E1644" s="10">
        <v>444924.79256746167</v>
      </c>
      <c r="F1644" s="1">
        <v>15152</v>
      </c>
      <c r="G1644" s="1">
        <v>5699</v>
      </c>
      <c r="H1644">
        <f t="shared" si="75"/>
        <v>2012</v>
      </c>
      <c r="I1644">
        <f t="shared" si="76"/>
        <v>2012</v>
      </c>
      <c r="J1644" s="7">
        <f t="shared" si="77"/>
        <v>1094573.5235548674</v>
      </c>
      <c r="K1644" s="7"/>
    </row>
    <row r="1645" spans="1:11" x14ac:dyDescent="0.25">
      <c r="A1645" s="1" t="s">
        <v>19</v>
      </c>
      <c r="B1645" s="2">
        <v>201201</v>
      </c>
      <c r="C1645" s="2">
        <v>201202</v>
      </c>
      <c r="D1645" s="10">
        <v>663947.59819268726</v>
      </c>
      <c r="E1645" s="10">
        <v>192023.92620139627</v>
      </c>
      <c r="F1645" s="1">
        <v>4951</v>
      </c>
      <c r="G1645" s="1">
        <v>2889</v>
      </c>
      <c r="H1645">
        <f t="shared" si="75"/>
        <v>2012</v>
      </c>
      <c r="I1645">
        <f t="shared" si="76"/>
        <v>2012</v>
      </c>
      <c r="J1645" s="7">
        <f t="shared" si="77"/>
        <v>855971.52439408354</v>
      </c>
      <c r="K1645" s="7"/>
    </row>
    <row r="1646" spans="1:11" x14ac:dyDescent="0.25">
      <c r="A1646" s="1" t="s">
        <v>19</v>
      </c>
      <c r="B1646" s="2">
        <v>201201</v>
      </c>
      <c r="C1646" s="2">
        <v>201203</v>
      </c>
      <c r="D1646" s="10">
        <v>243378.74345327512</v>
      </c>
      <c r="E1646" s="10">
        <v>121468.92373193163</v>
      </c>
      <c r="F1646" s="1">
        <v>749</v>
      </c>
      <c r="G1646" s="1">
        <v>1981</v>
      </c>
      <c r="H1646">
        <f t="shared" si="75"/>
        <v>2012</v>
      </c>
      <c r="I1646">
        <f t="shared" si="76"/>
        <v>2012</v>
      </c>
      <c r="J1646" s="7">
        <f t="shared" si="77"/>
        <v>364847.66718520678</v>
      </c>
      <c r="K1646" s="7"/>
    </row>
    <row r="1647" spans="1:11" x14ac:dyDescent="0.25">
      <c r="A1647" s="1" t="s">
        <v>19</v>
      </c>
      <c r="B1647" s="2">
        <v>201201</v>
      </c>
      <c r="C1647" s="2">
        <v>201204</v>
      </c>
      <c r="D1647" s="10">
        <v>215470.77953649283</v>
      </c>
      <c r="E1647" s="10">
        <v>118841.58863490396</v>
      </c>
      <c r="F1647" s="1">
        <v>234</v>
      </c>
      <c r="G1647" s="1">
        <v>1583</v>
      </c>
      <c r="H1647">
        <f t="shared" si="75"/>
        <v>2012</v>
      </c>
      <c r="I1647">
        <f t="shared" si="76"/>
        <v>2012</v>
      </c>
      <c r="J1647" s="7">
        <f t="shared" si="77"/>
        <v>334312.36817139678</v>
      </c>
      <c r="K1647" s="7"/>
    </row>
    <row r="1648" spans="1:11" x14ac:dyDescent="0.25">
      <c r="A1648" s="1" t="s">
        <v>19</v>
      </c>
      <c r="B1648" s="2">
        <v>201201</v>
      </c>
      <c r="C1648" s="2">
        <v>201301</v>
      </c>
      <c r="D1648" s="10">
        <v>96267.869897828583</v>
      </c>
      <c r="E1648" s="10">
        <v>75993.555957728968</v>
      </c>
      <c r="F1648" s="1">
        <v>146</v>
      </c>
      <c r="G1648" s="1">
        <v>1331</v>
      </c>
      <c r="H1648">
        <f t="shared" si="75"/>
        <v>2012</v>
      </c>
      <c r="I1648">
        <f t="shared" si="76"/>
        <v>2013</v>
      </c>
      <c r="J1648" s="7">
        <f t="shared" si="77"/>
        <v>172261.42585555755</v>
      </c>
      <c r="K1648" s="7"/>
    </row>
    <row r="1649" spans="1:11" x14ac:dyDescent="0.25">
      <c r="A1649" s="1" t="s">
        <v>19</v>
      </c>
      <c r="B1649" s="2">
        <v>201201</v>
      </c>
      <c r="C1649" s="2">
        <v>201302</v>
      </c>
      <c r="D1649" s="10">
        <v>23213.015143651486</v>
      </c>
      <c r="E1649" s="10">
        <v>58888.968850554855</v>
      </c>
      <c r="F1649" s="1">
        <v>65</v>
      </c>
      <c r="G1649" s="1">
        <v>1056</v>
      </c>
      <c r="H1649">
        <f t="shared" si="75"/>
        <v>2012</v>
      </c>
      <c r="I1649">
        <f t="shared" si="76"/>
        <v>2013</v>
      </c>
      <c r="J1649" s="7">
        <f t="shared" si="77"/>
        <v>82101.983994206341</v>
      </c>
      <c r="K1649" s="7"/>
    </row>
    <row r="1650" spans="1:11" x14ac:dyDescent="0.25">
      <c r="A1650" s="1" t="s">
        <v>19</v>
      </c>
      <c r="B1650" s="2">
        <v>201201</v>
      </c>
      <c r="C1650" s="2">
        <v>201303</v>
      </c>
      <c r="D1650" s="10">
        <v>9727.2122355788397</v>
      </c>
      <c r="E1650" s="10">
        <v>45076.727535248174</v>
      </c>
      <c r="F1650" s="1">
        <v>38</v>
      </c>
      <c r="G1650" s="1">
        <v>915</v>
      </c>
      <c r="H1650">
        <f t="shared" si="75"/>
        <v>2012</v>
      </c>
      <c r="I1650">
        <f t="shared" si="76"/>
        <v>2013</v>
      </c>
      <c r="J1650" s="7">
        <f t="shared" si="77"/>
        <v>54803.939770827012</v>
      </c>
      <c r="K1650" s="7"/>
    </row>
    <row r="1651" spans="1:11" x14ac:dyDescent="0.25">
      <c r="A1651" s="1" t="s">
        <v>19</v>
      </c>
      <c r="B1651" s="2">
        <v>201201</v>
      </c>
      <c r="C1651" s="2">
        <v>201304</v>
      </c>
      <c r="D1651" s="10">
        <v>4119.4974679269044</v>
      </c>
      <c r="E1651" s="10">
        <v>49338.304192938049</v>
      </c>
      <c r="F1651" s="1">
        <v>20</v>
      </c>
      <c r="G1651" s="1">
        <v>768</v>
      </c>
      <c r="H1651">
        <f t="shared" si="75"/>
        <v>2012</v>
      </c>
      <c r="I1651">
        <f t="shared" si="76"/>
        <v>2013</v>
      </c>
      <c r="J1651" s="7">
        <f t="shared" si="77"/>
        <v>53457.801660864956</v>
      </c>
      <c r="K1651" s="7"/>
    </row>
    <row r="1652" spans="1:11" x14ac:dyDescent="0.25">
      <c r="A1652" s="1" t="s">
        <v>19</v>
      </c>
      <c r="B1652" s="2">
        <v>201201</v>
      </c>
      <c r="C1652" s="2">
        <v>201401</v>
      </c>
      <c r="D1652" s="10">
        <v>1758.8967164033099</v>
      </c>
      <c r="E1652" s="10">
        <v>34177.095334426442</v>
      </c>
      <c r="F1652" s="1">
        <v>22</v>
      </c>
      <c r="G1652" s="1">
        <v>633</v>
      </c>
      <c r="H1652">
        <f t="shared" si="75"/>
        <v>2012</v>
      </c>
      <c r="I1652">
        <f t="shared" si="76"/>
        <v>2014</v>
      </c>
      <c r="J1652" s="7">
        <f t="shared" si="77"/>
        <v>35935.992050829751</v>
      </c>
      <c r="K1652" s="7"/>
    </row>
    <row r="1653" spans="1:11" x14ac:dyDescent="0.25">
      <c r="A1653" s="1" t="s">
        <v>19</v>
      </c>
      <c r="B1653" s="2">
        <v>201201</v>
      </c>
      <c r="C1653" s="2">
        <v>201402</v>
      </c>
      <c r="D1653" s="10">
        <v>747.5128780368351</v>
      </c>
      <c r="E1653" s="10">
        <v>30646.140318130554</v>
      </c>
      <c r="F1653" s="1">
        <v>12</v>
      </c>
      <c r="G1653" s="1">
        <v>567</v>
      </c>
      <c r="H1653">
        <f t="shared" si="75"/>
        <v>2012</v>
      </c>
      <c r="I1653">
        <f t="shared" si="76"/>
        <v>2014</v>
      </c>
      <c r="J1653" s="7">
        <f t="shared" si="77"/>
        <v>31393.65319616739</v>
      </c>
      <c r="K1653" s="7"/>
    </row>
    <row r="1654" spans="1:11" x14ac:dyDescent="0.25">
      <c r="A1654" s="1" t="s">
        <v>19</v>
      </c>
      <c r="B1654" s="2">
        <v>201201</v>
      </c>
      <c r="C1654" s="2">
        <v>201403</v>
      </c>
      <c r="D1654" s="10">
        <v>2609.4388786970308</v>
      </c>
      <c r="E1654" s="10">
        <v>27929.066280778217</v>
      </c>
      <c r="F1654" s="1">
        <v>23</v>
      </c>
      <c r="G1654" s="1">
        <v>513</v>
      </c>
      <c r="H1654">
        <f t="shared" si="75"/>
        <v>2012</v>
      </c>
      <c r="I1654">
        <f t="shared" si="76"/>
        <v>2014</v>
      </c>
      <c r="J1654" s="7">
        <f t="shared" si="77"/>
        <v>30538.505159475248</v>
      </c>
      <c r="K1654" s="7"/>
    </row>
    <row r="1655" spans="1:11" x14ac:dyDescent="0.25">
      <c r="A1655" s="1" t="s">
        <v>19</v>
      </c>
      <c r="B1655" s="2">
        <v>201201</v>
      </c>
      <c r="C1655" s="2">
        <v>201404</v>
      </c>
      <c r="D1655" s="10">
        <v>-731.96340593456921</v>
      </c>
      <c r="E1655" s="10">
        <v>28118.172263160013</v>
      </c>
      <c r="F1655" s="1">
        <v>8</v>
      </c>
      <c r="G1655" s="1">
        <v>396</v>
      </c>
      <c r="H1655">
        <f t="shared" si="75"/>
        <v>2012</v>
      </c>
      <c r="I1655">
        <f t="shared" si="76"/>
        <v>2014</v>
      </c>
      <c r="J1655" s="7">
        <f t="shared" si="77"/>
        <v>27386.208857225443</v>
      </c>
      <c r="K1655" s="7"/>
    </row>
    <row r="1656" spans="1:11" x14ac:dyDescent="0.25">
      <c r="A1656" s="1" t="s">
        <v>19</v>
      </c>
      <c r="B1656" s="2">
        <v>201201</v>
      </c>
      <c r="C1656" s="2">
        <v>201501</v>
      </c>
      <c r="D1656" s="10">
        <v>1710.6092051588191</v>
      </c>
      <c r="E1656" s="10">
        <v>16518.722043824695</v>
      </c>
      <c r="F1656" s="1">
        <v>3</v>
      </c>
      <c r="G1656" s="1">
        <v>328</v>
      </c>
      <c r="H1656">
        <f t="shared" si="75"/>
        <v>2012</v>
      </c>
      <c r="I1656">
        <f t="shared" si="76"/>
        <v>2015</v>
      </c>
      <c r="J1656" s="7">
        <f t="shared" si="77"/>
        <v>18229.331248983515</v>
      </c>
      <c r="K1656" s="7"/>
    </row>
    <row r="1657" spans="1:11" x14ac:dyDescent="0.25">
      <c r="A1657" s="1" t="s">
        <v>19</v>
      </c>
      <c r="B1657" s="2">
        <v>201201</v>
      </c>
      <c r="C1657" s="2">
        <v>201502</v>
      </c>
      <c r="D1657" s="10">
        <v>374.87951629536178</v>
      </c>
      <c r="E1657" s="10">
        <v>12862.28533401093</v>
      </c>
      <c r="F1657" s="1">
        <v>0</v>
      </c>
      <c r="G1657" s="1">
        <v>286</v>
      </c>
      <c r="H1657">
        <f t="shared" si="75"/>
        <v>2012</v>
      </c>
      <c r="I1657">
        <f t="shared" si="76"/>
        <v>2015</v>
      </c>
      <c r="J1657" s="7">
        <f t="shared" si="77"/>
        <v>13237.164850306292</v>
      </c>
      <c r="K1657" s="7"/>
    </row>
    <row r="1658" spans="1:11" x14ac:dyDescent="0.25">
      <c r="A1658" s="1" t="s">
        <v>19</v>
      </c>
      <c r="B1658" s="2">
        <v>201201</v>
      </c>
      <c r="C1658" s="2">
        <v>201503</v>
      </c>
      <c r="D1658" s="10">
        <v>107.9658537460478</v>
      </c>
      <c r="E1658" s="10">
        <v>11723.720819408461</v>
      </c>
      <c r="F1658" s="1">
        <v>1</v>
      </c>
      <c r="G1658" s="1">
        <v>259</v>
      </c>
      <c r="H1658">
        <f t="shared" si="75"/>
        <v>2012</v>
      </c>
      <c r="I1658">
        <f t="shared" si="76"/>
        <v>2015</v>
      </c>
      <c r="J1658" s="7">
        <f t="shared" si="77"/>
        <v>11831.686673154509</v>
      </c>
      <c r="K1658" s="7"/>
    </row>
    <row r="1659" spans="1:11" x14ac:dyDescent="0.25">
      <c r="A1659" s="1" t="s">
        <v>19</v>
      </c>
      <c r="B1659" s="2">
        <v>201201</v>
      </c>
      <c r="C1659" s="2">
        <v>201504</v>
      </c>
      <c r="D1659" s="10">
        <v>93.613527455352298</v>
      </c>
      <c r="E1659" s="10">
        <v>12524.748680884193</v>
      </c>
      <c r="F1659" s="1">
        <v>0</v>
      </c>
      <c r="G1659" s="1">
        <v>204</v>
      </c>
      <c r="H1659">
        <f t="shared" si="75"/>
        <v>2012</v>
      </c>
      <c r="I1659">
        <f t="shared" si="76"/>
        <v>2015</v>
      </c>
      <c r="J1659" s="7">
        <f t="shared" si="77"/>
        <v>12618.362208339546</v>
      </c>
      <c r="K1659" s="7"/>
    </row>
    <row r="1660" spans="1:11" x14ac:dyDescent="0.25">
      <c r="A1660" s="1" t="s">
        <v>19</v>
      </c>
      <c r="B1660" s="2">
        <v>201201</v>
      </c>
      <c r="C1660" s="2">
        <v>201601</v>
      </c>
      <c r="D1660" s="10">
        <v>101.94131658733309</v>
      </c>
      <c r="E1660" s="10">
        <v>9736.6905397573064</v>
      </c>
      <c r="F1660" s="1">
        <v>1</v>
      </c>
      <c r="G1660" s="1">
        <v>180</v>
      </c>
      <c r="H1660">
        <f t="shared" si="75"/>
        <v>2012</v>
      </c>
      <c r="I1660">
        <f t="shared" si="76"/>
        <v>2016</v>
      </c>
      <c r="J1660" s="7">
        <f t="shared" si="77"/>
        <v>9838.6318563446403</v>
      </c>
      <c r="K1660" s="7"/>
    </row>
    <row r="1661" spans="1:11" x14ac:dyDescent="0.25">
      <c r="A1661" s="1" t="s">
        <v>19</v>
      </c>
      <c r="B1661" s="2">
        <v>201201</v>
      </c>
      <c r="C1661" s="2">
        <v>201602</v>
      </c>
      <c r="D1661" s="10">
        <v>-127.75387114026827</v>
      </c>
      <c r="E1661" s="10">
        <v>6428.3368586856204</v>
      </c>
      <c r="F1661" s="1">
        <v>0</v>
      </c>
      <c r="G1661" s="1">
        <v>140</v>
      </c>
      <c r="H1661">
        <f t="shared" si="75"/>
        <v>2012</v>
      </c>
      <c r="I1661">
        <f t="shared" si="76"/>
        <v>2016</v>
      </c>
      <c r="J1661" s="7">
        <f t="shared" si="77"/>
        <v>6300.5829875453519</v>
      </c>
      <c r="K1661" s="7"/>
    </row>
    <row r="1662" spans="1:11" x14ac:dyDescent="0.25">
      <c r="A1662" s="1" t="s">
        <v>19</v>
      </c>
      <c r="B1662" s="2">
        <v>201201</v>
      </c>
      <c r="C1662" s="2">
        <v>201603</v>
      </c>
      <c r="D1662" s="10">
        <v>-7.3571819125870803</v>
      </c>
      <c r="E1662" s="10">
        <v>3616.9226667571447</v>
      </c>
      <c r="F1662" s="1">
        <v>0</v>
      </c>
      <c r="G1662" s="1">
        <v>84</v>
      </c>
      <c r="H1662">
        <f t="shared" si="75"/>
        <v>2012</v>
      </c>
      <c r="I1662">
        <f t="shared" si="76"/>
        <v>2016</v>
      </c>
      <c r="J1662" s="7">
        <f t="shared" si="77"/>
        <v>3609.5654848445574</v>
      </c>
      <c r="K1662" s="7"/>
    </row>
    <row r="1663" spans="1:11" x14ac:dyDescent="0.25">
      <c r="A1663" s="1" t="s">
        <v>19</v>
      </c>
      <c r="B1663" s="2">
        <v>201201</v>
      </c>
      <c r="C1663" s="2">
        <v>201604</v>
      </c>
      <c r="D1663" s="10">
        <v>-157.53176332561856</v>
      </c>
      <c r="E1663" s="10">
        <v>4581.1312139585298</v>
      </c>
      <c r="F1663" s="1">
        <v>0</v>
      </c>
      <c r="G1663" s="1">
        <v>78</v>
      </c>
      <c r="H1663">
        <f t="shared" si="75"/>
        <v>2012</v>
      </c>
      <c r="I1663">
        <f t="shared" si="76"/>
        <v>2016</v>
      </c>
      <c r="J1663" s="7">
        <f t="shared" si="77"/>
        <v>4423.5994506329116</v>
      </c>
      <c r="K1663" s="7"/>
    </row>
    <row r="1664" spans="1:11" x14ac:dyDescent="0.25">
      <c r="A1664" s="1" t="s">
        <v>19</v>
      </c>
      <c r="B1664" s="2">
        <v>201201</v>
      </c>
      <c r="C1664" s="2">
        <v>201701</v>
      </c>
      <c r="D1664" s="10">
        <v>64.004606189604743</v>
      </c>
      <c r="E1664" s="10">
        <v>1704.1801645198352</v>
      </c>
      <c r="F1664" s="1">
        <v>0</v>
      </c>
      <c r="G1664" s="1">
        <v>57</v>
      </c>
      <c r="H1664">
        <f t="shared" si="75"/>
        <v>2012</v>
      </c>
      <c r="I1664">
        <f t="shared" si="76"/>
        <v>2017</v>
      </c>
      <c r="J1664" s="7">
        <f t="shared" si="77"/>
        <v>1768.18477070944</v>
      </c>
      <c r="K1664" s="7"/>
    </row>
    <row r="1665" spans="1:11" x14ac:dyDescent="0.25">
      <c r="A1665" s="1" t="s">
        <v>19</v>
      </c>
      <c r="B1665" s="2">
        <v>201201</v>
      </c>
      <c r="C1665" s="2">
        <v>201702</v>
      </c>
      <c r="D1665" s="10">
        <v>124.61437240245074</v>
      </c>
      <c r="E1665" s="10">
        <v>1516.8006711864975</v>
      </c>
      <c r="F1665" s="1">
        <v>0</v>
      </c>
      <c r="G1665" s="1">
        <v>42</v>
      </c>
      <c r="H1665">
        <f t="shared" si="75"/>
        <v>2012</v>
      </c>
      <c r="I1665">
        <f t="shared" si="76"/>
        <v>2017</v>
      </c>
      <c r="J1665" s="7">
        <f t="shared" si="77"/>
        <v>1641.4150435889483</v>
      </c>
      <c r="K1665" s="7"/>
    </row>
    <row r="1666" spans="1:11" x14ac:dyDescent="0.25">
      <c r="A1666" s="1" t="s">
        <v>19</v>
      </c>
      <c r="B1666" s="2">
        <v>201201</v>
      </c>
      <c r="C1666" s="2">
        <v>201703</v>
      </c>
      <c r="D1666" s="10">
        <v>-312.53574290973847</v>
      </c>
      <c r="E1666" s="10">
        <v>1440.628071490662</v>
      </c>
      <c r="F1666" s="1">
        <v>0</v>
      </c>
      <c r="G1666" s="1">
        <v>32</v>
      </c>
      <c r="H1666">
        <f t="shared" si="75"/>
        <v>2012</v>
      </c>
      <c r="I1666">
        <f t="shared" si="76"/>
        <v>2017</v>
      </c>
      <c r="J1666" s="7">
        <f t="shared" si="77"/>
        <v>1128.0923285809235</v>
      </c>
      <c r="K1666" s="7"/>
    </row>
    <row r="1667" spans="1:11" x14ac:dyDescent="0.25">
      <c r="A1667" s="1" t="s">
        <v>19</v>
      </c>
      <c r="B1667" s="2">
        <v>201201</v>
      </c>
      <c r="C1667" s="2">
        <v>201704</v>
      </c>
      <c r="D1667" s="10">
        <v>-56.041134114473884</v>
      </c>
      <c r="E1667" s="10">
        <v>495.94503619661111</v>
      </c>
      <c r="F1667" s="1">
        <v>0</v>
      </c>
      <c r="G1667" s="1">
        <v>15</v>
      </c>
      <c r="H1667">
        <f t="shared" si="75"/>
        <v>2012</v>
      </c>
      <c r="I1667">
        <f t="shared" si="76"/>
        <v>2017</v>
      </c>
      <c r="J1667" s="7">
        <f t="shared" si="77"/>
        <v>439.90390208213722</v>
      </c>
      <c r="K1667" s="7"/>
    </row>
    <row r="1668" spans="1:11" x14ac:dyDescent="0.25">
      <c r="A1668" s="1" t="s">
        <v>19</v>
      </c>
      <c r="B1668" s="2">
        <v>201201</v>
      </c>
      <c r="C1668" s="2">
        <v>201801</v>
      </c>
      <c r="D1668" s="10">
        <v>-11.019668076676322</v>
      </c>
      <c r="E1668" s="10">
        <v>218.88304379957421</v>
      </c>
      <c r="F1668" s="1">
        <v>0</v>
      </c>
      <c r="G1668" s="1">
        <v>12</v>
      </c>
      <c r="H1668">
        <f t="shared" ref="H1668:H1731" si="78">VALUE(LEFT(B1668,4))</f>
        <v>2012</v>
      </c>
      <c r="I1668">
        <f t="shared" ref="I1668:I1731" si="79">VALUE(LEFT(C1668,4))</f>
        <v>2018</v>
      </c>
      <c r="J1668" s="7">
        <f t="shared" si="77"/>
        <v>207.8633757228979</v>
      </c>
      <c r="K1668" s="7"/>
    </row>
    <row r="1669" spans="1:11" x14ac:dyDescent="0.25">
      <c r="A1669" s="1" t="s">
        <v>19</v>
      </c>
      <c r="B1669" s="2">
        <v>201201</v>
      </c>
      <c r="C1669" s="2">
        <v>201802</v>
      </c>
      <c r="D1669" s="10">
        <v>-50.641958014207702</v>
      </c>
      <c r="E1669" s="10">
        <v>169.17978043947127</v>
      </c>
      <c r="F1669" s="1">
        <v>0</v>
      </c>
      <c r="G1669" s="1">
        <v>11</v>
      </c>
      <c r="H1669">
        <f t="shared" si="78"/>
        <v>2012</v>
      </c>
      <c r="I1669">
        <f t="shared" si="79"/>
        <v>2018</v>
      </c>
      <c r="J1669" s="7">
        <f t="shared" ref="J1669:J1732" si="80">D1669+E1669</f>
        <v>118.53782242526357</v>
      </c>
      <c r="K1669" s="7"/>
    </row>
    <row r="1670" spans="1:11" x14ac:dyDescent="0.25">
      <c r="A1670" s="1" t="s">
        <v>19</v>
      </c>
      <c r="B1670" s="2">
        <v>201201</v>
      </c>
      <c r="C1670" s="2">
        <v>201803</v>
      </c>
      <c r="D1670" s="10">
        <v>-49.343685186845178</v>
      </c>
      <c r="E1670" s="10">
        <v>168.84735333581546</v>
      </c>
      <c r="F1670" s="1">
        <v>0</v>
      </c>
      <c r="G1670" s="1">
        <v>11</v>
      </c>
      <c r="H1670">
        <f t="shared" si="78"/>
        <v>2012</v>
      </c>
      <c r="I1670">
        <f t="shared" si="79"/>
        <v>2018</v>
      </c>
      <c r="J1670" s="7">
        <f t="shared" si="80"/>
        <v>119.50366814897028</v>
      </c>
      <c r="K1670" s="7"/>
    </row>
    <row r="1671" spans="1:11" x14ac:dyDescent="0.25">
      <c r="A1671" s="1" t="s">
        <v>19</v>
      </c>
      <c r="B1671" s="2">
        <v>201201</v>
      </c>
      <c r="C1671" s="2">
        <v>201804</v>
      </c>
      <c r="D1671" s="10">
        <v>-57.783501286853401</v>
      </c>
      <c r="E1671" s="10">
        <v>164.20002593692487</v>
      </c>
      <c r="F1671" s="1">
        <v>0</v>
      </c>
      <c r="G1671" s="1">
        <v>10</v>
      </c>
      <c r="H1671">
        <f t="shared" si="78"/>
        <v>2012</v>
      </c>
      <c r="I1671">
        <f t="shared" si="79"/>
        <v>2018</v>
      </c>
      <c r="J1671" s="7">
        <f t="shared" si="80"/>
        <v>106.41652465007147</v>
      </c>
      <c r="K1671" s="7"/>
    </row>
    <row r="1672" spans="1:11" x14ac:dyDescent="0.25">
      <c r="A1672" s="1" t="s">
        <v>19</v>
      </c>
      <c r="B1672" s="2">
        <v>201201</v>
      </c>
      <c r="C1672" s="2">
        <v>201901</v>
      </c>
      <c r="D1672" s="10">
        <v>-58.325959454574033</v>
      </c>
      <c r="E1672" s="10">
        <v>161.59766687689128</v>
      </c>
      <c r="F1672" s="1">
        <v>0</v>
      </c>
      <c r="G1672" s="1">
        <v>10</v>
      </c>
      <c r="H1672">
        <f t="shared" si="78"/>
        <v>2012</v>
      </c>
      <c r="I1672">
        <f t="shared" si="79"/>
        <v>2019</v>
      </c>
      <c r="J1672" s="7">
        <f t="shared" si="80"/>
        <v>103.27170742231725</v>
      </c>
      <c r="K1672" s="7"/>
    </row>
    <row r="1673" spans="1:11" x14ac:dyDescent="0.25">
      <c r="A1673" s="1" t="s">
        <v>19</v>
      </c>
      <c r="B1673" s="2">
        <v>201201</v>
      </c>
      <c r="C1673" s="2">
        <v>201902</v>
      </c>
      <c r="D1673" s="10">
        <v>39.428116287939261</v>
      </c>
      <c r="E1673" s="10">
        <v>162.84851025473895</v>
      </c>
      <c r="F1673" s="1">
        <v>0</v>
      </c>
      <c r="G1673" s="1">
        <v>6</v>
      </c>
      <c r="H1673">
        <f t="shared" si="78"/>
        <v>2012</v>
      </c>
      <c r="I1673">
        <f t="shared" si="79"/>
        <v>2019</v>
      </c>
      <c r="J1673" s="7">
        <f t="shared" si="80"/>
        <v>202.27662654267823</v>
      </c>
      <c r="K1673" s="7"/>
    </row>
    <row r="1674" spans="1:11" x14ac:dyDescent="0.25">
      <c r="A1674" s="1" t="s">
        <v>19</v>
      </c>
      <c r="B1674" s="2">
        <v>201201</v>
      </c>
      <c r="C1674" s="2">
        <v>201903</v>
      </c>
      <c r="D1674" s="10">
        <v>-119.35566663572985</v>
      </c>
      <c r="E1674" s="10">
        <v>111.83301355434196</v>
      </c>
      <c r="F1674" s="1">
        <v>0</v>
      </c>
      <c r="G1674" s="1">
        <v>5</v>
      </c>
      <c r="H1674">
        <f t="shared" si="78"/>
        <v>2012</v>
      </c>
      <c r="I1674">
        <f t="shared" si="79"/>
        <v>2019</v>
      </c>
      <c r="J1674" s="7">
        <f t="shared" si="80"/>
        <v>-7.5226530813878867</v>
      </c>
      <c r="K1674" s="7"/>
    </row>
    <row r="1675" spans="1:11" x14ac:dyDescent="0.25">
      <c r="A1675" s="1" t="s">
        <v>19</v>
      </c>
      <c r="B1675" s="2">
        <v>201201</v>
      </c>
      <c r="C1675" s="2">
        <v>201904</v>
      </c>
      <c r="D1675" s="10">
        <v>-11.070465898494341</v>
      </c>
      <c r="E1675" s="10">
        <v>115.17023566828374</v>
      </c>
      <c r="F1675" s="1">
        <v>0</v>
      </c>
      <c r="G1675" s="1">
        <v>5</v>
      </c>
      <c r="H1675">
        <f t="shared" si="78"/>
        <v>2012</v>
      </c>
      <c r="I1675">
        <f t="shared" si="79"/>
        <v>2019</v>
      </c>
      <c r="J1675" s="7">
        <f t="shared" si="80"/>
        <v>104.09976976978939</v>
      </c>
      <c r="K1675" s="7"/>
    </row>
    <row r="1676" spans="1:11" x14ac:dyDescent="0.25">
      <c r="A1676" s="1" t="s">
        <v>19</v>
      </c>
      <c r="B1676" s="2">
        <v>201201</v>
      </c>
      <c r="C1676" s="2">
        <v>202001</v>
      </c>
      <c r="D1676" s="10">
        <v>-7.298049097355447</v>
      </c>
      <c r="E1676" s="10">
        <v>114.1267552056179</v>
      </c>
      <c r="F1676" s="1">
        <v>0</v>
      </c>
      <c r="G1676" s="1">
        <v>5</v>
      </c>
      <c r="H1676">
        <f t="shared" si="78"/>
        <v>2012</v>
      </c>
      <c r="I1676">
        <f t="shared" si="79"/>
        <v>2020</v>
      </c>
      <c r="J1676" s="7">
        <f t="shared" si="80"/>
        <v>106.82870610826245</v>
      </c>
      <c r="K1676" s="7"/>
    </row>
    <row r="1677" spans="1:11" x14ac:dyDescent="0.25">
      <c r="A1677" s="1" t="s">
        <v>19</v>
      </c>
      <c r="B1677" s="2">
        <v>201201</v>
      </c>
      <c r="C1677" s="2">
        <v>202002</v>
      </c>
      <c r="D1677" s="10">
        <v>-17.99808522667135</v>
      </c>
      <c r="E1677" s="10">
        <v>113.89378854819735</v>
      </c>
      <c r="F1677" s="1">
        <v>0</v>
      </c>
      <c r="G1677" s="1">
        <v>5</v>
      </c>
      <c r="H1677">
        <f t="shared" si="78"/>
        <v>2012</v>
      </c>
      <c r="I1677">
        <f t="shared" si="79"/>
        <v>2020</v>
      </c>
      <c r="J1677" s="7">
        <f t="shared" si="80"/>
        <v>95.895703321526</v>
      </c>
      <c r="K1677" s="7"/>
    </row>
    <row r="1678" spans="1:11" x14ac:dyDescent="0.25">
      <c r="A1678" s="1" t="s">
        <v>19</v>
      </c>
      <c r="B1678" s="2">
        <v>201201</v>
      </c>
      <c r="C1678" s="2">
        <v>202003</v>
      </c>
      <c r="D1678" s="10">
        <v>14.206243942007568</v>
      </c>
      <c r="E1678" s="10">
        <v>85.837944904006136</v>
      </c>
      <c r="F1678" s="1">
        <v>0</v>
      </c>
      <c r="G1678" s="1">
        <v>3</v>
      </c>
      <c r="H1678">
        <f t="shared" si="78"/>
        <v>2012</v>
      </c>
      <c r="I1678">
        <f t="shared" si="79"/>
        <v>2020</v>
      </c>
      <c r="J1678" s="7">
        <f t="shared" si="80"/>
        <v>100.0441888460137</v>
      </c>
      <c r="K1678" s="7"/>
    </row>
    <row r="1679" spans="1:11" x14ac:dyDescent="0.25">
      <c r="A1679" s="1" t="s">
        <v>19</v>
      </c>
      <c r="B1679" s="2">
        <v>201201</v>
      </c>
      <c r="C1679" s="2">
        <v>202004</v>
      </c>
      <c r="D1679" s="10">
        <v>-11.034409577314445</v>
      </c>
      <c r="E1679" s="10">
        <v>86.201319791973077</v>
      </c>
      <c r="F1679" s="1">
        <v>0</v>
      </c>
      <c r="G1679" s="1">
        <v>3</v>
      </c>
      <c r="H1679">
        <f t="shared" si="78"/>
        <v>2012</v>
      </c>
      <c r="I1679">
        <f t="shared" si="79"/>
        <v>2020</v>
      </c>
      <c r="J1679" s="7">
        <f t="shared" si="80"/>
        <v>75.166910214658628</v>
      </c>
      <c r="K1679" s="7"/>
    </row>
    <row r="1680" spans="1:11" x14ac:dyDescent="0.25">
      <c r="A1680" s="1" t="s">
        <v>19</v>
      </c>
      <c r="B1680" s="2">
        <v>201201</v>
      </c>
      <c r="C1680" s="2">
        <v>202101</v>
      </c>
      <c r="D1680" s="10">
        <v>2.2072486913781111</v>
      </c>
      <c r="E1680" s="10">
        <v>84.498997045328281</v>
      </c>
      <c r="F1680" s="1">
        <v>0</v>
      </c>
      <c r="G1680" s="1">
        <v>1</v>
      </c>
      <c r="H1680">
        <f t="shared" si="78"/>
        <v>2012</v>
      </c>
      <c r="I1680">
        <f t="shared" si="79"/>
        <v>2021</v>
      </c>
      <c r="J1680" s="7">
        <f t="shared" si="80"/>
        <v>86.706245736706393</v>
      </c>
      <c r="K1680" s="7"/>
    </row>
    <row r="1681" spans="1:11" x14ac:dyDescent="0.25">
      <c r="A1681" s="1" t="s">
        <v>19</v>
      </c>
      <c r="B1681" s="2">
        <v>201201</v>
      </c>
      <c r="C1681" s="2">
        <v>202102</v>
      </c>
      <c r="D1681" s="10">
        <v>-3.0020346735855372</v>
      </c>
      <c r="E1681" s="10">
        <v>87.568700429778687</v>
      </c>
      <c r="F1681" s="1">
        <v>0</v>
      </c>
      <c r="G1681" s="1">
        <v>1</v>
      </c>
      <c r="H1681">
        <f t="shared" si="78"/>
        <v>2012</v>
      </c>
      <c r="I1681">
        <f t="shared" si="79"/>
        <v>2021</v>
      </c>
      <c r="J1681" s="7">
        <f t="shared" si="80"/>
        <v>84.566665756193146</v>
      </c>
      <c r="K1681" s="7"/>
    </row>
    <row r="1682" spans="1:11" x14ac:dyDescent="0.25">
      <c r="A1682" s="1" t="s">
        <v>19</v>
      </c>
      <c r="B1682" s="2">
        <v>201201</v>
      </c>
      <c r="C1682" s="2">
        <v>202103</v>
      </c>
      <c r="D1682" s="10">
        <v>-1.9982414480220572</v>
      </c>
      <c r="E1682" s="10">
        <v>86.584681082186634</v>
      </c>
      <c r="F1682" s="1">
        <v>0</v>
      </c>
      <c r="G1682" s="1">
        <v>0</v>
      </c>
      <c r="H1682">
        <f t="shared" si="78"/>
        <v>2012</v>
      </c>
      <c r="I1682">
        <f t="shared" si="79"/>
        <v>2021</v>
      </c>
      <c r="J1682" s="7">
        <f t="shared" si="80"/>
        <v>84.586439634164577</v>
      </c>
      <c r="K1682" s="7"/>
    </row>
    <row r="1683" spans="1:11" x14ac:dyDescent="0.25">
      <c r="A1683" s="1" t="s">
        <v>19</v>
      </c>
      <c r="B1683" s="2">
        <v>201201</v>
      </c>
      <c r="C1683" s="2">
        <v>202104</v>
      </c>
      <c r="D1683" s="10">
        <v>-23.853092354931764</v>
      </c>
      <c r="E1683" s="10">
        <v>0</v>
      </c>
      <c r="F1683" s="1">
        <v>0</v>
      </c>
      <c r="G1683" s="1">
        <v>0</v>
      </c>
      <c r="H1683">
        <f t="shared" si="78"/>
        <v>2012</v>
      </c>
      <c r="I1683">
        <f t="shared" si="79"/>
        <v>2021</v>
      </c>
      <c r="J1683" s="7">
        <f t="shared" si="80"/>
        <v>-23.853092354931764</v>
      </c>
      <c r="K1683" s="7"/>
    </row>
    <row r="1684" spans="1:11" x14ac:dyDescent="0.25">
      <c r="A1684" s="1" t="s">
        <v>19</v>
      </c>
      <c r="B1684" s="2">
        <v>201202</v>
      </c>
      <c r="C1684" s="2">
        <v>201202</v>
      </c>
      <c r="D1684" s="10">
        <v>487122.63815281878</v>
      </c>
      <c r="E1684" s="10">
        <v>469261.48255718674</v>
      </c>
      <c r="F1684" s="1">
        <v>15312</v>
      </c>
      <c r="G1684" s="1">
        <v>6028</v>
      </c>
      <c r="H1684">
        <f t="shared" si="78"/>
        <v>2012</v>
      </c>
      <c r="I1684">
        <f t="shared" si="79"/>
        <v>2012</v>
      </c>
      <c r="J1684" s="7">
        <f t="shared" si="80"/>
        <v>956384.12071000552</v>
      </c>
      <c r="K1684" s="7"/>
    </row>
    <row r="1685" spans="1:11" x14ac:dyDescent="0.25">
      <c r="A1685" s="1" t="s">
        <v>19</v>
      </c>
      <c r="B1685" s="2">
        <v>201202</v>
      </c>
      <c r="C1685" s="2">
        <v>201203</v>
      </c>
      <c r="D1685" s="10">
        <v>476098.0529577281</v>
      </c>
      <c r="E1685" s="10">
        <v>182312.94848098938</v>
      </c>
      <c r="F1685" s="1">
        <v>4312</v>
      </c>
      <c r="G1685" s="1">
        <v>2835</v>
      </c>
      <c r="H1685">
        <f t="shared" si="78"/>
        <v>2012</v>
      </c>
      <c r="I1685">
        <f t="shared" si="79"/>
        <v>2012</v>
      </c>
      <c r="J1685" s="7">
        <f t="shared" si="80"/>
        <v>658411.00143871747</v>
      </c>
      <c r="K1685" s="7"/>
    </row>
    <row r="1686" spans="1:11" x14ac:dyDescent="0.25">
      <c r="A1686" s="1" t="s">
        <v>19</v>
      </c>
      <c r="B1686" s="2">
        <v>201202</v>
      </c>
      <c r="C1686" s="2">
        <v>201204</v>
      </c>
      <c r="D1686" s="10">
        <v>73161.761633690592</v>
      </c>
      <c r="E1686" s="10">
        <v>151553.35153389745</v>
      </c>
      <c r="F1686" s="1">
        <v>573</v>
      </c>
      <c r="G1686" s="1">
        <v>2049</v>
      </c>
      <c r="H1686">
        <f t="shared" si="78"/>
        <v>2012</v>
      </c>
      <c r="I1686">
        <f t="shared" si="79"/>
        <v>2012</v>
      </c>
      <c r="J1686" s="7">
        <f t="shared" si="80"/>
        <v>224715.11316758805</v>
      </c>
      <c r="K1686" s="7"/>
    </row>
    <row r="1687" spans="1:11" x14ac:dyDescent="0.25">
      <c r="A1687" s="1" t="s">
        <v>19</v>
      </c>
      <c r="B1687" s="2">
        <v>201202</v>
      </c>
      <c r="C1687" s="2">
        <v>201301</v>
      </c>
      <c r="D1687" s="10">
        <v>20819.626478281414</v>
      </c>
      <c r="E1687" s="10">
        <v>98963.144262849295</v>
      </c>
      <c r="F1687" s="1">
        <v>176</v>
      </c>
      <c r="G1687" s="1">
        <v>1637</v>
      </c>
      <c r="H1687">
        <f t="shared" si="78"/>
        <v>2012</v>
      </c>
      <c r="I1687">
        <f t="shared" si="79"/>
        <v>2013</v>
      </c>
      <c r="J1687" s="7">
        <f t="shared" si="80"/>
        <v>119782.77074113071</v>
      </c>
      <c r="K1687" s="7"/>
    </row>
    <row r="1688" spans="1:11" x14ac:dyDescent="0.25">
      <c r="A1688" s="1" t="s">
        <v>19</v>
      </c>
      <c r="B1688" s="2">
        <v>201202</v>
      </c>
      <c r="C1688" s="2">
        <v>201302</v>
      </c>
      <c r="D1688" s="10">
        <v>10991.964532021995</v>
      </c>
      <c r="E1688" s="10">
        <v>75658.229821912391</v>
      </c>
      <c r="F1688" s="1">
        <v>109</v>
      </c>
      <c r="G1688" s="1">
        <v>1269</v>
      </c>
      <c r="H1688">
        <f t="shared" si="78"/>
        <v>2012</v>
      </c>
      <c r="I1688">
        <f t="shared" si="79"/>
        <v>2013</v>
      </c>
      <c r="J1688" s="7">
        <f t="shared" si="80"/>
        <v>86650.194353934392</v>
      </c>
      <c r="K1688" s="7"/>
    </row>
    <row r="1689" spans="1:11" x14ac:dyDescent="0.25">
      <c r="A1689" s="1" t="s">
        <v>19</v>
      </c>
      <c r="B1689" s="2">
        <v>201202</v>
      </c>
      <c r="C1689" s="2">
        <v>201303</v>
      </c>
      <c r="D1689" s="10">
        <v>3106.080917428857</v>
      </c>
      <c r="E1689" s="10">
        <v>64626.385658515777</v>
      </c>
      <c r="F1689" s="1">
        <v>49</v>
      </c>
      <c r="G1689" s="1">
        <v>1096</v>
      </c>
      <c r="H1689">
        <f t="shared" si="78"/>
        <v>2012</v>
      </c>
      <c r="I1689">
        <f t="shared" si="79"/>
        <v>2013</v>
      </c>
      <c r="J1689" s="7">
        <f t="shared" si="80"/>
        <v>67732.466575944636</v>
      </c>
      <c r="K1689" s="7"/>
    </row>
    <row r="1690" spans="1:11" x14ac:dyDescent="0.25">
      <c r="A1690" s="1" t="s">
        <v>19</v>
      </c>
      <c r="B1690" s="2">
        <v>201202</v>
      </c>
      <c r="C1690" s="2">
        <v>201304</v>
      </c>
      <c r="D1690" s="10">
        <v>2113.9385477987767</v>
      </c>
      <c r="E1690" s="10">
        <v>70479.226918918546</v>
      </c>
      <c r="F1690" s="1">
        <v>42</v>
      </c>
      <c r="G1690" s="1">
        <v>873</v>
      </c>
      <c r="H1690">
        <f t="shared" si="78"/>
        <v>2012</v>
      </c>
      <c r="I1690">
        <f t="shared" si="79"/>
        <v>2013</v>
      </c>
      <c r="J1690" s="7">
        <f t="shared" si="80"/>
        <v>72593.165466717328</v>
      </c>
      <c r="K1690" s="7"/>
    </row>
    <row r="1691" spans="1:11" x14ac:dyDescent="0.25">
      <c r="A1691" s="1" t="s">
        <v>19</v>
      </c>
      <c r="B1691" s="2">
        <v>201202</v>
      </c>
      <c r="C1691" s="2">
        <v>201401</v>
      </c>
      <c r="D1691" s="10">
        <v>3669.8614224039598</v>
      </c>
      <c r="E1691" s="10">
        <v>48437.572702201593</v>
      </c>
      <c r="F1691" s="1">
        <v>32</v>
      </c>
      <c r="G1691" s="1">
        <v>748</v>
      </c>
      <c r="H1691">
        <f t="shared" si="78"/>
        <v>2012</v>
      </c>
      <c r="I1691">
        <f t="shared" si="79"/>
        <v>2014</v>
      </c>
      <c r="J1691" s="7">
        <f t="shared" si="80"/>
        <v>52107.434124605556</v>
      </c>
      <c r="K1691" s="7"/>
    </row>
    <row r="1692" spans="1:11" x14ac:dyDescent="0.25">
      <c r="A1692" s="1" t="s">
        <v>19</v>
      </c>
      <c r="B1692" s="2">
        <v>201202</v>
      </c>
      <c r="C1692" s="2">
        <v>201402</v>
      </c>
      <c r="D1692" s="10">
        <v>1385.7120915522253</v>
      </c>
      <c r="E1692" s="10">
        <v>42413.974513880166</v>
      </c>
      <c r="F1692" s="1">
        <v>18</v>
      </c>
      <c r="G1692" s="1">
        <v>640</v>
      </c>
      <c r="H1692">
        <f t="shared" si="78"/>
        <v>2012</v>
      </c>
      <c r="I1692">
        <f t="shared" si="79"/>
        <v>2014</v>
      </c>
      <c r="J1692" s="7">
        <f t="shared" si="80"/>
        <v>43799.686605432391</v>
      </c>
      <c r="K1692" s="7"/>
    </row>
    <row r="1693" spans="1:11" x14ac:dyDescent="0.25">
      <c r="A1693" s="1" t="s">
        <v>19</v>
      </c>
      <c r="B1693" s="2">
        <v>201202</v>
      </c>
      <c r="C1693" s="2">
        <v>201403</v>
      </c>
      <c r="D1693" s="10">
        <v>1609.8366523349573</v>
      </c>
      <c r="E1693" s="10">
        <v>37906.087772665662</v>
      </c>
      <c r="F1693" s="1">
        <v>22</v>
      </c>
      <c r="G1693" s="1">
        <v>578</v>
      </c>
      <c r="H1693">
        <f t="shared" si="78"/>
        <v>2012</v>
      </c>
      <c r="I1693">
        <f t="shared" si="79"/>
        <v>2014</v>
      </c>
      <c r="J1693" s="7">
        <f t="shared" si="80"/>
        <v>39515.924425000616</v>
      </c>
      <c r="K1693" s="7"/>
    </row>
    <row r="1694" spans="1:11" x14ac:dyDescent="0.25">
      <c r="A1694" s="1" t="s">
        <v>19</v>
      </c>
      <c r="B1694" s="2">
        <v>201202</v>
      </c>
      <c r="C1694" s="2">
        <v>201404</v>
      </c>
      <c r="D1694" s="10">
        <v>233.19965471847721</v>
      </c>
      <c r="E1694" s="10">
        <v>42059.572199841394</v>
      </c>
      <c r="F1694" s="1">
        <v>4</v>
      </c>
      <c r="G1694" s="1">
        <v>470</v>
      </c>
      <c r="H1694">
        <f t="shared" si="78"/>
        <v>2012</v>
      </c>
      <c r="I1694">
        <f t="shared" si="79"/>
        <v>2014</v>
      </c>
      <c r="J1694" s="7">
        <f t="shared" si="80"/>
        <v>42292.771854559869</v>
      </c>
      <c r="K1694" s="7"/>
    </row>
    <row r="1695" spans="1:11" x14ac:dyDescent="0.25">
      <c r="A1695" s="1" t="s">
        <v>19</v>
      </c>
      <c r="B1695" s="2">
        <v>201202</v>
      </c>
      <c r="C1695" s="2">
        <v>201501</v>
      </c>
      <c r="D1695" s="10">
        <v>937.21938932514342</v>
      </c>
      <c r="E1695" s="10">
        <v>26492.520850664074</v>
      </c>
      <c r="F1695" s="1">
        <v>6</v>
      </c>
      <c r="G1695" s="1">
        <v>393</v>
      </c>
      <c r="H1695">
        <f t="shared" si="78"/>
        <v>2012</v>
      </c>
      <c r="I1695">
        <f t="shared" si="79"/>
        <v>2015</v>
      </c>
      <c r="J1695" s="7">
        <f t="shared" si="80"/>
        <v>27429.740239989216</v>
      </c>
      <c r="K1695" s="7"/>
    </row>
    <row r="1696" spans="1:11" x14ac:dyDescent="0.25">
      <c r="A1696" s="1" t="s">
        <v>19</v>
      </c>
      <c r="B1696" s="2">
        <v>201202</v>
      </c>
      <c r="C1696" s="2">
        <v>201502</v>
      </c>
      <c r="D1696" s="10">
        <v>349.61193071677963</v>
      </c>
      <c r="E1696" s="10">
        <v>21670.202781592991</v>
      </c>
      <c r="F1696" s="1">
        <v>3</v>
      </c>
      <c r="G1696" s="1">
        <v>331</v>
      </c>
      <c r="H1696">
        <f t="shared" si="78"/>
        <v>2012</v>
      </c>
      <c r="I1696">
        <f t="shared" si="79"/>
        <v>2015</v>
      </c>
      <c r="J1696" s="7">
        <f t="shared" si="80"/>
        <v>22019.81471230977</v>
      </c>
      <c r="K1696" s="7"/>
    </row>
    <row r="1697" spans="1:11" x14ac:dyDescent="0.25">
      <c r="A1697" s="1" t="s">
        <v>19</v>
      </c>
      <c r="B1697" s="2">
        <v>201202</v>
      </c>
      <c r="C1697" s="2">
        <v>201503</v>
      </c>
      <c r="D1697" s="10">
        <v>-185.53549687059734</v>
      </c>
      <c r="E1697" s="10">
        <v>18560.16207843017</v>
      </c>
      <c r="F1697" s="1">
        <v>0</v>
      </c>
      <c r="G1697" s="1">
        <v>281</v>
      </c>
      <c r="H1697">
        <f t="shared" si="78"/>
        <v>2012</v>
      </c>
      <c r="I1697">
        <f t="shared" si="79"/>
        <v>2015</v>
      </c>
      <c r="J1697" s="7">
        <f t="shared" si="80"/>
        <v>18374.626581559573</v>
      </c>
      <c r="K1697" s="7"/>
    </row>
    <row r="1698" spans="1:11" x14ac:dyDescent="0.25">
      <c r="A1698" s="1" t="s">
        <v>19</v>
      </c>
      <c r="B1698" s="2">
        <v>201202</v>
      </c>
      <c r="C1698" s="2">
        <v>201504</v>
      </c>
      <c r="D1698" s="10">
        <v>-112.76538234273237</v>
      </c>
      <c r="E1698" s="10">
        <v>19359.538547870947</v>
      </c>
      <c r="F1698" s="1">
        <v>1</v>
      </c>
      <c r="G1698" s="1">
        <v>224</v>
      </c>
      <c r="H1698">
        <f t="shared" si="78"/>
        <v>2012</v>
      </c>
      <c r="I1698">
        <f t="shared" si="79"/>
        <v>2015</v>
      </c>
      <c r="J1698" s="7">
        <f t="shared" si="80"/>
        <v>19246.773165528215</v>
      </c>
      <c r="K1698" s="7"/>
    </row>
    <row r="1699" spans="1:11" x14ac:dyDescent="0.25">
      <c r="A1699" s="1" t="s">
        <v>19</v>
      </c>
      <c r="B1699" s="2">
        <v>201202</v>
      </c>
      <c r="C1699" s="2">
        <v>201601</v>
      </c>
      <c r="D1699" s="10">
        <v>199.69851691800847</v>
      </c>
      <c r="E1699" s="10">
        <v>15161.578154356117</v>
      </c>
      <c r="F1699" s="1">
        <v>0</v>
      </c>
      <c r="G1699" s="1">
        <v>204</v>
      </c>
      <c r="H1699">
        <f t="shared" si="78"/>
        <v>2012</v>
      </c>
      <c r="I1699">
        <f t="shared" si="79"/>
        <v>2016</v>
      </c>
      <c r="J1699" s="7">
        <f t="shared" si="80"/>
        <v>15361.276671274125</v>
      </c>
      <c r="K1699" s="7"/>
    </row>
    <row r="1700" spans="1:11" x14ac:dyDescent="0.25">
      <c r="A1700" s="1" t="s">
        <v>19</v>
      </c>
      <c r="B1700" s="2">
        <v>201202</v>
      </c>
      <c r="C1700" s="2">
        <v>201602</v>
      </c>
      <c r="D1700" s="10">
        <v>-517.57354980158823</v>
      </c>
      <c r="E1700" s="10">
        <v>12683.680575302353</v>
      </c>
      <c r="F1700" s="1">
        <v>0</v>
      </c>
      <c r="G1700" s="1">
        <v>154</v>
      </c>
      <c r="H1700">
        <f t="shared" si="78"/>
        <v>2012</v>
      </c>
      <c r="I1700">
        <f t="shared" si="79"/>
        <v>2016</v>
      </c>
      <c r="J1700" s="7">
        <f t="shared" si="80"/>
        <v>12166.107025500765</v>
      </c>
      <c r="K1700" s="7"/>
    </row>
    <row r="1701" spans="1:11" x14ac:dyDescent="0.25">
      <c r="A1701" s="1" t="s">
        <v>19</v>
      </c>
      <c r="B1701" s="2">
        <v>201202</v>
      </c>
      <c r="C1701" s="2">
        <v>201603</v>
      </c>
      <c r="D1701" s="10">
        <v>-17.580281969287114</v>
      </c>
      <c r="E1701" s="10">
        <v>6331.0359692487382</v>
      </c>
      <c r="F1701" s="1">
        <v>0</v>
      </c>
      <c r="G1701" s="1">
        <v>67</v>
      </c>
      <c r="H1701">
        <f t="shared" si="78"/>
        <v>2012</v>
      </c>
      <c r="I1701">
        <f t="shared" si="79"/>
        <v>2016</v>
      </c>
      <c r="J1701" s="7">
        <f t="shared" si="80"/>
        <v>6313.455687279451</v>
      </c>
      <c r="K1701" s="7"/>
    </row>
    <row r="1702" spans="1:11" x14ac:dyDescent="0.25">
      <c r="A1702" s="1" t="s">
        <v>19</v>
      </c>
      <c r="B1702" s="2">
        <v>201202</v>
      </c>
      <c r="C1702" s="2">
        <v>201604</v>
      </c>
      <c r="D1702" s="10">
        <v>-86.318906283327138</v>
      </c>
      <c r="E1702" s="10">
        <v>8226.8899147850534</v>
      </c>
      <c r="F1702" s="1">
        <v>0</v>
      </c>
      <c r="G1702" s="1">
        <v>60</v>
      </c>
      <c r="H1702">
        <f t="shared" si="78"/>
        <v>2012</v>
      </c>
      <c r="I1702">
        <f t="shared" si="79"/>
        <v>2016</v>
      </c>
      <c r="J1702" s="7">
        <f t="shared" si="80"/>
        <v>8140.5710085017263</v>
      </c>
      <c r="K1702" s="7"/>
    </row>
    <row r="1703" spans="1:11" x14ac:dyDescent="0.25">
      <c r="A1703" s="1" t="s">
        <v>19</v>
      </c>
      <c r="B1703" s="2">
        <v>201202</v>
      </c>
      <c r="C1703" s="2">
        <v>201701</v>
      </c>
      <c r="D1703" s="10">
        <v>-268.42652578506522</v>
      </c>
      <c r="E1703" s="10">
        <v>5131.3994619422256</v>
      </c>
      <c r="F1703" s="1">
        <v>0</v>
      </c>
      <c r="G1703" s="1">
        <v>45</v>
      </c>
      <c r="H1703">
        <f t="shared" si="78"/>
        <v>2012</v>
      </c>
      <c r="I1703">
        <f t="shared" si="79"/>
        <v>2017</v>
      </c>
      <c r="J1703" s="7">
        <f t="shared" si="80"/>
        <v>4862.9729361571608</v>
      </c>
      <c r="K1703" s="7"/>
    </row>
    <row r="1704" spans="1:11" x14ac:dyDescent="0.25">
      <c r="A1704" s="1" t="s">
        <v>19</v>
      </c>
      <c r="B1704" s="2">
        <v>201202</v>
      </c>
      <c r="C1704" s="2">
        <v>201702</v>
      </c>
      <c r="D1704" s="10">
        <v>20.856537542220366</v>
      </c>
      <c r="E1704" s="10">
        <v>4773.5720383448042</v>
      </c>
      <c r="F1704" s="1">
        <v>0</v>
      </c>
      <c r="G1704" s="1">
        <v>23</v>
      </c>
      <c r="H1704">
        <f t="shared" si="78"/>
        <v>2012</v>
      </c>
      <c r="I1704">
        <f t="shared" si="79"/>
        <v>2017</v>
      </c>
      <c r="J1704" s="7">
        <f t="shared" si="80"/>
        <v>4794.4285758870246</v>
      </c>
      <c r="K1704" s="7"/>
    </row>
    <row r="1705" spans="1:11" x14ac:dyDescent="0.25">
      <c r="A1705" s="1" t="s">
        <v>19</v>
      </c>
      <c r="B1705" s="2">
        <v>201202</v>
      </c>
      <c r="C1705" s="2">
        <v>201703</v>
      </c>
      <c r="D1705" s="10">
        <v>-70.007353029871425</v>
      </c>
      <c r="E1705" s="10">
        <v>4522.9804508643592</v>
      </c>
      <c r="F1705" s="1">
        <v>0</v>
      </c>
      <c r="G1705" s="1">
        <v>18</v>
      </c>
      <c r="H1705">
        <f t="shared" si="78"/>
        <v>2012</v>
      </c>
      <c r="I1705">
        <f t="shared" si="79"/>
        <v>2017</v>
      </c>
      <c r="J1705" s="7">
        <f t="shared" si="80"/>
        <v>4452.9730978344878</v>
      </c>
      <c r="K1705" s="7"/>
    </row>
    <row r="1706" spans="1:11" x14ac:dyDescent="0.25">
      <c r="A1706" s="1" t="s">
        <v>19</v>
      </c>
      <c r="B1706" s="2">
        <v>201202</v>
      </c>
      <c r="C1706" s="2">
        <v>201704</v>
      </c>
      <c r="D1706" s="10">
        <v>0</v>
      </c>
      <c r="E1706" s="10">
        <v>4046.5669179255051</v>
      </c>
      <c r="F1706" s="1">
        <v>0</v>
      </c>
      <c r="G1706" s="1">
        <v>13</v>
      </c>
      <c r="H1706">
        <f t="shared" si="78"/>
        <v>2012</v>
      </c>
      <c r="I1706">
        <f t="shared" si="79"/>
        <v>2017</v>
      </c>
      <c r="J1706" s="7">
        <f t="shared" si="80"/>
        <v>4046.5669179255051</v>
      </c>
      <c r="K1706" s="7"/>
    </row>
    <row r="1707" spans="1:11" x14ac:dyDescent="0.25">
      <c r="A1707" s="1" t="s">
        <v>19</v>
      </c>
      <c r="B1707" s="2">
        <v>201202</v>
      </c>
      <c r="C1707" s="2">
        <v>201801</v>
      </c>
      <c r="D1707" s="10">
        <v>-35.100686669460885</v>
      </c>
      <c r="E1707" s="10">
        <v>3897.8295636331823</v>
      </c>
      <c r="F1707" s="1">
        <v>0</v>
      </c>
      <c r="G1707" s="1">
        <v>11</v>
      </c>
      <c r="H1707">
        <f t="shared" si="78"/>
        <v>2012</v>
      </c>
      <c r="I1707">
        <f t="shared" si="79"/>
        <v>2018</v>
      </c>
      <c r="J1707" s="7">
        <f t="shared" si="80"/>
        <v>3862.7288769637212</v>
      </c>
      <c r="K1707" s="7"/>
    </row>
    <row r="1708" spans="1:11" x14ac:dyDescent="0.25">
      <c r="A1708" s="1" t="s">
        <v>19</v>
      </c>
      <c r="B1708" s="2">
        <v>201202</v>
      </c>
      <c r="C1708" s="2">
        <v>201802</v>
      </c>
      <c r="D1708" s="10">
        <v>-52.072090147863456</v>
      </c>
      <c r="E1708" s="10">
        <v>1513.9130542321184</v>
      </c>
      <c r="F1708" s="1">
        <v>0</v>
      </c>
      <c r="G1708" s="1">
        <v>6</v>
      </c>
      <c r="H1708">
        <f t="shared" si="78"/>
        <v>2012</v>
      </c>
      <c r="I1708">
        <f t="shared" si="79"/>
        <v>2018</v>
      </c>
      <c r="J1708" s="7">
        <f t="shared" si="80"/>
        <v>1461.8409640842549</v>
      </c>
      <c r="K1708" s="7"/>
    </row>
    <row r="1709" spans="1:11" x14ac:dyDescent="0.25">
      <c r="A1709" s="1" t="s">
        <v>19</v>
      </c>
      <c r="B1709" s="2">
        <v>201202</v>
      </c>
      <c r="C1709" s="2">
        <v>201803</v>
      </c>
      <c r="D1709" s="10">
        <v>0</v>
      </c>
      <c r="E1709" s="10">
        <v>1507.8182687121086</v>
      </c>
      <c r="F1709" s="1">
        <v>0</v>
      </c>
      <c r="G1709" s="1">
        <v>6</v>
      </c>
      <c r="H1709">
        <f t="shared" si="78"/>
        <v>2012</v>
      </c>
      <c r="I1709">
        <f t="shared" si="79"/>
        <v>2018</v>
      </c>
      <c r="J1709" s="7">
        <f t="shared" si="80"/>
        <v>1507.8182687121086</v>
      </c>
      <c r="K1709" s="7"/>
    </row>
    <row r="1710" spans="1:11" x14ac:dyDescent="0.25">
      <c r="A1710" s="1" t="s">
        <v>19</v>
      </c>
      <c r="B1710" s="2">
        <v>201202</v>
      </c>
      <c r="C1710" s="2">
        <v>201804</v>
      </c>
      <c r="D1710" s="10">
        <v>-52.171979959784792</v>
      </c>
      <c r="E1710" s="10">
        <v>-98.19322878685287</v>
      </c>
      <c r="F1710" s="1">
        <v>0</v>
      </c>
      <c r="G1710" s="1">
        <v>5</v>
      </c>
      <c r="H1710">
        <f t="shared" si="78"/>
        <v>2012</v>
      </c>
      <c r="I1710">
        <f t="shared" si="79"/>
        <v>2018</v>
      </c>
      <c r="J1710" s="7">
        <f t="shared" si="80"/>
        <v>-150.36520874663768</v>
      </c>
      <c r="K1710" s="7"/>
    </row>
    <row r="1711" spans="1:11" x14ac:dyDescent="0.25">
      <c r="A1711" s="1" t="s">
        <v>19</v>
      </c>
      <c r="B1711" s="2">
        <v>201202</v>
      </c>
      <c r="C1711" s="2">
        <v>201901</v>
      </c>
      <c r="D1711" s="10">
        <v>0</v>
      </c>
      <c r="E1711" s="10">
        <v>-98.93023612642159</v>
      </c>
      <c r="F1711" s="1">
        <v>0</v>
      </c>
      <c r="G1711" s="1">
        <v>5</v>
      </c>
      <c r="H1711">
        <f t="shared" si="78"/>
        <v>2012</v>
      </c>
      <c r="I1711">
        <f t="shared" si="79"/>
        <v>2019</v>
      </c>
      <c r="J1711" s="7">
        <f t="shared" si="80"/>
        <v>-98.93023612642159</v>
      </c>
      <c r="K1711" s="7"/>
    </row>
    <row r="1712" spans="1:11" x14ac:dyDescent="0.25">
      <c r="A1712" s="1" t="s">
        <v>19</v>
      </c>
      <c r="B1712" s="2">
        <v>201202</v>
      </c>
      <c r="C1712" s="2">
        <v>201902</v>
      </c>
      <c r="D1712" s="10">
        <v>-51.317210426453038</v>
      </c>
      <c r="E1712" s="10">
        <v>-53.423229564378381</v>
      </c>
      <c r="F1712" s="1">
        <v>0</v>
      </c>
      <c r="G1712" s="1">
        <v>4</v>
      </c>
      <c r="H1712">
        <f t="shared" si="78"/>
        <v>2012</v>
      </c>
      <c r="I1712">
        <f t="shared" si="79"/>
        <v>2019</v>
      </c>
      <c r="J1712" s="7">
        <f t="shared" si="80"/>
        <v>-104.74043999083142</v>
      </c>
      <c r="K1712" s="7"/>
    </row>
    <row r="1713" spans="1:11" x14ac:dyDescent="0.25">
      <c r="A1713" s="1" t="s">
        <v>19</v>
      </c>
      <c r="B1713" s="2">
        <v>201202</v>
      </c>
      <c r="C1713" s="2">
        <v>201903</v>
      </c>
      <c r="D1713" s="10">
        <v>0</v>
      </c>
      <c r="E1713" s="10">
        <v>-52.604697762322651</v>
      </c>
      <c r="F1713" s="1">
        <v>0</v>
      </c>
      <c r="G1713" s="1">
        <v>3</v>
      </c>
      <c r="H1713">
        <f t="shared" si="78"/>
        <v>2012</v>
      </c>
      <c r="I1713">
        <f t="shared" si="79"/>
        <v>2019</v>
      </c>
      <c r="J1713" s="7">
        <f t="shared" si="80"/>
        <v>-52.604697762322651</v>
      </c>
      <c r="K1713" s="7"/>
    </row>
    <row r="1714" spans="1:11" x14ac:dyDescent="0.25">
      <c r="A1714" s="1" t="s">
        <v>19</v>
      </c>
      <c r="B1714" s="2">
        <v>201202</v>
      </c>
      <c r="C1714" s="2">
        <v>201904</v>
      </c>
      <c r="D1714" s="10">
        <v>-17.445988835993241</v>
      </c>
      <c r="E1714" s="10">
        <v>20.487704343277731</v>
      </c>
      <c r="F1714" s="1">
        <v>0</v>
      </c>
      <c r="G1714" s="1">
        <v>2</v>
      </c>
      <c r="H1714">
        <f t="shared" si="78"/>
        <v>2012</v>
      </c>
      <c r="I1714">
        <f t="shared" si="79"/>
        <v>2019</v>
      </c>
      <c r="J1714" s="7">
        <f t="shared" si="80"/>
        <v>3.0417155072844899</v>
      </c>
      <c r="K1714" s="7"/>
    </row>
    <row r="1715" spans="1:11" x14ac:dyDescent="0.25">
      <c r="A1715" s="1" t="s">
        <v>19</v>
      </c>
      <c r="B1715" s="2">
        <v>201202</v>
      </c>
      <c r="C1715" s="2">
        <v>202001</v>
      </c>
      <c r="D1715" s="10">
        <v>0</v>
      </c>
      <c r="E1715" s="10">
        <v>19.618251923935905</v>
      </c>
      <c r="F1715" s="1">
        <v>0</v>
      </c>
      <c r="G1715" s="1">
        <v>2</v>
      </c>
      <c r="H1715">
        <f t="shared" si="78"/>
        <v>2012</v>
      </c>
      <c r="I1715">
        <f t="shared" si="79"/>
        <v>2020</v>
      </c>
      <c r="J1715" s="7">
        <f t="shared" si="80"/>
        <v>19.618251923935905</v>
      </c>
      <c r="K1715" s="7"/>
    </row>
    <row r="1716" spans="1:11" x14ac:dyDescent="0.25">
      <c r="A1716" s="1" t="s">
        <v>19</v>
      </c>
      <c r="B1716" s="2">
        <v>201202</v>
      </c>
      <c r="C1716" s="2">
        <v>202002</v>
      </c>
      <c r="D1716" s="10">
        <v>5.0967326150054344</v>
      </c>
      <c r="E1716" s="10">
        <v>21.337887360708329</v>
      </c>
      <c r="F1716" s="1">
        <v>0</v>
      </c>
      <c r="G1716" s="1">
        <v>2</v>
      </c>
      <c r="H1716">
        <f t="shared" si="78"/>
        <v>2012</v>
      </c>
      <c r="I1716">
        <f t="shared" si="79"/>
        <v>2020</v>
      </c>
      <c r="J1716" s="7">
        <f t="shared" si="80"/>
        <v>26.434619975713765</v>
      </c>
      <c r="K1716" s="7"/>
    </row>
    <row r="1717" spans="1:11" x14ac:dyDescent="0.25">
      <c r="A1717" s="1" t="s">
        <v>19</v>
      </c>
      <c r="B1717" s="2">
        <v>201202</v>
      </c>
      <c r="C1717" s="2">
        <v>202003</v>
      </c>
      <c r="D1717" s="10">
        <v>0</v>
      </c>
      <c r="E1717" s="10">
        <v>21.461071812633691</v>
      </c>
      <c r="F1717" s="1">
        <v>0</v>
      </c>
      <c r="G1717" s="1">
        <v>2</v>
      </c>
      <c r="H1717">
        <f t="shared" si="78"/>
        <v>2012</v>
      </c>
      <c r="I1717">
        <f t="shared" si="79"/>
        <v>2020</v>
      </c>
      <c r="J1717" s="7">
        <f t="shared" si="80"/>
        <v>21.461071812633691</v>
      </c>
      <c r="K1717" s="7"/>
    </row>
    <row r="1718" spans="1:11" x14ac:dyDescent="0.25">
      <c r="A1718" s="1" t="s">
        <v>19</v>
      </c>
      <c r="B1718" s="2">
        <v>201202</v>
      </c>
      <c r="C1718" s="2">
        <v>202004</v>
      </c>
      <c r="D1718" s="10">
        <v>0</v>
      </c>
      <c r="E1718" s="10">
        <v>0</v>
      </c>
      <c r="F1718" s="1">
        <v>0</v>
      </c>
      <c r="G1718" s="1">
        <v>0</v>
      </c>
      <c r="H1718">
        <f t="shared" si="78"/>
        <v>2012</v>
      </c>
      <c r="I1718">
        <f t="shared" si="79"/>
        <v>2020</v>
      </c>
      <c r="J1718" s="7">
        <f t="shared" si="80"/>
        <v>0</v>
      </c>
      <c r="K1718" s="7"/>
    </row>
    <row r="1719" spans="1:11" x14ac:dyDescent="0.25">
      <c r="A1719" s="1" t="s">
        <v>19</v>
      </c>
      <c r="B1719" s="2">
        <v>201202</v>
      </c>
      <c r="C1719" s="2">
        <v>202101</v>
      </c>
      <c r="D1719" s="10">
        <v>0</v>
      </c>
      <c r="E1719" s="10">
        <v>0</v>
      </c>
      <c r="F1719" s="1">
        <v>0</v>
      </c>
      <c r="G1719" s="1">
        <v>0</v>
      </c>
      <c r="H1719">
        <f t="shared" si="78"/>
        <v>2012</v>
      </c>
      <c r="I1719">
        <f t="shared" si="79"/>
        <v>2021</v>
      </c>
      <c r="J1719" s="7">
        <f t="shared" si="80"/>
        <v>0</v>
      </c>
      <c r="K1719" s="7"/>
    </row>
    <row r="1720" spans="1:11" x14ac:dyDescent="0.25">
      <c r="A1720" s="1" t="s">
        <v>19</v>
      </c>
      <c r="B1720" s="2">
        <v>201202</v>
      </c>
      <c r="C1720" s="2">
        <v>202102</v>
      </c>
      <c r="D1720" s="10">
        <v>0</v>
      </c>
      <c r="E1720" s="10">
        <v>0</v>
      </c>
      <c r="F1720" s="1">
        <v>0</v>
      </c>
      <c r="G1720" s="1">
        <v>0</v>
      </c>
      <c r="H1720">
        <f t="shared" si="78"/>
        <v>2012</v>
      </c>
      <c r="I1720">
        <f t="shared" si="79"/>
        <v>2021</v>
      </c>
      <c r="J1720" s="7">
        <f t="shared" si="80"/>
        <v>0</v>
      </c>
      <c r="K1720" s="7"/>
    </row>
    <row r="1721" spans="1:11" x14ac:dyDescent="0.25">
      <c r="A1721" s="1" t="s">
        <v>19</v>
      </c>
      <c r="B1721" s="2">
        <v>201202</v>
      </c>
      <c r="C1721" s="2">
        <v>202103</v>
      </c>
      <c r="D1721" s="10">
        <v>-70.819379342457765</v>
      </c>
      <c r="E1721" s="10">
        <v>0</v>
      </c>
      <c r="F1721" s="1">
        <v>0</v>
      </c>
      <c r="G1721" s="1">
        <v>0</v>
      </c>
      <c r="H1721">
        <f t="shared" si="78"/>
        <v>2012</v>
      </c>
      <c r="I1721">
        <f t="shared" si="79"/>
        <v>2021</v>
      </c>
      <c r="J1721" s="7">
        <f t="shared" si="80"/>
        <v>-70.819379342457765</v>
      </c>
      <c r="K1721" s="7"/>
    </row>
    <row r="1722" spans="1:11" x14ac:dyDescent="0.25">
      <c r="A1722" s="1" t="s">
        <v>19</v>
      </c>
      <c r="B1722" s="2">
        <v>201202</v>
      </c>
      <c r="C1722" s="2">
        <v>202104</v>
      </c>
      <c r="D1722" s="10">
        <v>0</v>
      </c>
      <c r="E1722" s="10">
        <v>0</v>
      </c>
      <c r="F1722" s="1">
        <v>0</v>
      </c>
      <c r="G1722" s="1">
        <v>0</v>
      </c>
      <c r="H1722">
        <f t="shared" si="78"/>
        <v>2012</v>
      </c>
      <c r="I1722">
        <f t="shared" si="79"/>
        <v>2021</v>
      </c>
      <c r="J1722" s="7">
        <f t="shared" si="80"/>
        <v>0</v>
      </c>
      <c r="K1722" s="7"/>
    </row>
    <row r="1723" spans="1:11" x14ac:dyDescent="0.25">
      <c r="A1723" s="1" t="s">
        <v>19</v>
      </c>
      <c r="B1723" s="2">
        <v>201203</v>
      </c>
      <c r="C1723" s="2">
        <v>201203</v>
      </c>
      <c r="D1723" s="10">
        <v>499924.85225403996</v>
      </c>
      <c r="E1723" s="10">
        <v>542358.78210795426</v>
      </c>
      <c r="F1723" s="1">
        <v>13624</v>
      </c>
      <c r="G1723" s="1">
        <v>5516</v>
      </c>
      <c r="H1723">
        <f t="shared" si="78"/>
        <v>2012</v>
      </c>
      <c r="I1723">
        <f t="shared" si="79"/>
        <v>2012</v>
      </c>
      <c r="J1723" s="7">
        <f t="shared" si="80"/>
        <v>1042283.6343619942</v>
      </c>
      <c r="K1723" s="7"/>
    </row>
    <row r="1724" spans="1:11" x14ac:dyDescent="0.25">
      <c r="A1724" s="1" t="s">
        <v>19</v>
      </c>
      <c r="B1724" s="2">
        <v>201203</v>
      </c>
      <c r="C1724" s="2">
        <v>201204</v>
      </c>
      <c r="D1724" s="10">
        <v>477230.67678467376</v>
      </c>
      <c r="E1724" s="10">
        <v>243166.59801585725</v>
      </c>
      <c r="F1724" s="1">
        <v>3531</v>
      </c>
      <c r="G1724" s="1">
        <v>2775</v>
      </c>
      <c r="H1724">
        <f t="shared" si="78"/>
        <v>2012</v>
      </c>
      <c r="I1724">
        <f t="shared" si="79"/>
        <v>2012</v>
      </c>
      <c r="J1724" s="7">
        <f t="shared" si="80"/>
        <v>720397.27480053098</v>
      </c>
      <c r="K1724" s="7"/>
    </row>
    <row r="1725" spans="1:11" x14ac:dyDescent="0.25">
      <c r="A1725" s="1" t="s">
        <v>19</v>
      </c>
      <c r="B1725" s="2">
        <v>201203</v>
      </c>
      <c r="C1725" s="2">
        <v>201301</v>
      </c>
      <c r="D1725" s="10">
        <v>67367.06685933414</v>
      </c>
      <c r="E1725" s="10">
        <v>134753.18768937999</v>
      </c>
      <c r="F1725" s="1">
        <v>421</v>
      </c>
      <c r="G1725" s="1">
        <v>1940</v>
      </c>
      <c r="H1725">
        <f t="shared" si="78"/>
        <v>2012</v>
      </c>
      <c r="I1725">
        <f t="shared" si="79"/>
        <v>2013</v>
      </c>
      <c r="J1725" s="7">
        <f t="shared" si="80"/>
        <v>202120.25454871415</v>
      </c>
      <c r="K1725" s="7"/>
    </row>
    <row r="1726" spans="1:11" x14ac:dyDescent="0.25">
      <c r="A1726" s="1" t="s">
        <v>19</v>
      </c>
      <c r="B1726" s="2">
        <v>201203</v>
      </c>
      <c r="C1726" s="2">
        <v>201302</v>
      </c>
      <c r="D1726" s="10">
        <v>37998.217978612607</v>
      </c>
      <c r="E1726" s="10">
        <v>88005.990566205059</v>
      </c>
      <c r="F1726" s="1">
        <v>183</v>
      </c>
      <c r="G1726" s="1">
        <v>1482</v>
      </c>
      <c r="H1726">
        <f t="shared" si="78"/>
        <v>2012</v>
      </c>
      <c r="I1726">
        <f t="shared" si="79"/>
        <v>2013</v>
      </c>
      <c r="J1726" s="7">
        <f t="shared" si="80"/>
        <v>126004.20854481767</v>
      </c>
      <c r="K1726" s="7"/>
    </row>
    <row r="1727" spans="1:11" x14ac:dyDescent="0.25">
      <c r="A1727" s="1" t="s">
        <v>19</v>
      </c>
      <c r="B1727" s="2">
        <v>201203</v>
      </c>
      <c r="C1727" s="2">
        <v>201303</v>
      </c>
      <c r="D1727" s="10">
        <v>8395.0885563503216</v>
      </c>
      <c r="E1727" s="10">
        <v>68154.71996778762</v>
      </c>
      <c r="F1727" s="1">
        <v>73</v>
      </c>
      <c r="G1727" s="1">
        <v>1195</v>
      </c>
      <c r="H1727">
        <f t="shared" si="78"/>
        <v>2012</v>
      </c>
      <c r="I1727">
        <f t="shared" si="79"/>
        <v>2013</v>
      </c>
      <c r="J1727" s="7">
        <f t="shared" si="80"/>
        <v>76549.808524137945</v>
      </c>
      <c r="K1727" s="7"/>
    </row>
    <row r="1728" spans="1:11" x14ac:dyDescent="0.25">
      <c r="A1728" s="1" t="s">
        <v>19</v>
      </c>
      <c r="B1728" s="2">
        <v>201203</v>
      </c>
      <c r="C1728" s="2">
        <v>201304</v>
      </c>
      <c r="D1728" s="10">
        <v>5269.7223914563747</v>
      </c>
      <c r="E1728" s="10">
        <v>64078.138930930254</v>
      </c>
      <c r="F1728" s="1">
        <v>43</v>
      </c>
      <c r="G1728" s="1">
        <v>922</v>
      </c>
      <c r="H1728">
        <f t="shared" si="78"/>
        <v>2012</v>
      </c>
      <c r="I1728">
        <f t="shared" si="79"/>
        <v>2013</v>
      </c>
      <c r="J1728" s="7">
        <f t="shared" si="80"/>
        <v>69347.861322386627</v>
      </c>
      <c r="K1728" s="7"/>
    </row>
    <row r="1729" spans="1:11" x14ac:dyDescent="0.25">
      <c r="A1729" s="1" t="s">
        <v>19</v>
      </c>
      <c r="B1729" s="2">
        <v>201203</v>
      </c>
      <c r="C1729" s="2">
        <v>201401</v>
      </c>
      <c r="D1729" s="10">
        <v>1473.7590003161238</v>
      </c>
      <c r="E1729" s="10">
        <v>38568.986841666781</v>
      </c>
      <c r="F1729" s="1">
        <v>31</v>
      </c>
      <c r="G1729" s="1">
        <v>713</v>
      </c>
      <c r="H1729">
        <f t="shared" si="78"/>
        <v>2012</v>
      </c>
      <c r="I1729">
        <f t="shared" si="79"/>
        <v>2014</v>
      </c>
      <c r="J1729" s="7">
        <f t="shared" si="80"/>
        <v>40042.745841982905</v>
      </c>
      <c r="K1729" s="7"/>
    </row>
    <row r="1730" spans="1:11" x14ac:dyDescent="0.25">
      <c r="A1730" s="1" t="s">
        <v>19</v>
      </c>
      <c r="B1730" s="2">
        <v>201203</v>
      </c>
      <c r="C1730" s="2">
        <v>201402</v>
      </c>
      <c r="D1730" s="10">
        <v>992.86212743837268</v>
      </c>
      <c r="E1730" s="10">
        <v>33411.342341798583</v>
      </c>
      <c r="F1730" s="1">
        <v>14</v>
      </c>
      <c r="G1730" s="1">
        <v>627</v>
      </c>
      <c r="H1730">
        <f t="shared" si="78"/>
        <v>2012</v>
      </c>
      <c r="I1730">
        <f t="shared" si="79"/>
        <v>2014</v>
      </c>
      <c r="J1730" s="7">
        <f t="shared" si="80"/>
        <v>34404.204469236953</v>
      </c>
      <c r="K1730" s="7"/>
    </row>
    <row r="1731" spans="1:11" x14ac:dyDescent="0.25">
      <c r="A1731" s="1" t="s">
        <v>19</v>
      </c>
      <c r="B1731" s="2">
        <v>201203</v>
      </c>
      <c r="C1731" s="2">
        <v>201403</v>
      </c>
      <c r="D1731" s="10">
        <v>1289.9311551452663</v>
      </c>
      <c r="E1731" s="10">
        <v>30750.875756965612</v>
      </c>
      <c r="F1731" s="1">
        <v>21</v>
      </c>
      <c r="G1731" s="1">
        <v>562</v>
      </c>
      <c r="H1731">
        <f t="shared" si="78"/>
        <v>2012</v>
      </c>
      <c r="I1731">
        <f t="shared" si="79"/>
        <v>2014</v>
      </c>
      <c r="J1731" s="7">
        <f t="shared" si="80"/>
        <v>32040.806912110878</v>
      </c>
      <c r="K1731" s="7"/>
    </row>
    <row r="1732" spans="1:11" x14ac:dyDescent="0.25">
      <c r="A1732" s="1" t="s">
        <v>19</v>
      </c>
      <c r="B1732" s="2">
        <v>201203</v>
      </c>
      <c r="C1732" s="2">
        <v>201404</v>
      </c>
      <c r="D1732" s="10">
        <v>937.03697794922584</v>
      </c>
      <c r="E1732" s="10">
        <v>34085.511506792209</v>
      </c>
      <c r="F1732" s="1">
        <v>8</v>
      </c>
      <c r="G1732" s="1">
        <v>510</v>
      </c>
      <c r="H1732">
        <f t="shared" ref="H1732:H1795" si="81">VALUE(LEFT(B1732,4))</f>
        <v>2012</v>
      </c>
      <c r="I1732">
        <f t="shared" ref="I1732:I1795" si="82">VALUE(LEFT(C1732,4))</f>
        <v>2014</v>
      </c>
      <c r="J1732" s="7">
        <f t="shared" si="80"/>
        <v>35022.548484741434</v>
      </c>
      <c r="K1732" s="7"/>
    </row>
    <row r="1733" spans="1:11" x14ac:dyDescent="0.25">
      <c r="A1733" s="1" t="s">
        <v>19</v>
      </c>
      <c r="B1733" s="2">
        <v>201203</v>
      </c>
      <c r="C1733" s="2">
        <v>201501</v>
      </c>
      <c r="D1733" s="10">
        <v>1054.162838292297</v>
      </c>
      <c r="E1733" s="10">
        <v>22563.119477126893</v>
      </c>
      <c r="F1733" s="1">
        <v>11</v>
      </c>
      <c r="G1733" s="1">
        <v>440</v>
      </c>
      <c r="H1733">
        <f t="shared" si="81"/>
        <v>2012</v>
      </c>
      <c r="I1733">
        <f t="shared" si="82"/>
        <v>2015</v>
      </c>
      <c r="J1733" s="7">
        <f t="shared" ref="J1733:J1796" si="83">D1733+E1733</f>
        <v>23617.28231541919</v>
      </c>
      <c r="K1733" s="7"/>
    </row>
    <row r="1734" spans="1:11" x14ac:dyDescent="0.25">
      <c r="A1734" s="1" t="s">
        <v>19</v>
      </c>
      <c r="B1734" s="2">
        <v>201203</v>
      </c>
      <c r="C1734" s="2">
        <v>201502</v>
      </c>
      <c r="D1734" s="10">
        <v>559.0084704602607</v>
      </c>
      <c r="E1734" s="10">
        <v>14217.149743123526</v>
      </c>
      <c r="F1734" s="1">
        <v>4</v>
      </c>
      <c r="G1734" s="1">
        <v>332</v>
      </c>
      <c r="H1734">
        <f t="shared" si="81"/>
        <v>2012</v>
      </c>
      <c r="I1734">
        <f t="shared" si="82"/>
        <v>2015</v>
      </c>
      <c r="J1734" s="7">
        <f t="shared" si="83"/>
        <v>14776.158213583787</v>
      </c>
      <c r="K1734" s="7"/>
    </row>
    <row r="1735" spans="1:11" x14ac:dyDescent="0.25">
      <c r="A1735" s="1" t="s">
        <v>19</v>
      </c>
      <c r="B1735" s="2">
        <v>201203</v>
      </c>
      <c r="C1735" s="2">
        <v>201503</v>
      </c>
      <c r="D1735" s="10">
        <v>426.88335673372364</v>
      </c>
      <c r="E1735" s="10">
        <v>12225.777335864801</v>
      </c>
      <c r="F1735" s="1">
        <v>21</v>
      </c>
      <c r="G1735" s="1">
        <v>268</v>
      </c>
      <c r="H1735">
        <f t="shared" si="81"/>
        <v>2012</v>
      </c>
      <c r="I1735">
        <f t="shared" si="82"/>
        <v>2015</v>
      </c>
      <c r="J1735" s="7">
        <f t="shared" si="83"/>
        <v>12652.660692598525</v>
      </c>
      <c r="K1735" s="7"/>
    </row>
    <row r="1736" spans="1:11" x14ac:dyDescent="0.25">
      <c r="A1736" s="1" t="s">
        <v>19</v>
      </c>
      <c r="B1736" s="2">
        <v>201203</v>
      </c>
      <c r="C1736" s="2">
        <v>201504</v>
      </c>
      <c r="D1736" s="10">
        <v>844.54755425281087</v>
      </c>
      <c r="E1736" s="10">
        <v>14681.735783485077</v>
      </c>
      <c r="F1736" s="1">
        <v>1</v>
      </c>
      <c r="G1736" s="1">
        <v>228</v>
      </c>
      <c r="H1736">
        <f t="shared" si="81"/>
        <v>2012</v>
      </c>
      <c r="I1736">
        <f t="shared" si="82"/>
        <v>2015</v>
      </c>
      <c r="J1736" s="7">
        <f t="shared" si="83"/>
        <v>15526.283337737888</v>
      </c>
      <c r="K1736" s="7"/>
    </row>
    <row r="1737" spans="1:11" x14ac:dyDescent="0.25">
      <c r="A1737" s="1" t="s">
        <v>19</v>
      </c>
      <c r="B1737" s="2">
        <v>201203</v>
      </c>
      <c r="C1737" s="2">
        <v>201601</v>
      </c>
      <c r="D1737" s="10">
        <v>373.06200701609038</v>
      </c>
      <c r="E1737" s="10">
        <v>10403.3872094</v>
      </c>
      <c r="F1737" s="1">
        <v>0</v>
      </c>
      <c r="G1737" s="1">
        <v>213</v>
      </c>
      <c r="H1737">
        <f t="shared" si="81"/>
        <v>2012</v>
      </c>
      <c r="I1737">
        <f t="shared" si="82"/>
        <v>2016</v>
      </c>
      <c r="J1737" s="7">
        <f t="shared" si="83"/>
        <v>10776.449216416091</v>
      </c>
      <c r="K1737" s="7"/>
    </row>
    <row r="1738" spans="1:11" x14ac:dyDescent="0.25">
      <c r="A1738" s="1" t="s">
        <v>19</v>
      </c>
      <c r="B1738" s="2">
        <v>201203</v>
      </c>
      <c r="C1738" s="2">
        <v>201602</v>
      </c>
      <c r="D1738" s="10">
        <v>-172.52983073664714</v>
      </c>
      <c r="E1738" s="10">
        <v>8582.671228415933</v>
      </c>
      <c r="F1738" s="1">
        <v>0</v>
      </c>
      <c r="G1738" s="1">
        <v>168</v>
      </c>
      <c r="H1738">
        <f t="shared" si="81"/>
        <v>2012</v>
      </c>
      <c r="I1738">
        <f t="shared" si="82"/>
        <v>2016</v>
      </c>
      <c r="J1738" s="7">
        <f t="shared" si="83"/>
        <v>8410.1413976792865</v>
      </c>
      <c r="K1738" s="7"/>
    </row>
    <row r="1739" spans="1:11" x14ac:dyDescent="0.25">
      <c r="A1739" s="1" t="s">
        <v>19</v>
      </c>
      <c r="B1739" s="2">
        <v>201203</v>
      </c>
      <c r="C1739" s="2">
        <v>201603</v>
      </c>
      <c r="D1739" s="10">
        <v>60.517618370927273</v>
      </c>
      <c r="E1739" s="10">
        <v>3701.8499887619382</v>
      </c>
      <c r="F1739" s="1">
        <v>1</v>
      </c>
      <c r="G1739" s="1">
        <v>94</v>
      </c>
      <c r="H1739">
        <f t="shared" si="81"/>
        <v>2012</v>
      </c>
      <c r="I1739">
        <f t="shared" si="82"/>
        <v>2016</v>
      </c>
      <c r="J1739" s="7">
        <f t="shared" si="83"/>
        <v>3762.3676071328655</v>
      </c>
      <c r="K1739" s="7"/>
    </row>
    <row r="1740" spans="1:11" x14ac:dyDescent="0.25">
      <c r="A1740" s="1" t="s">
        <v>19</v>
      </c>
      <c r="B1740" s="2">
        <v>201203</v>
      </c>
      <c r="C1740" s="2">
        <v>201604</v>
      </c>
      <c r="D1740" s="10">
        <v>820.13463590988499</v>
      </c>
      <c r="E1740" s="10">
        <v>3439.9684898946489</v>
      </c>
      <c r="F1740" s="1">
        <v>0</v>
      </c>
      <c r="G1740" s="1">
        <v>83</v>
      </c>
      <c r="H1740">
        <f t="shared" si="81"/>
        <v>2012</v>
      </c>
      <c r="I1740">
        <f t="shared" si="82"/>
        <v>2016</v>
      </c>
      <c r="J1740" s="7">
        <f t="shared" si="83"/>
        <v>4260.1031258045341</v>
      </c>
      <c r="K1740" s="7"/>
    </row>
    <row r="1741" spans="1:11" x14ac:dyDescent="0.25">
      <c r="A1741" s="1" t="s">
        <v>19</v>
      </c>
      <c r="B1741" s="2">
        <v>201203</v>
      </c>
      <c r="C1741" s="2">
        <v>201701</v>
      </c>
      <c r="D1741" s="10">
        <v>-421.2508225290357</v>
      </c>
      <c r="E1741" s="10">
        <v>950.2230506364416</v>
      </c>
      <c r="F1741" s="1">
        <v>0</v>
      </c>
      <c r="G1741" s="1">
        <v>60</v>
      </c>
      <c r="H1741">
        <f t="shared" si="81"/>
        <v>2012</v>
      </c>
      <c r="I1741">
        <f t="shared" si="82"/>
        <v>2017</v>
      </c>
      <c r="J1741" s="7">
        <f t="shared" si="83"/>
        <v>528.97222810740595</v>
      </c>
      <c r="K1741" s="7"/>
    </row>
    <row r="1742" spans="1:11" x14ac:dyDescent="0.25">
      <c r="A1742" s="1" t="s">
        <v>19</v>
      </c>
      <c r="B1742" s="2">
        <v>201203</v>
      </c>
      <c r="C1742" s="2">
        <v>201702</v>
      </c>
      <c r="D1742" s="10">
        <v>-14.136611845850773</v>
      </c>
      <c r="E1742" s="10">
        <v>553.53035992843138</v>
      </c>
      <c r="F1742" s="1">
        <v>0</v>
      </c>
      <c r="G1742" s="1">
        <v>33</v>
      </c>
      <c r="H1742">
        <f t="shared" si="81"/>
        <v>2012</v>
      </c>
      <c r="I1742">
        <f t="shared" si="82"/>
        <v>2017</v>
      </c>
      <c r="J1742" s="7">
        <f t="shared" si="83"/>
        <v>539.3937480825806</v>
      </c>
      <c r="K1742" s="7"/>
    </row>
    <row r="1743" spans="1:11" x14ac:dyDescent="0.25">
      <c r="A1743" s="1" t="s">
        <v>19</v>
      </c>
      <c r="B1743" s="2">
        <v>201203</v>
      </c>
      <c r="C1743" s="2">
        <v>201703</v>
      </c>
      <c r="D1743" s="10">
        <v>-39.571104509062714</v>
      </c>
      <c r="E1743" s="10">
        <v>279.0895442070435</v>
      </c>
      <c r="F1743" s="1">
        <v>0</v>
      </c>
      <c r="G1743" s="1">
        <v>26</v>
      </c>
      <c r="H1743">
        <f t="shared" si="81"/>
        <v>2012</v>
      </c>
      <c r="I1743">
        <f t="shared" si="82"/>
        <v>2017</v>
      </c>
      <c r="J1743" s="7">
        <f t="shared" si="83"/>
        <v>239.5184396979808</v>
      </c>
      <c r="K1743" s="7"/>
    </row>
    <row r="1744" spans="1:11" x14ac:dyDescent="0.25">
      <c r="A1744" s="1" t="s">
        <v>19</v>
      </c>
      <c r="B1744" s="2">
        <v>201203</v>
      </c>
      <c r="C1744" s="2">
        <v>201704</v>
      </c>
      <c r="D1744" s="10">
        <v>-484.20081472878962</v>
      </c>
      <c r="E1744" s="10">
        <v>-2.3432067787188031</v>
      </c>
      <c r="F1744" s="1">
        <v>0</v>
      </c>
      <c r="G1744" s="1">
        <v>20</v>
      </c>
      <c r="H1744">
        <f t="shared" si="81"/>
        <v>2012</v>
      </c>
      <c r="I1744">
        <f t="shared" si="82"/>
        <v>2017</v>
      </c>
      <c r="J1744" s="7">
        <f t="shared" si="83"/>
        <v>-486.54402150750843</v>
      </c>
      <c r="K1744" s="7"/>
    </row>
    <row r="1745" spans="1:11" x14ac:dyDescent="0.25">
      <c r="A1745" s="1" t="s">
        <v>19</v>
      </c>
      <c r="B1745" s="2">
        <v>201203</v>
      </c>
      <c r="C1745" s="2">
        <v>201801</v>
      </c>
      <c r="D1745" s="10">
        <v>-428.82739943219212</v>
      </c>
      <c r="E1745" s="10">
        <v>-101.92883509059655</v>
      </c>
      <c r="F1745" s="1">
        <v>0</v>
      </c>
      <c r="G1745" s="1">
        <v>19</v>
      </c>
      <c r="H1745">
        <f t="shared" si="81"/>
        <v>2012</v>
      </c>
      <c r="I1745">
        <f t="shared" si="82"/>
        <v>2018</v>
      </c>
      <c r="J1745" s="7">
        <f t="shared" si="83"/>
        <v>-530.75623452278865</v>
      </c>
      <c r="K1745" s="7"/>
    </row>
    <row r="1746" spans="1:11" x14ac:dyDescent="0.25">
      <c r="A1746" s="1" t="s">
        <v>19</v>
      </c>
      <c r="B1746" s="2">
        <v>201203</v>
      </c>
      <c r="C1746" s="2">
        <v>201802</v>
      </c>
      <c r="D1746" s="10">
        <v>-78.590737434518587</v>
      </c>
      <c r="E1746" s="10">
        <v>-238.23174978628074</v>
      </c>
      <c r="F1746" s="1">
        <v>0</v>
      </c>
      <c r="G1746" s="1">
        <v>17</v>
      </c>
      <c r="H1746">
        <f t="shared" si="81"/>
        <v>2012</v>
      </c>
      <c r="I1746">
        <f t="shared" si="82"/>
        <v>2018</v>
      </c>
      <c r="J1746" s="7">
        <f t="shared" si="83"/>
        <v>-316.8224872207993</v>
      </c>
      <c r="K1746" s="7"/>
    </row>
    <row r="1747" spans="1:11" x14ac:dyDescent="0.25">
      <c r="A1747" s="1" t="s">
        <v>19</v>
      </c>
      <c r="B1747" s="2">
        <v>201203</v>
      </c>
      <c r="C1747" s="2">
        <v>201803</v>
      </c>
      <c r="D1747" s="10">
        <v>9.9006606898780927</v>
      </c>
      <c r="E1747" s="10">
        <v>-155.9588009549324</v>
      </c>
      <c r="F1747" s="1">
        <v>1</v>
      </c>
      <c r="G1747" s="1">
        <v>16</v>
      </c>
      <c r="H1747">
        <f t="shared" si="81"/>
        <v>2012</v>
      </c>
      <c r="I1747">
        <f t="shared" si="82"/>
        <v>2018</v>
      </c>
      <c r="J1747" s="7">
        <f t="shared" si="83"/>
        <v>-146.05814026505431</v>
      </c>
      <c r="K1747" s="7"/>
    </row>
    <row r="1748" spans="1:11" x14ac:dyDescent="0.25">
      <c r="A1748" s="1" t="s">
        <v>19</v>
      </c>
      <c r="B1748" s="2">
        <v>201203</v>
      </c>
      <c r="C1748" s="2">
        <v>201804</v>
      </c>
      <c r="D1748" s="10">
        <v>-30.769077630886393</v>
      </c>
      <c r="E1748" s="10">
        <v>-36.519010736041643</v>
      </c>
      <c r="F1748" s="1">
        <v>0</v>
      </c>
      <c r="G1748" s="1">
        <v>15</v>
      </c>
      <c r="H1748">
        <f t="shared" si="81"/>
        <v>2012</v>
      </c>
      <c r="I1748">
        <f t="shared" si="82"/>
        <v>2018</v>
      </c>
      <c r="J1748" s="7">
        <f t="shared" si="83"/>
        <v>-67.288088366928037</v>
      </c>
      <c r="K1748" s="7"/>
    </row>
    <row r="1749" spans="1:11" x14ac:dyDescent="0.25">
      <c r="A1749" s="1" t="s">
        <v>19</v>
      </c>
      <c r="B1749" s="2">
        <v>201203</v>
      </c>
      <c r="C1749" s="2">
        <v>201901</v>
      </c>
      <c r="D1749" s="10">
        <v>-417.18839995824328</v>
      </c>
      <c r="E1749" s="10">
        <v>-16.092059731879477</v>
      </c>
      <c r="F1749" s="1">
        <v>0</v>
      </c>
      <c r="G1749" s="1">
        <v>15</v>
      </c>
      <c r="H1749">
        <f t="shared" si="81"/>
        <v>2012</v>
      </c>
      <c r="I1749">
        <f t="shared" si="82"/>
        <v>2019</v>
      </c>
      <c r="J1749" s="7">
        <f t="shared" si="83"/>
        <v>-433.28045969012277</v>
      </c>
      <c r="K1749" s="7"/>
    </row>
    <row r="1750" spans="1:11" x14ac:dyDescent="0.25">
      <c r="A1750" s="1" t="s">
        <v>19</v>
      </c>
      <c r="B1750" s="2">
        <v>201203</v>
      </c>
      <c r="C1750" s="2">
        <v>201902</v>
      </c>
      <c r="D1750" s="10">
        <v>-30.681427697480878</v>
      </c>
      <c r="E1750" s="10">
        <v>-65.123191163849327</v>
      </c>
      <c r="F1750" s="1">
        <v>0</v>
      </c>
      <c r="G1750" s="1">
        <v>12</v>
      </c>
      <c r="H1750">
        <f t="shared" si="81"/>
        <v>2012</v>
      </c>
      <c r="I1750">
        <f t="shared" si="82"/>
        <v>2019</v>
      </c>
      <c r="J1750" s="7">
        <f t="shared" si="83"/>
        <v>-95.804618861330198</v>
      </c>
      <c r="K1750" s="7"/>
    </row>
    <row r="1751" spans="1:11" x14ac:dyDescent="0.25">
      <c r="A1751" s="1" t="s">
        <v>19</v>
      </c>
      <c r="B1751" s="2">
        <v>201203</v>
      </c>
      <c r="C1751" s="2">
        <v>201903</v>
      </c>
      <c r="D1751" s="10">
        <v>-23.915535914767379</v>
      </c>
      <c r="E1751" s="10">
        <v>-45.452927675146363</v>
      </c>
      <c r="F1751" s="1">
        <v>0</v>
      </c>
      <c r="G1751" s="1">
        <v>12</v>
      </c>
      <c r="H1751">
        <f t="shared" si="81"/>
        <v>2012</v>
      </c>
      <c r="I1751">
        <f t="shared" si="82"/>
        <v>2019</v>
      </c>
      <c r="J1751" s="7">
        <f t="shared" si="83"/>
        <v>-69.368463589913745</v>
      </c>
      <c r="K1751" s="7"/>
    </row>
    <row r="1752" spans="1:11" x14ac:dyDescent="0.25">
      <c r="A1752" s="1" t="s">
        <v>19</v>
      </c>
      <c r="B1752" s="2">
        <v>201203</v>
      </c>
      <c r="C1752" s="2">
        <v>201904</v>
      </c>
      <c r="D1752" s="10">
        <v>-30.721395035507133</v>
      </c>
      <c r="E1752" s="10">
        <v>123.08535038258697</v>
      </c>
      <c r="F1752" s="1">
        <v>0</v>
      </c>
      <c r="G1752" s="1">
        <v>9</v>
      </c>
      <c r="H1752">
        <f t="shared" si="81"/>
        <v>2012</v>
      </c>
      <c r="I1752">
        <f t="shared" si="82"/>
        <v>2019</v>
      </c>
      <c r="J1752" s="7">
        <f t="shared" si="83"/>
        <v>92.363955347079838</v>
      </c>
      <c r="K1752" s="7"/>
    </row>
    <row r="1753" spans="1:11" x14ac:dyDescent="0.25">
      <c r="A1753" s="1" t="s">
        <v>19</v>
      </c>
      <c r="B1753" s="2">
        <v>201203</v>
      </c>
      <c r="C1753" s="2">
        <v>202001</v>
      </c>
      <c r="D1753" s="10">
        <v>-423.01116782309759</v>
      </c>
      <c r="E1753" s="10">
        <v>136.4337577427132</v>
      </c>
      <c r="F1753" s="1">
        <v>0</v>
      </c>
      <c r="G1753" s="1">
        <v>9</v>
      </c>
      <c r="H1753">
        <f t="shared" si="81"/>
        <v>2012</v>
      </c>
      <c r="I1753">
        <f t="shared" si="82"/>
        <v>2020</v>
      </c>
      <c r="J1753" s="7">
        <f t="shared" si="83"/>
        <v>-286.57741008038442</v>
      </c>
      <c r="K1753" s="7"/>
    </row>
    <row r="1754" spans="1:11" x14ac:dyDescent="0.25">
      <c r="A1754" s="1" t="s">
        <v>19</v>
      </c>
      <c r="B1754" s="2">
        <v>201203</v>
      </c>
      <c r="C1754" s="2">
        <v>202002</v>
      </c>
      <c r="D1754" s="10">
        <v>-36.601178290993772</v>
      </c>
      <c r="E1754" s="10">
        <v>97.621848454667159</v>
      </c>
      <c r="F1754" s="1">
        <v>0</v>
      </c>
      <c r="G1754" s="1">
        <v>8</v>
      </c>
      <c r="H1754">
        <f t="shared" si="81"/>
        <v>2012</v>
      </c>
      <c r="I1754">
        <f t="shared" si="82"/>
        <v>2020</v>
      </c>
      <c r="J1754" s="7">
        <f t="shared" si="83"/>
        <v>61.020670163673387</v>
      </c>
      <c r="K1754" s="7"/>
    </row>
    <row r="1755" spans="1:11" x14ac:dyDescent="0.25">
      <c r="A1755" s="1" t="s">
        <v>19</v>
      </c>
      <c r="B1755" s="2">
        <v>201203</v>
      </c>
      <c r="C1755" s="2">
        <v>202003</v>
      </c>
      <c r="D1755" s="10">
        <v>-14.324360844857749</v>
      </c>
      <c r="E1755" s="10">
        <v>38.601843798740582</v>
      </c>
      <c r="F1755" s="1">
        <v>0</v>
      </c>
      <c r="G1755" s="1">
        <v>7</v>
      </c>
      <c r="H1755">
        <f t="shared" si="81"/>
        <v>2012</v>
      </c>
      <c r="I1755">
        <f t="shared" si="82"/>
        <v>2020</v>
      </c>
      <c r="J1755" s="7">
        <f t="shared" si="83"/>
        <v>24.277482953882831</v>
      </c>
      <c r="K1755" s="7"/>
    </row>
    <row r="1756" spans="1:11" x14ac:dyDescent="0.25">
      <c r="A1756" s="1" t="s">
        <v>19</v>
      </c>
      <c r="B1756" s="2">
        <v>201203</v>
      </c>
      <c r="C1756" s="2">
        <v>202004</v>
      </c>
      <c r="D1756" s="10">
        <v>-31.07110491485513</v>
      </c>
      <c r="E1756" s="10">
        <v>33.240803690120678</v>
      </c>
      <c r="F1756" s="1">
        <v>0</v>
      </c>
      <c r="G1756" s="1">
        <v>6</v>
      </c>
      <c r="H1756">
        <f t="shared" si="81"/>
        <v>2012</v>
      </c>
      <c r="I1756">
        <f t="shared" si="82"/>
        <v>2020</v>
      </c>
      <c r="J1756" s="7">
        <f t="shared" si="83"/>
        <v>2.1696987752655481</v>
      </c>
      <c r="K1756" s="7"/>
    </row>
    <row r="1757" spans="1:11" x14ac:dyDescent="0.25">
      <c r="A1757" s="1" t="s">
        <v>19</v>
      </c>
      <c r="B1757" s="2">
        <v>201203</v>
      </c>
      <c r="C1757" s="2">
        <v>202101</v>
      </c>
      <c r="D1757" s="10">
        <v>-425.13256884769743</v>
      </c>
      <c r="E1757" s="10">
        <v>32.396377166102624</v>
      </c>
      <c r="F1757" s="1">
        <v>0</v>
      </c>
      <c r="G1757" s="1">
        <v>6</v>
      </c>
      <c r="H1757">
        <f t="shared" si="81"/>
        <v>2012</v>
      </c>
      <c r="I1757">
        <f t="shared" si="82"/>
        <v>2021</v>
      </c>
      <c r="J1757" s="7">
        <f t="shared" si="83"/>
        <v>-392.73619168159479</v>
      </c>
      <c r="K1757" s="7"/>
    </row>
    <row r="1758" spans="1:11" x14ac:dyDescent="0.25">
      <c r="A1758" s="1" t="s">
        <v>19</v>
      </c>
      <c r="B1758" s="2">
        <v>201203</v>
      </c>
      <c r="C1758" s="2">
        <v>202102</v>
      </c>
      <c r="D1758" s="10">
        <v>-23.829971362276744</v>
      </c>
      <c r="E1758" s="10">
        <v>33.557446248898934</v>
      </c>
      <c r="F1758" s="1">
        <v>0</v>
      </c>
      <c r="G1758" s="1">
        <v>6</v>
      </c>
      <c r="H1758">
        <f t="shared" si="81"/>
        <v>2012</v>
      </c>
      <c r="I1758">
        <f t="shared" si="82"/>
        <v>2021</v>
      </c>
      <c r="J1758" s="7">
        <f t="shared" si="83"/>
        <v>9.7274748866221898</v>
      </c>
      <c r="K1758" s="7"/>
    </row>
    <row r="1759" spans="1:11" x14ac:dyDescent="0.25">
      <c r="A1759" s="1" t="s">
        <v>19</v>
      </c>
      <c r="B1759" s="2">
        <v>201203</v>
      </c>
      <c r="C1759" s="2">
        <v>202103</v>
      </c>
      <c r="D1759" s="10">
        <v>-27.456666511954889</v>
      </c>
      <c r="E1759" s="10">
        <v>32.457211978729248</v>
      </c>
      <c r="F1759" s="1">
        <v>0</v>
      </c>
      <c r="G1759" s="1">
        <v>6</v>
      </c>
      <c r="H1759">
        <f t="shared" si="81"/>
        <v>2012</v>
      </c>
      <c r="I1759">
        <f t="shared" si="82"/>
        <v>2021</v>
      </c>
      <c r="J1759" s="7">
        <f t="shared" si="83"/>
        <v>5.0005454667743585</v>
      </c>
      <c r="K1759" s="7"/>
    </row>
    <row r="1760" spans="1:11" x14ac:dyDescent="0.25">
      <c r="A1760" s="1" t="s">
        <v>19</v>
      </c>
      <c r="B1760" s="2">
        <v>201203</v>
      </c>
      <c r="C1760" s="2">
        <v>202104</v>
      </c>
      <c r="D1760" s="10">
        <v>-37.411521849374587</v>
      </c>
      <c r="E1760" s="10">
        <v>118.89657141988684</v>
      </c>
      <c r="F1760" s="1">
        <v>0</v>
      </c>
      <c r="G1760" s="1">
        <v>6</v>
      </c>
      <c r="H1760">
        <f t="shared" si="81"/>
        <v>2012</v>
      </c>
      <c r="I1760">
        <f t="shared" si="82"/>
        <v>2021</v>
      </c>
      <c r="J1760" s="7">
        <f t="shared" si="83"/>
        <v>81.485049570512246</v>
      </c>
      <c r="K1760" s="7"/>
    </row>
    <row r="1761" spans="1:11" x14ac:dyDescent="0.25">
      <c r="A1761" s="1" t="s">
        <v>19</v>
      </c>
      <c r="B1761" s="2">
        <v>201204</v>
      </c>
      <c r="C1761" s="2">
        <v>201204</v>
      </c>
      <c r="D1761" s="10">
        <v>476163.5461207343</v>
      </c>
      <c r="E1761" s="10">
        <v>622364.2909459467</v>
      </c>
      <c r="F1761" s="1">
        <v>12577</v>
      </c>
      <c r="G1761" s="1">
        <v>5639</v>
      </c>
      <c r="H1761">
        <f t="shared" si="81"/>
        <v>2012</v>
      </c>
      <c r="I1761">
        <f t="shared" si="82"/>
        <v>2012</v>
      </c>
      <c r="J1761" s="7">
        <f t="shared" si="83"/>
        <v>1098527.8370666811</v>
      </c>
      <c r="K1761" s="7"/>
    </row>
    <row r="1762" spans="1:11" x14ac:dyDescent="0.25">
      <c r="A1762" s="1" t="s">
        <v>19</v>
      </c>
      <c r="B1762" s="2">
        <v>201204</v>
      </c>
      <c r="C1762" s="2">
        <v>201301</v>
      </c>
      <c r="D1762" s="10">
        <v>516331.50557494746</v>
      </c>
      <c r="E1762" s="10">
        <v>194933.66729759873</v>
      </c>
      <c r="F1762" s="1">
        <v>3825</v>
      </c>
      <c r="G1762" s="1">
        <v>2771</v>
      </c>
      <c r="H1762">
        <f t="shared" si="81"/>
        <v>2012</v>
      </c>
      <c r="I1762">
        <f t="shared" si="82"/>
        <v>2013</v>
      </c>
      <c r="J1762" s="7">
        <f t="shared" si="83"/>
        <v>711265.17287254613</v>
      </c>
      <c r="K1762" s="7"/>
    </row>
    <row r="1763" spans="1:11" x14ac:dyDescent="0.25">
      <c r="A1763" s="1" t="s">
        <v>19</v>
      </c>
      <c r="B1763" s="2">
        <v>201204</v>
      </c>
      <c r="C1763" s="2">
        <v>201302</v>
      </c>
      <c r="D1763" s="10">
        <v>68069.670720960698</v>
      </c>
      <c r="E1763" s="10">
        <v>127642.10602325383</v>
      </c>
      <c r="F1763" s="1">
        <v>545</v>
      </c>
      <c r="G1763" s="1">
        <v>1911</v>
      </c>
      <c r="H1763">
        <f t="shared" si="81"/>
        <v>2012</v>
      </c>
      <c r="I1763">
        <f t="shared" si="82"/>
        <v>2013</v>
      </c>
      <c r="J1763" s="7">
        <f t="shared" si="83"/>
        <v>195711.77674421453</v>
      </c>
      <c r="K1763" s="7"/>
    </row>
    <row r="1764" spans="1:11" x14ac:dyDescent="0.25">
      <c r="A1764" s="1" t="s">
        <v>19</v>
      </c>
      <c r="B1764" s="2">
        <v>201204</v>
      </c>
      <c r="C1764" s="2">
        <v>201303</v>
      </c>
      <c r="D1764" s="10">
        <v>27015.586795601524</v>
      </c>
      <c r="E1764" s="10">
        <v>93533.181401987749</v>
      </c>
      <c r="F1764" s="1">
        <v>184</v>
      </c>
      <c r="G1764" s="1">
        <v>1436</v>
      </c>
      <c r="H1764">
        <f t="shared" si="81"/>
        <v>2012</v>
      </c>
      <c r="I1764">
        <f t="shared" si="82"/>
        <v>2013</v>
      </c>
      <c r="J1764" s="7">
        <f t="shared" si="83"/>
        <v>120548.76819758928</v>
      </c>
      <c r="K1764" s="7"/>
    </row>
    <row r="1765" spans="1:11" x14ac:dyDescent="0.25">
      <c r="A1765" s="1" t="s">
        <v>19</v>
      </c>
      <c r="B1765" s="2">
        <v>201204</v>
      </c>
      <c r="C1765" s="2">
        <v>201304</v>
      </c>
      <c r="D1765" s="10">
        <v>8087.1134614483126</v>
      </c>
      <c r="E1765" s="10">
        <v>46673.671154100215</v>
      </c>
      <c r="F1765" s="1">
        <v>91</v>
      </c>
      <c r="G1765" s="1">
        <v>1072</v>
      </c>
      <c r="H1765">
        <f t="shared" si="81"/>
        <v>2012</v>
      </c>
      <c r="I1765">
        <f t="shared" si="82"/>
        <v>2013</v>
      </c>
      <c r="J1765" s="7">
        <f t="shared" si="83"/>
        <v>54760.784615548531</v>
      </c>
      <c r="K1765" s="7"/>
    </row>
    <row r="1766" spans="1:11" x14ac:dyDescent="0.25">
      <c r="A1766" s="1" t="s">
        <v>19</v>
      </c>
      <c r="B1766" s="2">
        <v>201204</v>
      </c>
      <c r="C1766" s="2">
        <v>201401</v>
      </c>
      <c r="D1766" s="10">
        <v>5805.2013043626594</v>
      </c>
      <c r="E1766" s="10">
        <v>59145.210280886298</v>
      </c>
      <c r="F1766" s="1">
        <v>46</v>
      </c>
      <c r="G1766" s="1">
        <v>885</v>
      </c>
      <c r="H1766">
        <f t="shared" si="81"/>
        <v>2012</v>
      </c>
      <c r="I1766">
        <f t="shared" si="82"/>
        <v>2014</v>
      </c>
      <c r="J1766" s="7">
        <f t="shared" si="83"/>
        <v>64950.411585248956</v>
      </c>
      <c r="K1766" s="7"/>
    </row>
    <row r="1767" spans="1:11" x14ac:dyDescent="0.25">
      <c r="A1767" s="1" t="s">
        <v>19</v>
      </c>
      <c r="B1767" s="2">
        <v>201204</v>
      </c>
      <c r="C1767" s="2">
        <v>201402</v>
      </c>
      <c r="D1767" s="10">
        <v>9352.8087441554871</v>
      </c>
      <c r="E1767" s="10">
        <v>42778.811578643908</v>
      </c>
      <c r="F1767" s="1">
        <v>33</v>
      </c>
      <c r="G1767" s="1">
        <v>716</v>
      </c>
      <c r="H1767">
        <f t="shared" si="81"/>
        <v>2012</v>
      </c>
      <c r="I1767">
        <f t="shared" si="82"/>
        <v>2014</v>
      </c>
      <c r="J1767" s="7">
        <f t="shared" si="83"/>
        <v>52131.620322799397</v>
      </c>
      <c r="K1767" s="7"/>
    </row>
    <row r="1768" spans="1:11" x14ac:dyDescent="0.25">
      <c r="A1768" s="1" t="s">
        <v>19</v>
      </c>
      <c r="B1768" s="2">
        <v>201204</v>
      </c>
      <c r="C1768" s="2">
        <v>201403</v>
      </c>
      <c r="D1768" s="10">
        <v>4297.112992468572</v>
      </c>
      <c r="E1768" s="10">
        <v>37340.501464115398</v>
      </c>
      <c r="F1768" s="1">
        <v>34</v>
      </c>
      <c r="G1768" s="1">
        <v>644</v>
      </c>
      <c r="H1768">
        <f t="shared" si="81"/>
        <v>2012</v>
      </c>
      <c r="I1768">
        <f t="shared" si="82"/>
        <v>2014</v>
      </c>
      <c r="J1768" s="7">
        <f t="shared" si="83"/>
        <v>41637.614456583971</v>
      </c>
      <c r="K1768" s="7"/>
    </row>
    <row r="1769" spans="1:11" x14ac:dyDescent="0.25">
      <c r="A1769" s="1" t="s">
        <v>19</v>
      </c>
      <c r="B1769" s="2">
        <v>201204</v>
      </c>
      <c r="C1769" s="2">
        <v>201404</v>
      </c>
      <c r="D1769" s="10">
        <v>56.396042748821117</v>
      </c>
      <c r="E1769" s="10">
        <v>38226.763421157055</v>
      </c>
      <c r="F1769" s="1">
        <v>11</v>
      </c>
      <c r="G1769" s="1">
        <v>575</v>
      </c>
      <c r="H1769">
        <f t="shared" si="81"/>
        <v>2012</v>
      </c>
      <c r="I1769">
        <f t="shared" si="82"/>
        <v>2014</v>
      </c>
      <c r="J1769" s="7">
        <f t="shared" si="83"/>
        <v>38283.159463905875</v>
      </c>
      <c r="K1769" s="7"/>
    </row>
    <row r="1770" spans="1:11" x14ac:dyDescent="0.25">
      <c r="A1770" s="1" t="s">
        <v>19</v>
      </c>
      <c r="B1770" s="2">
        <v>201204</v>
      </c>
      <c r="C1770" s="2">
        <v>201501</v>
      </c>
      <c r="D1770" s="10">
        <v>2349.6840304667803</v>
      </c>
      <c r="E1770" s="10">
        <v>25515.786390305613</v>
      </c>
      <c r="F1770" s="1">
        <v>6</v>
      </c>
      <c r="G1770" s="1">
        <v>472</v>
      </c>
      <c r="H1770">
        <f t="shared" si="81"/>
        <v>2012</v>
      </c>
      <c r="I1770">
        <f t="shared" si="82"/>
        <v>2015</v>
      </c>
      <c r="J1770" s="7">
        <f t="shared" si="83"/>
        <v>27865.470420772392</v>
      </c>
      <c r="K1770" s="7"/>
    </row>
    <row r="1771" spans="1:11" x14ac:dyDescent="0.25">
      <c r="A1771" s="1" t="s">
        <v>19</v>
      </c>
      <c r="B1771" s="2">
        <v>201204</v>
      </c>
      <c r="C1771" s="2">
        <v>201502</v>
      </c>
      <c r="D1771" s="10">
        <v>-179.15258823678616</v>
      </c>
      <c r="E1771" s="10">
        <v>18611.009941835749</v>
      </c>
      <c r="F1771" s="1">
        <v>13</v>
      </c>
      <c r="G1771" s="1">
        <v>344</v>
      </c>
      <c r="H1771">
        <f t="shared" si="81"/>
        <v>2012</v>
      </c>
      <c r="I1771">
        <f t="shared" si="82"/>
        <v>2015</v>
      </c>
      <c r="J1771" s="7">
        <f t="shared" si="83"/>
        <v>18431.857353598964</v>
      </c>
      <c r="K1771" s="7"/>
    </row>
    <row r="1772" spans="1:11" x14ac:dyDescent="0.25">
      <c r="A1772" s="1" t="s">
        <v>19</v>
      </c>
      <c r="B1772" s="2">
        <v>201204</v>
      </c>
      <c r="C1772" s="2">
        <v>201503</v>
      </c>
      <c r="D1772" s="10">
        <v>2197.5715585044713</v>
      </c>
      <c r="E1772" s="10">
        <v>16144.275306661983</v>
      </c>
      <c r="F1772" s="1">
        <v>30</v>
      </c>
      <c r="G1772" s="1">
        <v>298</v>
      </c>
      <c r="H1772">
        <f t="shared" si="81"/>
        <v>2012</v>
      </c>
      <c r="I1772">
        <f t="shared" si="82"/>
        <v>2015</v>
      </c>
      <c r="J1772" s="7">
        <f t="shared" si="83"/>
        <v>18341.846865166455</v>
      </c>
      <c r="K1772" s="7"/>
    </row>
    <row r="1773" spans="1:11" x14ac:dyDescent="0.25">
      <c r="A1773" s="1" t="s">
        <v>19</v>
      </c>
      <c r="B1773" s="2">
        <v>201204</v>
      </c>
      <c r="C1773" s="2">
        <v>201504</v>
      </c>
      <c r="D1773" s="10">
        <v>678.81408580734876</v>
      </c>
      <c r="E1773" s="10">
        <v>17988.500269534201</v>
      </c>
      <c r="F1773" s="1">
        <v>2</v>
      </c>
      <c r="G1773" s="1">
        <v>251</v>
      </c>
      <c r="H1773">
        <f t="shared" si="81"/>
        <v>2012</v>
      </c>
      <c r="I1773">
        <f t="shared" si="82"/>
        <v>2015</v>
      </c>
      <c r="J1773" s="7">
        <f t="shared" si="83"/>
        <v>18667.31435534155</v>
      </c>
      <c r="K1773" s="7"/>
    </row>
    <row r="1774" spans="1:11" x14ac:dyDescent="0.25">
      <c r="A1774" s="1" t="s">
        <v>19</v>
      </c>
      <c r="B1774" s="2">
        <v>201204</v>
      </c>
      <c r="C1774" s="2">
        <v>201601</v>
      </c>
      <c r="D1774" s="10">
        <v>1135.7990538663114</v>
      </c>
      <c r="E1774" s="10">
        <v>11262.456817020011</v>
      </c>
      <c r="F1774" s="1">
        <v>1</v>
      </c>
      <c r="G1774" s="1">
        <v>217</v>
      </c>
      <c r="H1774">
        <f t="shared" si="81"/>
        <v>2012</v>
      </c>
      <c r="I1774">
        <f t="shared" si="82"/>
        <v>2016</v>
      </c>
      <c r="J1774" s="7">
        <f t="shared" si="83"/>
        <v>12398.255870886322</v>
      </c>
      <c r="K1774" s="7"/>
    </row>
    <row r="1775" spans="1:11" x14ac:dyDescent="0.25">
      <c r="A1775" s="1" t="s">
        <v>19</v>
      </c>
      <c r="B1775" s="2">
        <v>201204</v>
      </c>
      <c r="C1775" s="2">
        <v>201602</v>
      </c>
      <c r="D1775" s="10">
        <v>101.64737855658606</v>
      </c>
      <c r="E1775" s="10">
        <v>8385.620614720825</v>
      </c>
      <c r="F1775" s="1">
        <v>0</v>
      </c>
      <c r="G1775" s="1">
        <v>177</v>
      </c>
      <c r="H1775">
        <f t="shared" si="81"/>
        <v>2012</v>
      </c>
      <c r="I1775">
        <f t="shared" si="82"/>
        <v>2016</v>
      </c>
      <c r="J1775" s="7">
        <f t="shared" si="83"/>
        <v>8487.2679932774117</v>
      </c>
      <c r="K1775" s="7"/>
    </row>
    <row r="1776" spans="1:11" x14ac:dyDescent="0.25">
      <c r="A1776" s="1" t="s">
        <v>19</v>
      </c>
      <c r="B1776" s="2">
        <v>201204</v>
      </c>
      <c r="C1776" s="2">
        <v>201603</v>
      </c>
      <c r="D1776" s="10">
        <v>-2877.0207214204997</v>
      </c>
      <c r="E1776" s="10">
        <v>2454.2669625445496</v>
      </c>
      <c r="F1776" s="1">
        <v>0</v>
      </c>
      <c r="G1776" s="1">
        <v>81</v>
      </c>
      <c r="H1776">
        <f t="shared" si="81"/>
        <v>2012</v>
      </c>
      <c r="I1776">
        <f t="shared" si="82"/>
        <v>2016</v>
      </c>
      <c r="J1776" s="7">
        <f t="shared" si="83"/>
        <v>-422.7537588759501</v>
      </c>
      <c r="K1776" s="7"/>
    </row>
    <row r="1777" spans="1:11" x14ac:dyDescent="0.25">
      <c r="A1777" s="1" t="s">
        <v>19</v>
      </c>
      <c r="B1777" s="2">
        <v>201204</v>
      </c>
      <c r="C1777" s="2">
        <v>201604</v>
      </c>
      <c r="D1777" s="10">
        <v>-142.87274576143432</v>
      </c>
      <c r="E1777" s="10">
        <v>4251.744516811008</v>
      </c>
      <c r="F1777" s="1">
        <v>2</v>
      </c>
      <c r="G1777" s="1">
        <v>75</v>
      </c>
      <c r="H1777">
        <f t="shared" si="81"/>
        <v>2012</v>
      </c>
      <c r="I1777">
        <f t="shared" si="82"/>
        <v>2016</v>
      </c>
      <c r="J1777" s="7">
        <f t="shared" si="83"/>
        <v>4108.8717710495739</v>
      </c>
      <c r="K1777" s="7"/>
    </row>
    <row r="1778" spans="1:11" x14ac:dyDescent="0.25">
      <c r="A1778" s="1" t="s">
        <v>19</v>
      </c>
      <c r="B1778" s="2">
        <v>201204</v>
      </c>
      <c r="C1778" s="2">
        <v>201701</v>
      </c>
      <c r="D1778" s="10">
        <v>-447.32256746865568</v>
      </c>
      <c r="E1778" s="10">
        <v>832.67055406395968</v>
      </c>
      <c r="F1778" s="1">
        <v>0</v>
      </c>
      <c r="G1778" s="1">
        <v>57</v>
      </c>
      <c r="H1778">
        <f t="shared" si="81"/>
        <v>2012</v>
      </c>
      <c r="I1778">
        <f t="shared" si="82"/>
        <v>2017</v>
      </c>
      <c r="J1778" s="7">
        <f t="shared" si="83"/>
        <v>385.34798659530401</v>
      </c>
      <c r="K1778" s="7"/>
    </row>
    <row r="1779" spans="1:11" x14ac:dyDescent="0.25">
      <c r="A1779" s="1" t="s">
        <v>19</v>
      </c>
      <c r="B1779" s="2">
        <v>201204</v>
      </c>
      <c r="C1779" s="2">
        <v>201702</v>
      </c>
      <c r="D1779" s="10">
        <v>-271.72963747001052</v>
      </c>
      <c r="E1779" s="10">
        <v>-104.68274450067223</v>
      </c>
      <c r="F1779" s="1">
        <v>0</v>
      </c>
      <c r="G1779" s="1">
        <v>36</v>
      </c>
      <c r="H1779">
        <f t="shared" si="81"/>
        <v>2012</v>
      </c>
      <c r="I1779">
        <f t="shared" si="82"/>
        <v>2017</v>
      </c>
      <c r="J1779" s="7">
        <f t="shared" si="83"/>
        <v>-376.41238197068276</v>
      </c>
      <c r="K1779" s="7"/>
    </row>
    <row r="1780" spans="1:11" x14ac:dyDescent="0.25">
      <c r="A1780" s="1" t="s">
        <v>19</v>
      </c>
      <c r="B1780" s="2">
        <v>201204</v>
      </c>
      <c r="C1780" s="2">
        <v>201703</v>
      </c>
      <c r="D1780" s="10">
        <v>-527.82821046689753</v>
      </c>
      <c r="E1780" s="10">
        <v>189.1548950032917</v>
      </c>
      <c r="F1780" s="1">
        <v>0</v>
      </c>
      <c r="G1780" s="1">
        <v>26</v>
      </c>
      <c r="H1780">
        <f t="shared" si="81"/>
        <v>2012</v>
      </c>
      <c r="I1780">
        <f t="shared" si="82"/>
        <v>2017</v>
      </c>
      <c r="J1780" s="7">
        <f t="shared" si="83"/>
        <v>-338.67331546360583</v>
      </c>
      <c r="K1780" s="7"/>
    </row>
    <row r="1781" spans="1:11" x14ac:dyDescent="0.25">
      <c r="A1781" s="1" t="s">
        <v>19</v>
      </c>
      <c r="B1781" s="2">
        <v>201204</v>
      </c>
      <c r="C1781" s="2">
        <v>201704</v>
      </c>
      <c r="D1781" s="10">
        <v>-242.57310369588819</v>
      </c>
      <c r="E1781" s="10">
        <v>484.85844132131393</v>
      </c>
      <c r="F1781" s="1">
        <v>0</v>
      </c>
      <c r="G1781" s="1">
        <v>19</v>
      </c>
      <c r="H1781">
        <f t="shared" si="81"/>
        <v>2012</v>
      </c>
      <c r="I1781">
        <f t="shared" si="82"/>
        <v>2017</v>
      </c>
      <c r="J1781" s="7">
        <f t="shared" si="83"/>
        <v>242.28533762542574</v>
      </c>
      <c r="K1781" s="7"/>
    </row>
    <row r="1782" spans="1:11" x14ac:dyDescent="0.25">
      <c r="A1782" s="1" t="s">
        <v>19</v>
      </c>
      <c r="B1782" s="2">
        <v>201204</v>
      </c>
      <c r="C1782" s="2">
        <v>201801</v>
      </c>
      <c r="D1782" s="10">
        <v>-169.54904301671544</v>
      </c>
      <c r="E1782" s="10">
        <v>209.62439796769985</v>
      </c>
      <c r="F1782" s="1">
        <v>0</v>
      </c>
      <c r="G1782" s="1">
        <v>16</v>
      </c>
      <c r="H1782">
        <f t="shared" si="81"/>
        <v>2012</v>
      </c>
      <c r="I1782">
        <f t="shared" si="82"/>
        <v>2018</v>
      </c>
      <c r="J1782" s="7">
        <f t="shared" si="83"/>
        <v>40.075354950984405</v>
      </c>
      <c r="K1782" s="7"/>
    </row>
    <row r="1783" spans="1:11" x14ac:dyDescent="0.25">
      <c r="A1783" s="1" t="s">
        <v>19</v>
      </c>
      <c r="B1783" s="2">
        <v>201204</v>
      </c>
      <c r="C1783" s="2">
        <v>201802</v>
      </c>
      <c r="D1783" s="10">
        <v>-230.49596183322649</v>
      </c>
      <c r="E1783" s="10">
        <v>136.65483466401528</v>
      </c>
      <c r="F1783" s="1">
        <v>0</v>
      </c>
      <c r="G1783" s="1">
        <v>10</v>
      </c>
      <c r="H1783">
        <f t="shared" si="81"/>
        <v>2012</v>
      </c>
      <c r="I1783">
        <f t="shared" si="82"/>
        <v>2018</v>
      </c>
      <c r="J1783" s="7">
        <f t="shared" si="83"/>
        <v>-93.841127169211205</v>
      </c>
      <c r="K1783" s="7"/>
    </row>
    <row r="1784" spans="1:11" x14ac:dyDescent="0.25">
      <c r="A1784" s="1" t="s">
        <v>19</v>
      </c>
      <c r="B1784" s="2">
        <v>201204</v>
      </c>
      <c r="C1784" s="2">
        <v>201803</v>
      </c>
      <c r="D1784" s="10">
        <v>-36.26122090322481</v>
      </c>
      <c r="E1784" s="10">
        <v>148.75058113209769</v>
      </c>
      <c r="F1784" s="1">
        <v>0</v>
      </c>
      <c r="G1784" s="1">
        <v>10</v>
      </c>
      <c r="H1784">
        <f t="shared" si="81"/>
        <v>2012</v>
      </c>
      <c r="I1784">
        <f t="shared" si="82"/>
        <v>2018</v>
      </c>
      <c r="J1784" s="7">
        <f t="shared" si="83"/>
        <v>112.48936022887288</v>
      </c>
      <c r="K1784" s="7"/>
    </row>
    <row r="1785" spans="1:11" x14ac:dyDescent="0.25">
      <c r="A1785" s="1" t="s">
        <v>19</v>
      </c>
      <c r="B1785" s="2">
        <v>201204</v>
      </c>
      <c r="C1785" s="2">
        <v>201804</v>
      </c>
      <c r="D1785" s="10">
        <v>-175.86428952126457</v>
      </c>
      <c r="E1785" s="10">
        <v>176.14939349822242</v>
      </c>
      <c r="F1785" s="1">
        <v>0</v>
      </c>
      <c r="G1785" s="1">
        <v>9</v>
      </c>
      <c r="H1785">
        <f t="shared" si="81"/>
        <v>2012</v>
      </c>
      <c r="I1785">
        <f t="shared" si="82"/>
        <v>2018</v>
      </c>
      <c r="J1785" s="7">
        <f t="shared" si="83"/>
        <v>0.28510397695785628</v>
      </c>
      <c r="K1785" s="7"/>
    </row>
    <row r="1786" spans="1:11" x14ac:dyDescent="0.25">
      <c r="A1786" s="1" t="s">
        <v>19</v>
      </c>
      <c r="B1786" s="2">
        <v>201204</v>
      </c>
      <c r="C1786" s="2">
        <v>201901</v>
      </c>
      <c r="D1786" s="10">
        <v>-29.111113054698706</v>
      </c>
      <c r="E1786" s="10">
        <v>125.26302470799529</v>
      </c>
      <c r="F1786" s="1">
        <v>0</v>
      </c>
      <c r="G1786" s="1">
        <v>9</v>
      </c>
      <c r="H1786">
        <f t="shared" si="81"/>
        <v>2012</v>
      </c>
      <c r="I1786">
        <f t="shared" si="82"/>
        <v>2019</v>
      </c>
      <c r="J1786" s="7">
        <f t="shared" si="83"/>
        <v>96.15191165329658</v>
      </c>
      <c r="K1786" s="7"/>
    </row>
    <row r="1787" spans="1:11" x14ac:dyDescent="0.25">
      <c r="A1787" s="1" t="s">
        <v>19</v>
      </c>
      <c r="B1787" s="2">
        <v>201204</v>
      </c>
      <c r="C1787" s="2">
        <v>201902</v>
      </c>
      <c r="D1787" s="10">
        <v>-184.95348787266983</v>
      </c>
      <c r="E1787" s="10">
        <v>114.2069406540964</v>
      </c>
      <c r="F1787" s="1">
        <v>0</v>
      </c>
      <c r="G1787" s="1">
        <v>7</v>
      </c>
      <c r="H1787">
        <f t="shared" si="81"/>
        <v>2012</v>
      </c>
      <c r="I1787">
        <f t="shared" si="82"/>
        <v>2019</v>
      </c>
      <c r="J1787" s="7">
        <f t="shared" si="83"/>
        <v>-70.746547218573426</v>
      </c>
      <c r="K1787" s="7"/>
    </row>
    <row r="1788" spans="1:11" x14ac:dyDescent="0.25">
      <c r="A1788" s="1" t="s">
        <v>19</v>
      </c>
      <c r="B1788" s="2">
        <v>201204</v>
      </c>
      <c r="C1788" s="2">
        <v>201903</v>
      </c>
      <c r="D1788" s="10">
        <v>-24.039366990063165</v>
      </c>
      <c r="E1788" s="10">
        <v>138.54148822559927</v>
      </c>
      <c r="F1788" s="1">
        <v>0</v>
      </c>
      <c r="G1788" s="1">
        <v>7</v>
      </c>
      <c r="H1788">
        <f t="shared" si="81"/>
        <v>2012</v>
      </c>
      <c r="I1788">
        <f t="shared" si="82"/>
        <v>2019</v>
      </c>
      <c r="J1788" s="7">
        <f t="shared" si="83"/>
        <v>114.50212123553609</v>
      </c>
      <c r="K1788" s="7"/>
    </row>
    <row r="1789" spans="1:11" x14ac:dyDescent="0.25">
      <c r="A1789" s="1" t="s">
        <v>19</v>
      </c>
      <c r="B1789" s="2">
        <v>201204</v>
      </c>
      <c r="C1789" s="2">
        <v>201904</v>
      </c>
      <c r="D1789" s="10">
        <v>-23.748774419328107</v>
      </c>
      <c r="E1789" s="10">
        <v>90.039429121253619</v>
      </c>
      <c r="F1789" s="1">
        <v>0</v>
      </c>
      <c r="G1789" s="1">
        <v>6</v>
      </c>
      <c r="H1789">
        <f t="shared" si="81"/>
        <v>2012</v>
      </c>
      <c r="I1789">
        <f t="shared" si="82"/>
        <v>2019</v>
      </c>
      <c r="J1789" s="7">
        <f t="shared" si="83"/>
        <v>66.290654701925519</v>
      </c>
      <c r="K1789" s="7"/>
    </row>
    <row r="1790" spans="1:11" x14ac:dyDescent="0.25">
      <c r="A1790" s="1" t="s">
        <v>19</v>
      </c>
      <c r="B1790" s="2">
        <v>201204</v>
      </c>
      <c r="C1790" s="2">
        <v>202001</v>
      </c>
      <c r="D1790" s="10">
        <v>-23.832583769475463</v>
      </c>
      <c r="E1790" s="10">
        <v>82.0336562940156</v>
      </c>
      <c r="F1790" s="1">
        <v>0</v>
      </c>
      <c r="G1790" s="1">
        <v>5</v>
      </c>
      <c r="H1790">
        <f t="shared" si="81"/>
        <v>2012</v>
      </c>
      <c r="I1790">
        <f t="shared" si="82"/>
        <v>2020</v>
      </c>
      <c r="J1790" s="7">
        <f t="shared" si="83"/>
        <v>58.201072524540137</v>
      </c>
      <c r="K1790" s="7"/>
    </row>
    <row r="1791" spans="1:11" x14ac:dyDescent="0.25">
      <c r="A1791" s="1" t="s">
        <v>19</v>
      </c>
      <c r="B1791" s="2">
        <v>201204</v>
      </c>
      <c r="C1791" s="2">
        <v>202002</v>
      </c>
      <c r="D1791" s="10">
        <v>-24.46120030539085</v>
      </c>
      <c r="E1791" s="10">
        <v>20.139470212172522</v>
      </c>
      <c r="F1791" s="1">
        <v>0</v>
      </c>
      <c r="G1791" s="1">
        <v>4</v>
      </c>
      <c r="H1791">
        <f t="shared" si="81"/>
        <v>2012</v>
      </c>
      <c r="I1791">
        <f t="shared" si="82"/>
        <v>2020</v>
      </c>
      <c r="J1791" s="7">
        <f t="shared" si="83"/>
        <v>-4.3217300932183278</v>
      </c>
      <c r="K1791" s="7"/>
    </row>
    <row r="1792" spans="1:11" x14ac:dyDescent="0.25">
      <c r="A1792" s="1" t="s">
        <v>19</v>
      </c>
      <c r="B1792" s="2">
        <v>201204</v>
      </c>
      <c r="C1792" s="2">
        <v>202003</v>
      </c>
      <c r="D1792" s="10">
        <v>-24.275278089204349</v>
      </c>
      <c r="E1792" s="10">
        <v>-35.759267669082782</v>
      </c>
      <c r="F1792" s="1">
        <v>0</v>
      </c>
      <c r="G1792" s="1">
        <v>4</v>
      </c>
      <c r="H1792">
        <f t="shared" si="81"/>
        <v>2012</v>
      </c>
      <c r="I1792">
        <f t="shared" si="82"/>
        <v>2020</v>
      </c>
      <c r="J1792" s="7">
        <f t="shared" si="83"/>
        <v>-60.03454575828713</v>
      </c>
      <c r="K1792" s="7"/>
    </row>
    <row r="1793" spans="1:11" x14ac:dyDescent="0.25">
      <c r="A1793" s="1" t="s">
        <v>19</v>
      </c>
      <c r="B1793" s="2">
        <v>201204</v>
      </c>
      <c r="C1793" s="2">
        <v>202004</v>
      </c>
      <c r="D1793" s="10">
        <v>-24.00359031943421</v>
      </c>
      <c r="E1793" s="10">
        <v>-12.00566682979902</v>
      </c>
      <c r="F1793" s="1">
        <v>0</v>
      </c>
      <c r="G1793" s="1">
        <v>4</v>
      </c>
      <c r="H1793">
        <f t="shared" si="81"/>
        <v>2012</v>
      </c>
      <c r="I1793">
        <f t="shared" si="82"/>
        <v>2020</v>
      </c>
      <c r="J1793" s="7">
        <f t="shared" si="83"/>
        <v>-36.009257149233228</v>
      </c>
      <c r="K1793" s="7"/>
    </row>
    <row r="1794" spans="1:11" x14ac:dyDescent="0.25">
      <c r="A1794" s="1" t="s">
        <v>19</v>
      </c>
      <c r="B1794" s="2">
        <v>201204</v>
      </c>
      <c r="C1794" s="2">
        <v>202101</v>
      </c>
      <c r="D1794" s="10">
        <v>218.63063545865759</v>
      </c>
      <c r="E1794" s="10">
        <v>121.28269219219919</v>
      </c>
      <c r="F1794" s="1">
        <v>0</v>
      </c>
      <c r="G1794" s="1">
        <v>4</v>
      </c>
      <c r="H1794">
        <f t="shared" si="81"/>
        <v>2012</v>
      </c>
      <c r="I1794">
        <f t="shared" si="82"/>
        <v>2021</v>
      </c>
      <c r="J1794" s="7">
        <f t="shared" si="83"/>
        <v>339.91332765085679</v>
      </c>
      <c r="K1794" s="7"/>
    </row>
    <row r="1795" spans="1:11" x14ac:dyDescent="0.25">
      <c r="A1795" s="1" t="s">
        <v>19</v>
      </c>
      <c r="B1795" s="2">
        <v>201204</v>
      </c>
      <c r="C1795" s="2">
        <v>202102</v>
      </c>
      <c r="D1795" s="10">
        <v>-23.911218168515866</v>
      </c>
      <c r="E1795" s="10">
        <v>121.43504629413079</v>
      </c>
      <c r="F1795" s="1">
        <v>0</v>
      </c>
      <c r="G1795" s="1">
        <v>4</v>
      </c>
      <c r="H1795">
        <f t="shared" si="81"/>
        <v>2012</v>
      </c>
      <c r="I1795">
        <f t="shared" si="82"/>
        <v>2021</v>
      </c>
      <c r="J1795" s="7">
        <f t="shared" si="83"/>
        <v>97.523828125614926</v>
      </c>
      <c r="K1795" s="7"/>
    </row>
    <row r="1796" spans="1:11" x14ac:dyDescent="0.25">
      <c r="A1796" s="1" t="s">
        <v>19</v>
      </c>
      <c r="B1796" s="2">
        <v>201204</v>
      </c>
      <c r="C1796" s="2">
        <v>202103</v>
      </c>
      <c r="D1796" s="10">
        <v>-21.005033095153056</v>
      </c>
      <c r="E1796" s="10">
        <v>121.03798669715479</v>
      </c>
      <c r="F1796" s="1">
        <v>0</v>
      </c>
      <c r="G1796" s="1">
        <v>3</v>
      </c>
      <c r="H1796">
        <f t="shared" ref="H1796:H1859" si="84">VALUE(LEFT(B1796,4))</f>
        <v>2012</v>
      </c>
      <c r="I1796">
        <f t="shared" ref="I1796:I1859" si="85">VALUE(LEFT(C1796,4))</f>
        <v>2021</v>
      </c>
      <c r="J1796" s="7">
        <f t="shared" si="83"/>
        <v>100.03295360200174</v>
      </c>
      <c r="K1796" s="7"/>
    </row>
    <row r="1797" spans="1:11" x14ac:dyDescent="0.25">
      <c r="A1797" s="1" t="s">
        <v>19</v>
      </c>
      <c r="B1797" s="2">
        <v>201204</v>
      </c>
      <c r="C1797" s="2">
        <v>202104</v>
      </c>
      <c r="D1797" s="10">
        <v>0</v>
      </c>
      <c r="E1797" s="10">
        <v>20.18819671287547</v>
      </c>
      <c r="F1797" s="1">
        <v>0</v>
      </c>
      <c r="G1797" s="1">
        <v>3</v>
      </c>
      <c r="H1797">
        <f t="shared" si="84"/>
        <v>2012</v>
      </c>
      <c r="I1797">
        <f t="shared" si="85"/>
        <v>2021</v>
      </c>
      <c r="J1797" s="7">
        <f t="shared" ref="J1797:J1860" si="86">D1797+E1797</f>
        <v>20.18819671287547</v>
      </c>
      <c r="K1797" s="7"/>
    </row>
    <row r="1798" spans="1:11" x14ac:dyDescent="0.25">
      <c r="A1798" s="1" t="s">
        <v>19</v>
      </c>
      <c r="B1798" s="2">
        <v>201301</v>
      </c>
      <c r="C1798" s="2">
        <v>201301</v>
      </c>
      <c r="D1798" s="10">
        <v>553561.38925987226</v>
      </c>
      <c r="E1798" s="10">
        <v>530478.50450776413</v>
      </c>
      <c r="F1798" s="1">
        <v>13019</v>
      </c>
      <c r="G1798" s="1">
        <v>5466</v>
      </c>
      <c r="H1798">
        <f t="shared" si="84"/>
        <v>2013</v>
      </c>
      <c r="I1798">
        <f t="shared" si="85"/>
        <v>2013</v>
      </c>
      <c r="J1798" s="7">
        <f t="shared" si="86"/>
        <v>1084039.8937676363</v>
      </c>
      <c r="K1798" s="7"/>
    </row>
    <row r="1799" spans="1:11" x14ac:dyDescent="0.25">
      <c r="A1799" s="1" t="s">
        <v>19</v>
      </c>
      <c r="B1799" s="2">
        <v>201301</v>
      </c>
      <c r="C1799" s="2">
        <v>201302</v>
      </c>
      <c r="D1799" s="10">
        <v>649404.74400958524</v>
      </c>
      <c r="E1799" s="10">
        <v>220307.74606697648</v>
      </c>
      <c r="F1799" s="1">
        <v>5000</v>
      </c>
      <c r="G1799" s="1">
        <v>2795</v>
      </c>
      <c r="H1799">
        <f t="shared" si="84"/>
        <v>2013</v>
      </c>
      <c r="I1799">
        <f t="shared" si="85"/>
        <v>2013</v>
      </c>
      <c r="J1799" s="7">
        <f t="shared" si="86"/>
        <v>869712.49007656169</v>
      </c>
      <c r="K1799" s="7"/>
    </row>
    <row r="1800" spans="1:11" x14ac:dyDescent="0.25">
      <c r="A1800" s="1" t="s">
        <v>19</v>
      </c>
      <c r="B1800" s="2">
        <v>201301</v>
      </c>
      <c r="C1800" s="2">
        <v>201303</v>
      </c>
      <c r="D1800" s="10">
        <v>248082.65951697979</v>
      </c>
      <c r="E1800" s="10">
        <v>125180.0855257043</v>
      </c>
      <c r="F1800" s="1">
        <v>687</v>
      </c>
      <c r="G1800" s="1">
        <v>1872</v>
      </c>
      <c r="H1800">
        <f t="shared" si="84"/>
        <v>2013</v>
      </c>
      <c r="I1800">
        <f t="shared" si="85"/>
        <v>2013</v>
      </c>
      <c r="J1800" s="7">
        <f t="shared" si="86"/>
        <v>373262.74504268408</v>
      </c>
      <c r="K1800" s="7"/>
    </row>
    <row r="1801" spans="1:11" x14ac:dyDescent="0.25">
      <c r="A1801" s="1" t="s">
        <v>19</v>
      </c>
      <c r="B1801" s="2">
        <v>201301</v>
      </c>
      <c r="C1801" s="2">
        <v>201304</v>
      </c>
      <c r="D1801" s="10">
        <v>218479.27905142761</v>
      </c>
      <c r="E1801" s="10">
        <v>115590.20399640249</v>
      </c>
      <c r="F1801" s="1">
        <v>243</v>
      </c>
      <c r="G1801" s="1">
        <v>1453</v>
      </c>
      <c r="H1801">
        <f t="shared" si="84"/>
        <v>2013</v>
      </c>
      <c r="I1801">
        <f t="shared" si="85"/>
        <v>2013</v>
      </c>
      <c r="J1801" s="7">
        <f t="shared" si="86"/>
        <v>334069.48304783012</v>
      </c>
      <c r="K1801" s="7"/>
    </row>
    <row r="1802" spans="1:11" x14ac:dyDescent="0.25">
      <c r="A1802" s="1" t="s">
        <v>19</v>
      </c>
      <c r="B1802" s="2">
        <v>201301</v>
      </c>
      <c r="C1802" s="2">
        <v>201401</v>
      </c>
      <c r="D1802" s="10">
        <v>113101.21315120639</v>
      </c>
      <c r="E1802" s="10">
        <v>68959.765005000037</v>
      </c>
      <c r="F1802" s="1">
        <v>153</v>
      </c>
      <c r="G1802" s="1">
        <v>1141</v>
      </c>
      <c r="H1802">
        <f t="shared" si="84"/>
        <v>2013</v>
      </c>
      <c r="I1802">
        <f t="shared" si="85"/>
        <v>2014</v>
      </c>
      <c r="J1802" s="7">
        <f t="shared" si="86"/>
        <v>182060.97815620643</v>
      </c>
      <c r="K1802" s="7"/>
    </row>
    <row r="1803" spans="1:11" x14ac:dyDescent="0.25">
      <c r="A1803" s="1" t="s">
        <v>19</v>
      </c>
      <c r="B1803" s="2">
        <v>201301</v>
      </c>
      <c r="C1803" s="2">
        <v>201402</v>
      </c>
      <c r="D1803" s="10">
        <v>21823.188516398728</v>
      </c>
      <c r="E1803" s="10">
        <v>57158.407623575273</v>
      </c>
      <c r="F1803" s="1">
        <v>55</v>
      </c>
      <c r="G1803" s="1">
        <v>901</v>
      </c>
      <c r="H1803">
        <f t="shared" si="84"/>
        <v>2013</v>
      </c>
      <c r="I1803">
        <f t="shared" si="85"/>
        <v>2014</v>
      </c>
      <c r="J1803" s="7">
        <f t="shared" si="86"/>
        <v>78981.596139974004</v>
      </c>
      <c r="K1803" s="7"/>
    </row>
    <row r="1804" spans="1:11" x14ac:dyDescent="0.25">
      <c r="A1804" s="1" t="s">
        <v>19</v>
      </c>
      <c r="B1804" s="2">
        <v>201301</v>
      </c>
      <c r="C1804" s="2">
        <v>201403</v>
      </c>
      <c r="D1804" s="10">
        <v>10337.530807007113</v>
      </c>
      <c r="E1804" s="10">
        <v>48811.398019102504</v>
      </c>
      <c r="F1804" s="1">
        <v>37</v>
      </c>
      <c r="G1804" s="1">
        <v>832</v>
      </c>
      <c r="H1804">
        <f t="shared" si="84"/>
        <v>2013</v>
      </c>
      <c r="I1804">
        <f t="shared" si="85"/>
        <v>2014</v>
      </c>
      <c r="J1804" s="7">
        <f t="shared" si="86"/>
        <v>59148.928826109615</v>
      </c>
      <c r="K1804" s="7"/>
    </row>
    <row r="1805" spans="1:11" x14ac:dyDescent="0.25">
      <c r="A1805" s="1" t="s">
        <v>19</v>
      </c>
      <c r="B1805" s="2">
        <v>201301</v>
      </c>
      <c r="C1805" s="2">
        <v>201404</v>
      </c>
      <c r="D1805" s="10">
        <v>5432.1122156470819</v>
      </c>
      <c r="E1805" s="10">
        <v>49919.146924818844</v>
      </c>
      <c r="F1805" s="1">
        <v>18</v>
      </c>
      <c r="G1805" s="1">
        <v>701</v>
      </c>
      <c r="H1805">
        <f t="shared" si="84"/>
        <v>2013</v>
      </c>
      <c r="I1805">
        <f t="shared" si="85"/>
        <v>2014</v>
      </c>
      <c r="J1805" s="7">
        <f t="shared" si="86"/>
        <v>55351.259140465925</v>
      </c>
      <c r="K1805" s="7"/>
    </row>
    <row r="1806" spans="1:11" x14ac:dyDescent="0.25">
      <c r="A1806" s="1" t="s">
        <v>19</v>
      </c>
      <c r="B1806" s="2">
        <v>201301</v>
      </c>
      <c r="C1806" s="2">
        <v>201501</v>
      </c>
      <c r="D1806" s="10">
        <v>1781.9270201042102</v>
      </c>
      <c r="E1806" s="10">
        <v>35646.31522837768</v>
      </c>
      <c r="F1806" s="1">
        <v>14</v>
      </c>
      <c r="G1806" s="1">
        <v>581</v>
      </c>
      <c r="H1806">
        <f t="shared" si="84"/>
        <v>2013</v>
      </c>
      <c r="I1806">
        <f t="shared" si="85"/>
        <v>2015</v>
      </c>
      <c r="J1806" s="7">
        <f t="shared" si="86"/>
        <v>37428.242248481889</v>
      </c>
      <c r="K1806" s="7"/>
    </row>
    <row r="1807" spans="1:11" x14ac:dyDescent="0.25">
      <c r="A1807" s="1" t="s">
        <v>19</v>
      </c>
      <c r="B1807" s="2">
        <v>201301</v>
      </c>
      <c r="C1807" s="2">
        <v>201502</v>
      </c>
      <c r="D1807" s="10">
        <v>2524.0300601228723</v>
      </c>
      <c r="E1807" s="10">
        <v>27620.584319749691</v>
      </c>
      <c r="F1807" s="1">
        <v>6</v>
      </c>
      <c r="G1807" s="1">
        <v>472</v>
      </c>
      <c r="H1807">
        <f t="shared" si="84"/>
        <v>2013</v>
      </c>
      <c r="I1807">
        <f t="shared" si="85"/>
        <v>2015</v>
      </c>
      <c r="J1807" s="7">
        <f t="shared" si="86"/>
        <v>30144.614379872564</v>
      </c>
      <c r="K1807" s="7"/>
    </row>
    <row r="1808" spans="1:11" x14ac:dyDescent="0.25">
      <c r="A1808" s="1" t="s">
        <v>19</v>
      </c>
      <c r="B1808" s="2">
        <v>201301</v>
      </c>
      <c r="C1808" s="2">
        <v>201503</v>
      </c>
      <c r="D1808" s="10">
        <v>2538.665665720906</v>
      </c>
      <c r="E1808" s="10">
        <v>25173.419162668833</v>
      </c>
      <c r="F1808" s="1">
        <v>47</v>
      </c>
      <c r="G1808" s="1">
        <v>424</v>
      </c>
      <c r="H1808">
        <f t="shared" si="84"/>
        <v>2013</v>
      </c>
      <c r="I1808">
        <f t="shared" si="85"/>
        <v>2015</v>
      </c>
      <c r="J1808" s="7">
        <f t="shared" si="86"/>
        <v>27712.084828389739</v>
      </c>
      <c r="K1808" s="7"/>
    </row>
    <row r="1809" spans="1:11" x14ac:dyDescent="0.25">
      <c r="A1809" s="1" t="s">
        <v>19</v>
      </c>
      <c r="B1809" s="2">
        <v>201301</v>
      </c>
      <c r="C1809" s="2">
        <v>201504</v>
      </c>
      <c r="D1809" s="10">
        <v>1185.9859126954548</v>
      </c>
      <c r="E1809" s="10">
        <v>26288.604187449968</v>
      </c>
      <c r="F1809" s="1">
        <v>6</v>
      </c>
      <c r="G1809" s="1">
        <v>353</v>
      </c>
      <c r="H1809">
        <f t="shared" si="84"/>
        <v>2013</v>
      </c>
      <c r="I1809">
        <f t="shared" si="85"/>
        <v>2015</v>
      </c>
      <c r="J1809" s="7">
        <f t="shared" si="86"/>
        <v>27474.590100145422</v>
      </c>
      <c r="K1809" s="7"/>
    </row>
    <row r="1810" spans="1:11" x14ac:dyDescent="0.25">
      <c r="A1810" s="1" t="s">
        <v>19</v>
      </c>
      <c r="B1810" s="2">
        <v>201301</v>
      </c>
      <c r="C1810" s="2">
        <v>201601</v>
      </c>
      <c r="D1810" s="10">
        <v>505.82440192764892</v>
      </c>
      <c r="E1810" s="10">
        <v>18317.036781289633</v>
      </c>
      <c r="F1810" s="1">
        <v>5</v>
      </c>
      <c r="G1810" s="1">
        <v>301</v>
      </c>
      <c r="H1810">
        <f t="shared" si="84"/>
        <v>2013</v>
      </c>
      <c r="I1810">
        <f t="shared" si="85"/>
        <v>2016</v>
      </c>
      <c r="J1810" s="7">
        <f t="shared" si="86"/>
        <v>18822.861183217283</v>
      </c>
      <c r="K1810" s="7"/>
    </row>
    <row r="1811" spans="1:11" x14ac:dyDescent="0.25">
      <c r="A1811" s="1" t="s">
        <v>19</v>
      </c>
      <c r="B1811" s="2">
        <v>201301</v>
      </c>
      <c r="C1811" s="2">
        <v>201602</v>
      </c>
      <c r="D1811" s="10">
        <v>-238.27336994914899</v>
      </c>
      <c r="E1811" s="10">
        <v>15724.131522004714</v>
      </c>
      <c r="F1811" s="1">
        <v>3</v>
      </c>
      <c r="G1811" s="1">
        <v>265</v>
      </c>
      <c r="H1811">
        <f t="shared" si="84"/>
        <v>2013</v>
      </c>
      <c r="I1811">
        <f t="shared" si="85"/>
        <v>2016</v>
      </c>
      <c r="J1811" s="7">
        <f t="shared" si="86"/>
        <v>15485.858152055565</v>
      </c>
      <c r="K1811" s="7"/>
    </row>
    <row r="1812" spans="1:11" x14ac:dyDescent="0.25">
      <c r="A1812" s="1" t="s">
        <v>19</v>
      </c>
      <c r="B1812" s="2">
        <v>201301</v>
      </c>
      <c r="C1812" s="2">
        <v>201603</v>
      </c>
      <c r="D1812" s="10">
        <v>120.87800658906994</v>
      </c>
      <c r="E1812" s="10">
        <v>8739.756724356901</v>
      </c>
      <c r="F1812" s="1">
        <v>2</v>
      </c>
      <c r="G1812" s="1">
        <v>145</v>
      </c>
      <c r="H1812">
        <f t="shared" si="84"/>
        <v>2013</v>
      </c>
      <c r="I1812">
        <f t="shared" si="85"/>
        <v>2016</v>
      </c>
      <c r="J1812" s="7">
        <f t="shared" si="86"/>
        <v>8860.6347309459707</v>
      </c>
      <c r="K1812" s="7"/>
    </row>
    <row r="1813" spans="1:11" x14ac:dyDescent="0.25">
      <c r="A1813" s="1" t="s">
        <v>19</v>
      </c>
      <c r="B1813" s="2">
        <v>201301</v>
      </c>
      <c r="C1813" s="2">
        <v>201604</v>
      </c>
      <c r="D1813" s="10">
        <v>-11.024694464678273</v>
      </c>
      <c r="E1813" s="10">
        <v>10619.677653428014</v>
      </c>
      <c r="F1813" s="1">
        <v>1</v>
      </c>
      <c r="G1813" s="1">
        <v>110</v>
      </c>
      <c r="H1813">
        <f t="shared" si="84"/>
        <v>2013</v>
      </c>
      <c r="I1813">
        <f t="shared" si="85"/>
        <v>2016</v>
      </c>
      <c r="J1813" s="7">
        <f t="shared" si="86"/>
        <v>10608.652958963336</v>
      </c>
      <c r="K1813" s="7"/>
    </row>
    <row r="1814" spans="1:11" x14ac:dyDescent="0.25">
      <c r="A1814" s="1" t="s">
        <v>19</v>
      </c>
      <c r="B1814" s="2">
        <v>201301</v>
      </c>
      <c r="C1814" s="2">
        <v>201701</v>
      </c>
      <c r="D1814" s="10">
        <v>-6.9892082820781036</v>
      </c>
      <c r="E1814" s="10">
        <v>6178.6592780854453</v>
      </c>
      <c r="F1814" s="1">
        <v>0</v>
      </c>
      <c r="G1814" s="1">
        <v>78</v>
      </c>
      <c r="H1814">
        <f t="shared" si="84"/>
        <v>2013</v>
      </c>
      <c r="I1814">
        <f t="shared" si="85"/>
        <v>2017</v>
      </c>
      <c r="J1814" s="7">
        <f t="shared" si="86"/>
        <v>6171.6700698033674</v>
      </c>
      <c r="K1814" s="7"/>
    </row>
    <row r="1815" spans="1:11" x14ac:dyDescent="0.25">
      <c r="A1815" s="1" t="s">
        <v>19</v>
      </c>
      <c r="B1815" s="2">
        <v>201301</v>
      </c>
      <c r="C1815" s="2">
        <v>201702</v>
      </c>
      <c r="D1815" s="10">
        <v>25.833805018287503</v>
      </c>
      <c r="E1815" s="10">
        <v>2511.7846596360705</v>
      </c>
      <c r="F1815" s="1">
        <v>0</v>
      </c>
      <c r="G1815" s="1">
        <v>41</v>
      </c>
      <c r="H1815">
        <f t="shared" si="84"/>
        <v>2013</v>
      </c>
      <c r="I1815">
        <f t="shared" si="85"/>
        <v>2017</v>
      </c>
      <c r="J1815" s="7">
        <f t="shared" si="86"/>
        <v>2537.6184646543579</v>
      </c>
      <c r="K1815" s="7"/>
    </row>
    <row r="1816" spans="1:11" x14ac:dyDescent="0.25">
      <c r="A1816" s="1" t="s">
        <v>19</v>
      </c>
      <c r="B1816" s="2">
        <v>201301</v>
      </c>
      <c r="C1816" s="2">
        <v>201703</v>
      </c>
      <c r="D1816" s="10">
        <v>58.76302491062377</v>
      </c>
      <c r="E1816" s="10">
        <v>1759.1796119271942</v>
      </c>
      <c r="F1816" s="1">
        <v>0</v>
      </c>
      <c r="G1816" s="1">
        <v>29</v>
      </c>
      <c r="H1816">
        <f t="shared" si="84"/>
        <v>2013</v>
      </c>
      <c r="I1816">
        <f t="shared" si="85"/>
        <v>2017</v>
      </c>
      <c r="J1816" s="7">
        <f t="shared" si="86"/>
        <v>1817.9426368378179</v>
      </c>
      <c r="K1816" s="7"/>
    </row>
    <row r="1817" spans="1:11" x14ac:dyDescent="0.25">
      <c r="A1817" s="1" t="s">
        <v>19</v>
      </c>
      <c r="B1817" s="2">
        <v>201301</v>
      </c>
      <c r="C1817" s="2">
        <v>201704</v>
      </c>
      <c r="D1817" s="10">
        <v>-98.985519794181059</v>
      </c>
      <c r="E1817" s="10">
        <v>1071.4627958399806</v>
      </c>
      <c r="F1817" s="1">
        <v>0</v>
      </c>
      <c r="G1817" s="1">
        <v>18</v>
      </c>
      <c r="H1817">
        <f t="shared" si="84"/>
        <v>2013</v>
      </c>
      <c r="I1817">
        <f t="shared" si="85"/>
        <v>2017</v>
      </c>
      <c r="J1817" s="7">
        <f t="shared" si="86"/>
        <v>972.4772760457995</v>
      </c>
      <c r="K1817" s="7"/>
    </row>
    <row r="1818" spans="1:11" x14ac:dyDescent="0.25">
      <c r="A1818" s="1" t="s">
        <v>19</v>
      </c>
      <c r="B1818" s="2">
        <v>201301</v>
      </c>
      <c r="C1818" s="2">
        <v>201801</v>
      </c>
      <c r="D1818" s="10">
        <v>-10.817436311572244</v>
      </c>
      <c r="E1818" s="10">
        <v>-1197.5407867191975</v>
      </c>
      <c r="F1818" s="1">
        <v>0</v>
      </c>
      <c r="G1818" s="1">
        <v>16</v>
      </c>
      <c r="H1818">
        <f t="shared" si="84"/>
        <v>2013</v>
      </c>
      <c r="I1818">
        <f t="shared" si="85"/>
        <v>2018</v>
      </c>
      <c r="J1818" s="7">
        <f t="shared" si="86"/>
        <v>-1208.3582230307698</v>
      </c>
      <c r="K1818" s="7"/>
    </row>
    <row r="1819" spans="1:11" x14ac:dyDescent="0.25">
      <c r="A1819" s="1" t="s">
        <v>19</v>
      </c>
      <c r="B1819" s="2">
        <v>201301</v>
      </c>
      <c r="C1819" s="2">
        <v>201802</v>
      </c>
      <c r="D1819" s="10">
        <v>3.8664383962619309</v>
      </c>
      <c r="E1819" s="10">
        <v>-1335.2493044738808</v>
      </c>
      <c r="F1819" s="1">
        <v>0</v>
      </c>
      <c r="G1819" s="1">
        <v>9</v>
      </c>
      <c r="H1819">
        <f t="shared" si="84"/>
        <v>2013</v>
      </c>
      <c r="I1819">
        <f t="shared" si="85"/>
        <v>2018</v>
      </c>
      <c r="J1819" s="7">
        <f t="shared" si="86"/>
        <v>-1331.3828660776189</v>
      </c>
      <c r="K1819" s="7"/>
    </row>
    <row r="1820" spans="1:11" x14ac:dyDescent="0.25">
      <c r="A1820" s="1" t="s">
        <v>19</v>
      </c>
      <c r="B1820" s="2">
        <v>201301</v>
      </c>
      <c r="C1820" s="2">
        <v>201803</v>
      </c>
      <c r="D1820" s="10">
        <v>-94.968034101984458</v>
      </c>
      <c r="E1820" s="10">
        <v>-1378.3282829014749</v>
      </c>
      <c r="F1820" s="1">
        <v>0</v>
      </c>
      <c r="G1820" s="1">
        <v>8</v>
      </c>
      <c r="H1820">
        <f t="shared" si="84"/>
        <v>2013</v>
      </c>
      <c r="I1820">
        <f t="shared" si="85"/>
        <v>2018</v>
      </c>
      <c r="J1820" s="7">
        <f t="shared" si="86"/>
        <v>-1473.2963170034593</v>
      </c>
      <c r="K1820" s="7"/>
    </row>
    <row r="1821" spans="1:11" x14ac:dyDescent="0.25">
      <c r="A1821" s="1" t="s">
        <v>19</v>
      </c>
      <c r="B1821" s="2">
        <v>201301</v>
      </c>
      <c r="C1821" s="2">
        <v>201804</v>
      </c>
      <c r="D1821" s="10">
        <v>517.41068413900109</v>
      </c>
      <c r="E1821" s="10">
        <v>-1311.2452970658021</v>
      </c>
      <c r="F1821" s="1">
        <v>1</v>
      </c>
      <c r="G1821" s="1">
        <v>8</v>
      </c>
      <c r="H1821">
        <f t="shared" si="84"/>
        <v>2013</v>
      </c>
      <c r="I1821">
        <f t="shared" si="85"/>
        <v>2018</v>
      </c>
      <c r="J1821" s="7">
        <f t="shared" si="86"/>
        <v>-793.83461292680101</v>
      </c>
      <c r="K1821" s="7"/>
    </row>
    <row r="1822" spans="1:11" x14ac:dyDescent="0.25">
      <c r="A1822" s="1" t="s">
        <v>19</v>
      </c>
      <c r="B1822" s="2">
        <v>201301</v>
      </c>
      <c r="C1822" s="2">
        <v>201901</v>
      </c>
      <c r="D1822" s="10">
        <v>21.250101699607672</v>
      </c>
      <c r="E1822" s="10">
        <v>-1329.3700862610281</v>
      </c>
      <c r="F1822" s="1">
        <v>0</v>
      </c>
      <c r="G1822" s="1">
        <v>8</v>
      </c>
      <c r="H1822">
        <f t="shared" si="84"/>
        <v>2013</v>
      </c>
      <c r="I1822">
        <f t="shared" si="85"/>
        <v>2019</v>
      </c>
      <c r="J1822" s="7">
        <f t="shared" si="86"/>
        <v>-1308.1199845614203</v>
      </c>
      <c r="K1822" s="7"/>
    </row>
    <row r="1823" spans="1:11" x14ac:dyDescent="0.25">
      <c r="A1823" s="1" t="s">
        <v>19</v>
      </c>
      <c r="B1823" s="2">
        <v>201301</v>
      </c>
      <c r="C1823" s="2">
        <v>201902</v>
      </c>
      <c r="D1823" s="10">
        <v>-92.62835472254163</v>
      </c>
      <c r="E1823" s="10">
        <v>-1347.3468673950267</v>
      </c>
      <c r="F1823" s="1">
        <v>0</v>
      </c>
      <c r="G1823" s="1">
        <v>7</v>
      </c>
      <c r="H1823">
        <f t="shared" si="84"/>
        <v>2013</v>
      </c>
      <c r="I1823">
        <f t="shared" si="85"/>
        <v>2019</v>
      </c>
      <c r="J1823" s="7">
        <f t="shared" si="86"/>
        <v>-1439.9752221175684</v>
      </c>
      <c r="K1823" s="7"/>
    </row>
    <row r="1824" spans="1:11" x14ac:dyDescent="0.25">
      <c r="A1824" s="1" t="s">
        <v>19</v>
      </c>
      <c r="B1824" s="2">
        <v>201301</v>
      </c>
      <c r="C1824" s="2">
        <v>201903</v>
      </c>
      <c r="D1824" s="10">
        <v>-20.01803645600986</v>
      </c>
      <c r="E1824" s="10">
        <v>-1345.1480832369982</v>
      </c>
      <c r="F1824" s="1">
        <v>0</v>
      </c>
      <c r="G1824" s="1">
        <v>7</v>
      </c>
      <c r="H1824">
        <f t="shared" si="84"/>
        <v>2013</v>
      </c>
      <c r="I1824">
        <f t="shared" si="85"/>
        <v>2019</v>
      </c>
      <c r="J1824" s="7">
        <f t="shared" si="86"/>
        <v>-1365.1661196930081</v>
      </c>
      <c r="K1824" s="7"/>
    </row>
    <row r="1825" spans="1:11" x14ac:dyDescent="0.25">
      <c r="A1825" s="1" t="s">
        <v>19</v>
      </c>
      <c r="B1825" s="2">
        <v>201301</v>
      </c>
      <c r="C1825" s="2">
        <v>201904</v>
      </c>
      <c r="D1825" s="10">
        <v>-17.793369996600827</v>
      </c>
      <c r="E1825" s="10">
        <v>-1426.4803139909454</v>
      </c>
      <c r="F1825" s="1">
        <v>0</v>
      </c>
      <c r="G1825" s="1">
        <v>6</v>
      </c>
      <c r="H1825">
        <f t="shared" si="84"/>
        <v>2013</v>
      </c>
      <c r="I1825">
        <f t="shared" si="85"/>
        <v>2019</v>
      </c>
      <c r="J1825" s="7">
        <f t="shared" si="86"/>
        <v>-1444.2736839875463</v>
      </c>
      <c r="K1825" s="7"/>
    </row>
    <row r="1826" spans="1:11" x14ac:dyDescent="0.25">
      <c r="A1826" s="1" t="s">
        <v>19</v>
      </c>
      <c r="B1826" s="2">
        <v>201301</v>
      </c>
      <c r="C1826" s="2">
        <v>202001</v>
      </c>
      <c r="D1826" s="10">
        <v>-52.918904190961783</v>
      </c>
      <c r="E1826" s="10">
        <v>-1406.1861842107801</v>
      </c>
      <c r="F1826" s="1">
        <v>0</v>
      </c>
      <c r="G1826" s="1">
        <v>6</v>
      </c>
      <c r="H1826">
        <f t="shared" si="84"/>
        <v>2013</v>
      </c>
      <c r="I1826">
        <f t="shared" si="85"/>
        <v>2020</v>
      </c>
      <c r="J1826" s="7">
        <f t="shared" si="86"/>
        <v>-1459.1050884017418</v>
      </c>
      <c r="K1826" s="7"/>
    </row>
    <row r="1827" spans="1:11" x14ac:dyDescent="0.25">
      <c r="A1827" s="1" t="s">
        <v>19</v>
      </c>
      <c r="B1827" s="2">
        <v>201301</v>
      </c>
      <c r="C1827" s="2">
        <v>202002</v>
      </c>
      <c r="D1827" s="10">
        <v>-9.6827237505521442</v>
      </c>
      <c r="E1827" s="10">
        <v>-1418.0282131279291</v>
      </c>
      <c r="F1827" s="1">
        <v>0</v>
      </c>
      <c r="G1827" s="1">
        <v>5</v>
      </c>
      <c r="H1827">
        <f t="shared" si="84"/>
        <v>2013</v>
      </c>
      <c r="I1827">
        <f t="shared" si="85"/>
        <v>2020</v>
      </c>
      <c r="J1827" s="7">
        <f t="shared" si="86"/>
        <v>-1427.7109368784813</v>
      </c>
      <c r="K1827" s="7"/>
    </row>
    <row r="1828" spans="1:11" x14ac:dyDescent="0.25">
      <c r="A1828" s="1" t="s">
        <v>19</v>
      </c>
      <c r="B1828" s="2">
        <v>201301</v>
      </c>
      <c r="C1828" s="2">
        <v>202003</v>
      </c>
      <c r="D1828" s="10">
        <v>-28.89314591489947</v>
      </c>
      <c r="E1828" s="10">
        <v>-1380.1930128550778</v>
      </c>
      <c r="F1828" s="1">
        <v>0</v>
      </c>
      <c r="G1828" s="1">
        <v>5</v>
      </c>
      <c r="H1828">
        <f t="shared" si="84"/>
        <v>2013</v>
      </c>
      <c r="I1828">
        <f t="shared" si="85"/>
        <v>2020</v>
      </c>
      <c r="J1828" s="7">
        <f t="shared" si="86"/>
        <v>-1409.0861587699771</v>
      </c>
      <c r="K1828" s="7"/>
    </row>
    <row r="1829" spans="1:11" x14ac:dyDescent="0.25">
      <c r="A1829" s="1" t="s">
        <v>19</v>
      </c>
      <c r="B1829" s="2">
        <v>201301</v>
      </c>
      <c r="C1829" s="2">
        <v>202004</v>
      </c>
      <c r="D1829" s="10">
        <v>58.618429861087051</v>
      </c>
      <c r="E1829" s="10">
        <v>-1362.960171439277</v>
      </c>
      <c r="F1829" s="1">
        <v>0</v>
      </c>
      <c r="G1829" s="1">
        <v>4</v>
      </c>
      <c r="H1829">
        <f t="shared" si="84"/>
        <v>2013</v>
      </c>
      <c r="I1829">
        <f t="shared" si="85"/>
        <v>2020</v>
      </c>
      <c r="J1829" s="7">
        <f t="shared" si="86"/>
        <v>-1304.3417415781901</v>
      </c>
      <c r="K1829" s="7"/>
    </row>
    <row r="1830" spans="1:11" x14ac:dyDescent="0.25">
      <c r="A1830" s="1" t="s">
        <v>19</v>
      </c>
      <c r="B1830" s="2">
        <v>201301</v>
      </c>
      <c r="C1830" s="2">
        <v>202101</v>
      </c>
      <c r="D1830" s="10">
        <v>-30.299196965676501</v>
      </c>
      <c r="E1830" s="10">
        <v>-1356.7434755800123</v>
      </c>
      <c r="F1830" s="1">
        <v>0</v>
      </c>
      <c r="G1830" s="1">
        <v>3</v>
      </c>
      <c r="H1830">
        <f t="shared" si="84"/>
        <v>2013</v>
      </c>
      <c r="I1830">
        <f t="shared" si="85"/>
        <v>2021</v>
      </c>
      <c r="J1830" s="7">
        <f t="shared" si="86"/>
        <v>-1387.0426725456887</v>
      </c>
      <c r="K1830" s="7"/>
    </row>
    <row r="1831" spans="1:11" x14ac:dyDescent="0.25">
      <c r="A1831" s="1" t="s">
        <v>19</v>
      </c>
      <c r="B1831" s="2">
        <v>201301</v>
      </c>
      <c r="C1831" s="2">
        <v>202102</v>
      </c>
      <c r="D1831" s="10">
        <v>-318.95625230745372</v>
      </c>
      <c r="E1831" s="10">
        <v>-1387.2871033785912</v>
      </c>
      <c r="F1831" s="1">
        <v>0</v>
      </c>
      <c r="G1831" s="1">
        <v>3</v>
      </c>
      <c r="H1831">
        <f t="shared" si="84"/>
        <v>2013</v>
      </c>
      <c r="I1831">
        <f t="shared" si="85"/>
        <v>2021</v>
      </c>
      <c r="J1831" s="7">
        <f t="shared" si="86"/>
        <v>-1706.2433556860449</v>
      </c>
      <c r="K1831" s="7"/>
    </row>
    <row r="1832" spans="1:11" x14ac:dyDescent="0.25">
      <c r="A1832" s="1" t="s">
        <v>19</v>
      </c>
      <c r="B1832" s="2">
        <v>201301</v>
      </c>
      <c r="C1832" s="2">
        <v>202103</v>
      </c>
      <c r="D1832" s="10">
        <v>-255.42660459181519</v>
      </c>
      <c r="E1832" s="10">
        <v>-1379.0253309113382</v>
      </c>
      <c r="F1832" s="1">
        <v>0</v>
      </c>
      <c r="G1832" s="1">
        <v>3</v>
      </c>
      <c r="H1832">
        <f t="shared" si="84"/>
        <v>2013</v>
      </c>
      <c r="I1832">
        <f t="shared" si="85"/>
        <v>2021</v>
      </c>
      <c r="J1832" s="7">
        <f t="shared" si="86"/>
        <v>-1634.4519355031534</v>
      </c>
      <c r="K1832" s="7"/>
    </row>
    <row r="1833" spans="1:11" x14ac:dyDescent="0.25">
      <c r="A1833" s="1" t="s">
        <v>19</v>
      </c>
      <c r="B1833" s="2">
        <v>201301</v>
      </c>
      <c r="C1833" s="2">
        <v>202104</v>
      </c>
      <c r="D1833" s="10">
        <v>-64.23260635597839</v>
      </c>
      <c r="E1833" s="10">
        <v>49.628332304466291</v>
      </c>
      <c r="F1833" s="1">
        <v>0</v>
      </c>
      <c r="G1833" s="1">
        <v>2</v>
      </c>
      <c r="H1833">
        <f t="shared" si="84"/>
        <v>2013</v>
      </c>
      <c r="I1833">
        <f t="shared" si="85"/>
        <v>2021</v>
      </c>
      <c r="J1833" s="7">
        <f t="shared" si="86"/>
        <v>-14.6042740515121</v>
      </c>
      <c r="K1833" s="7"/>
    </row>
    <row r="1834" spans="1:11" x14ac:dyDescent="0.25">
      <c r="A1834" s="1" t="s">
        <v>19</v>
      </c>
      <c r="B1834" s="2">
        <v>201302</v>
      </c>
      <c r="C1834" s="2">
        <v>201302</v>
      </c>
      <c r="D1834" s="10">
        <v>504308.60443272995</v>
      </c>
      <c r="E1834" s="10">
        <v>490064.40960286726</v>
      </c>
      <c r="F1834" s="1">
        <v>14461</v>
      </c>
      <c r="G1834" s="1">
        <v>5661</v>
      </c>
      <c r="H1834">
        <f t="shared" si="84"/>
        <v>2013</v>
      </c>
      <c r="I1834">
        <f t="shared" si="85"/>
        <v>2013</v>
      </c>
      <c r="J1834" s="7">
        <f t="shared" si="86"/>
        <v>994373.01403559721</v>
      </c>
      <c r="K1834" s="7"/>
    </row>
    <row r="1835" spans="1:11" x14ac:dyDescent="0.25">
      <c r="A1835" s="1" t="s">
        <v>19</v>
      </c>
      <c r="B1835" s="2">
        <v>201302</v>
      </c>
      <c r="C1835" s="2">
        <v>201303</v>
      </c>
      <c r="D1835" s="10">
        <v>450273.50672077877</v>
      </c>
      <c r="E1835" s="10">
        <v>183148.10714967235</v>
      </c>
      <c r="F1835" s="1">
        <v>3907</v>
      </c>
      <c r="G1835" s="1">
        <v>2714</v>
      </c>
      <c r="H1835">
        <f t="shared" si="84"/>
        <v>2013</v>
      </c>
      <c r="I1835">
        <f t="shared" si="85"/>
        <v>2013</v>
      </c>
      <c r="J1835" s="7">
        <f t="shared" si="86"/>
        <v>633421.61387045111</v>
      </c>
      <c r="K1835" s="7"/>
    </row>
    <row r="1836" spans="1:11" x14ac:dyDescent="0.25">
      <c r="A1836" s="1" t="s">
        <v>19</v>
      </c>
      <c r="B1836" s="2">
        <v>201302</v>
      </c>
      <c r="C1836" s="2">
        <v>201304</v>
      </c>
      <c r="D1836" s="10">
        <v>65519.186158184377</v>
      </c>
      <c r="E1836" s="10">
        <v>135096.7721811728</v>
      </c>
      <c r="F1836" s="1">
        <v>497</v>
      </c>
      <c r="G1836" s="1">
        <v>1843</v>
      </c>
      <c r="H1836">
        <f t="shared" si="84"/>
        <v>2013</v>
      </c>
      <c r="I1836">
        <f t="shared" si="85"/>
        <v>2013</v>
      </c>
      <c r="J1836" s="7">
        <f t="shared" si="86"/>
        <v>200615.95833935717</v>
      </c>
      <c r="K1836" s="7"/>
    </row>
    <row r="1837" spans="1:11" x14ac:dyDescent="0.25">
      <c r="A1837" s="1" t="s">
        <v>19</v>
      </c>
      <c r="B1837" s="2">
        <v>201302</v>
      </c>
      <c r="C1837" s="2">
        <v>201401</v>
      </c>
      <c r="D1837" s="10">
        <v>13596.910153740902</v>
      </c>
      <c r="E1837" s="10">
        <v>94218.900002794602</v>
      </c>
      <c r="F1837" s="1">
        <v>147</v>
      </c>
      <c r="G1837" s="1">
        <v>1354</v>
      </c>
      <c r="H1837">
        <f t="shared" si="84"/>
        <v>2013</v>
      </c>
      <c r="I1837">
        <f t="shared" si="85"/>
        <v>2014</v>
      </c>
      <c r="J1837" s="7">
        <f t="shared" si="86"/>
        <v>107815.8101565355</v>
      </c>
      <c r="K1837" s="7"/>
    </row>
    <row r="1838" spans="1:11" x14ac:dyDescent="0.25">
      <c r="A1838" s="1" t="s">
        <v>19</v>
      </c>
      <c r="B1838" s="2">
        <v>201302</v>
      </c>
      <c r="C1838" s="2">
        <v>201402</v>
      </c>
      <c r="D1838" s="10">
        <v>9068.8204920024673</v>
      </c>
      <c r="E1838" s="10">
        <v>75373.471034135699</v>
      </c>
      <c r="F1838" s="1">
        <v>103</v>
      </c>
      <c r="G1838" s="1">
        <v>1129</v>
      </c>
      <c r="H1838">
        <f t="shared" si="84"/>
        <v>2013</v>
      </c>
      <c r="I1838">
        <f t="shared" si="85"/>
        <v>2014</v>
      </c>
      <c r="J1838" s="7">
        <f t="shared" si="86"/>
        <v>84442.291526138171</v>
      </c>
      <c r="K1838" s="7"/>
    </row>
    <row r="1839" spans="1:11" x14ac:dyDescent="0.25">
      <c r="A1839" s="1" t="s">
        <v>19</v>
      </c>
      <c r="B1839" s="2">
        <v>201302</v>
      </c>
      <c r="C1839" s="2">
        <v>201403</v>
      </c>
      <c r="D1839" s="10">
        <v>6019.0971220808469</v>
      </c>
      <c r="E1839" s="10">
        <v>64065.354711088534</v>
      </c>
      <c r="F1839" s="1">
        <v>65</v>
      </c>
      <c r="G1839" s="1">
        <v>996</v>
      </c>
      <c r="H1839">
        <f t="shared" si="84"/>
        <v>2013</v>
      </c>
      <c r="I1839">
        <f t="shared" si="85"/>
        <v>2014</v>
      </c>
      <c r="J1839" s="7">
        <f t="shared" si="86"/>
        <v>70084.451833169383</v>
      </c>
      <c r="K1839" s="7"/>
    </row>
    <row r="1840" spans="1:11" x14ac:dyDescent="0.25">
      <c r="A1840" s="1" t="s">
        <v>19</v>
      </c>
      <c r="B1840" s="2">
        <v>201302</v>
      </c>
      <c r="C1840" s="2">
        <v>201404</v>
      </c>
      <c r="D1840" s="10">
        <v>4080.2119149194396</v>
      </c>
      <c r="E1840" s="10">
        <v>57621.753208308408</v>
      </c>
      <c r="F1840" s="1">
        <v>24</v>
      </c>
      <c r="G1840" s="1">
        <v>801</v>
      </c>
      <c r="H1840">
        <f t="shared" si="84"/>
        <v>2013</v>
      </c>
      <c r="I1840">
        <f t="shared" si="85"/>
        <v>2014</v>
      </c>
      <c r="J1840" s="7">
        <f t="shared" si="86"/>
        <v>61701.965123227848</v>
      </c>
      <c r="K1840" s="7"/>
    </row>
    <row r="1841" spans="1:11" x14ac:dyDescent="0.25">
      <c r="A1841" s="1" t="s">
        <v>19</v>
      </c>
      <c r="B1841" s="2">
        <v>201302</v>
      </c>
      <c r="C1841" s="2">
        <v>201501</v>
      </c>
      <c r="D1841" s="10">
        <v>1728.0349817133231</v>
      </c>
      <c r="E1841" s="10">
        <v>40172.64963338252</v>
      </c>
      <c r="F1841" s="1">
        <v>22</v>
      </c>
      <c r="G1841" s="1">
        <v>669</v>
      </c>
      <c r="H1841">
        <f t="shared" si="84"/>
        <v>2013</v>
      </c>
      <c r="I1841">
        <f t="shared" si="85"/>
        <v>2015</v>
      </c>
      <c r="J1841" s="7">
        <f t="shared" si="86"/>
        <v>41900.684615095844</v>
      </c>
      <c r="K1841" s="7"/>
    </row>
    <row r="1842" spans="1:11" x14ac:dyDescent="0.25">
      <c r="A1842" s="1" t="s">
        <v>19</v>
      </c>
      <c r="B1842" s="2">
        <v>201302</v>
      </c>
      <c r="C1842" s="2">
        <v>201502</v>
      </c>
      <c r="D1842" s="10">
        <v>902.66465317150858</v>
      </c>
      <c r="E1842" s="10">
        <v>31033.313724738397</v>
      </c>
      <c r="F1842" s="1">
        <v>15</v>
      </c>
      <c r="G1842" s="1">
        <v>550</v>
      </c>
      <c r="H1842">
        <f t="shared" si="84"/>
        <v>2013</v>
      </c>
      <c r="I1842">
        <f t="shared" si="85"/>
        <v>2015</v>
      </c>
      <c r="J1842" s="7">
        <f t="shared" si="86"/>
        <v>31935.978377909905</v>
      </c>
      <c r="K1842" s="7"/>
    </row>
    <row r="1843" spans="1:11" x14ac:dyDescent="0.25">
      <c r="A1843" s="1" t="s">
        <v>19</v>
      </c>
      <c r="B1843" s="2">
        <v>201302</v>
      </c>
      <c r="C1843" s="2">
        <v>201503</v>
      </c>
      <c r="D1843" s="10">
        <v>-614.3259874144037</v>
      </c>
      <c r="E1843" s="10">
        <v>26670.778201177673</v>
      </c>
      <c r="F1843" s="1">
        <v>33</v>
      </c>
      <c r="G1843" s="1">
        <v>495</v>
      </c>
      <c r="H1843">
        <f t="shared" si="84"/>
        <v>2013</v>
      </c>
      <c r="I1843">
        <f t="shared" si="85"/>
        <v>2015</v>
      </c>
      <c r="J1843" s="7">
        <f t="shared" si="86"/>
        <v>26056.45221376327</v>
      </c>
      <c r="K1843" s="7"/>
    </row>
    <row r="1844" spans="1:11" x14ac:dyDescent="0.25">
      <c r="A1844" s="1" t="s">
        <v>19</v>
      </c>
      <c r="B1844" s="2">
        <v>201302</v>
      </c>
      <c r="C1844" s="2">
        <v>201504</v>
      </c>
      <c r="D1844" s="10">
        <v>-8.5895404504493893</v>
      </c>
      <c r="E1844" s="10">
        <v>28615.690542787288</v>
      </c>
      <c r="F1844" s="1">
        <v>9</v>
      </c>
      <c r="G1844" s="1">
        <v>414</v>
      </c>
      <c r="H1844">
        <f t="shared" si="84"/>
        <v>2013</v>
      </c>
      <c r="I1844">
        <f t="shared" si="85"/>
        <v>2015</v>
      </c>
      <c r="J1844" s="7">
        <f t="shared" si="86"/>
        <v>28607.10100233684</v>
      </c>
      <c r="K1844" s="7"/>
    </row>
    <row r="1845" spans="1:11" x14ac:dyDescent="0.25">
      <c r="A1845" s="1" t="s">
        <v>19</v>
      </c>
      <c r="B1845" s="2">
        <v>201302</v>
      </c>
      <c r="C1845" s="2">
        <v>201601</v>
      </c>
      <c r="D1845" s="10">
        <v>627.48037049928257</v>
      </c>
      <c r="E1845" s="10">
        <v>20657.01995032141</v>
      </c>
      <c r="F1845" s="1">
        <v>6</v>
      </c>
      <c r="G1845" s="1">
        <v>365</v>
      </c>
      <c r="H1845">
        <f t="shared" si="84"/>
        <v>2013</v>
      </c>
      <c r="I1845">
        <f t="shared" si="85"/>
        <v>2016</v>
      </c>
      <c r="J1845" s="7">
        <f t="shared" si="86"/>
        <v>21284.500320820691</v>
      </c>
      <c r="K1845" s="7"/>
    </row>
    <row r="1846" spans="1:11" x14ac:dyDescent="0.25">
      <c r="A1846" s="1" t="s">
        <v>19</v>
      </c>
      <c r="B1846" s="2">
        <v>201302</v>
      </c>
      <c r="C1846" s="2">
        <v>201602</v>
      </c>
      <c r="D1846" s="10">
        <v>-120.91286281811188</v>
      </c>
      <c r="E1846" s="10">
        <v>19021.77639296851</v>
      </c>
      <c r="F1846" s="1">
        <v>1</v>
      </c>
      <c r="G1846" s="1">
        <v>320</v>
      </c>
      <c r="H1846">
        <f t="shared" si="84"/>
        <v>2013</v>
      </c>
      <c r="I1846">
        <f t="shared" si="85"/>
        <v>2016</v>
      </c>
      <c r="J1846" s="7">
        <f t="shared" si="86"/>
        <v>18900.863530150396</v>
      </c>
      <c r="K1846" s="7"/>
    </row>
    <row r="1847" spans="1:11" x14ac:dyDescent="0.25">
      <c r="A1847" s="1" t="s">
        <v>19</v>
      </c>
      <c r="B1847" s="2">
        <v>201302</v>
      </c>
      <c r="C1847" s="2">
        <v>201603</v>
      </c>
      <c r="D1847" s="10">
        <v>231.88131204345049</v>
      </c>
      <c r="E1847" s="10">
        <v>9300.3941828314764</v>
      </c>
      <c r="F1847" s="1">
        <v>0</v>
      </c>
      <c r="G1847" s="1">
        <v>193</v>
      </c>
      <c r="H1847">
        <f t="shared" si="84"/>
        <v>2013</v>
      </c>
      <c r="I1847">
        <f t="shared" si="85"/>
        <v>2016</v>
      </c>
      <c r="J1847" s="7">
        <f t="shared" si="86"/>
        <v>9532.2754948749262</v>
      </c>
      <c r="K1847" s="7"/>
    </row>
    <row r="1848" spans="1:11" x14ac:dyDescent="0.25">
      <c r="A1848" s="1" t="s">
        <v>19</v>
      </c>
      <c r="B1848" s="2">
        <v>201302</v>
      </c>
      <c r="C1848" s="2">
        <v>201604</v>
      </c>
      <c r="D1848" s="10">
        <v>236.36970373986168</v>
      </c>
      <c r="E1848" s="10">
        <v>7917.6710975833066</v>
      </c>
      <c r="F1848" s="1">
        <v>0</v>
      </c>
      <c r="G1848" s="1">
        <v>130</v>
      </c>
      <c r="H1848">
        <f t="shared" si="84"/>
        <v>2013</v>
      </c>
      <c r="I1848">
        <f t="shared" si="85"/>
        <v>2016</v>
      </c>
      <c r="J1848" s="7">
        <f t="shared" si="86"/>
        <v>8154.0408013231681</v>
      </c>
      <c r="K1848" s="7"/>
    </row>
    <row r="1849" spans="1:11" x14ac:dyDescent="0.25">
      <c r="A1849" s="1" t="s">
        <v>19</v>
      </c>
      <c r="B1849" s="2">
        <v>201302</v>
      </c>
      <c r="C1849" s="2">
        <v>201701</v>
      </c>
      <c r="D1849" s="10">
        <v>56.53384374272197</v>
      </c>
      <c r="E1849" s="10">
        <v>4123.6551823690088</v>
      </c>
      <c r="F1849" s="1">
        <v>0</v>
      </c>
      <c r="G1849" s="1">
        <v>97</v>
      </c>
      <c r="H1849">
        <f t="shared" si="84"/>
        <v>2013</v>
      </c>
      <c r="I1849">
        <f t="shared" si="85"/>
        <v>2017</v>
      </c>
      <c r="J1849" s="7">
        <f t="shared" si="86"/>
        <v>4180.1890261117305</v>
      </c>
      <c r="K1849" s="7"/>
    </row>
    <row r="1850" spans="1:11" x14ac:dyDescent="0.25">
      <c r="A1850" s="1" t="s">
        <v>19</v>
      </c>
      <c r="B1850" s="2">
        <v>201302</v>
      </c>
      <c r="C1850" s="2">
        <v>201702</v>
      </c>
      <c r="D1850" s="10">
        <v>-50.745431379203453</v>
      </c>
      <c r="E1850" s="10">
        <v>2465.7108372185985</v>
      </c>
      <c r="F1850" s="1">
        <v>1</v>
      </c>
      <c r="G1850" s="1">
        <v>47</v>
      </c>
      <c r="H1850">
        <f t="shared" si="84"/>
        <v>2013</v>
      </c>
      <c r="I1850">
        <f t="shared" si="85"/>
        <v>2017</v>
      </c>
      <c r="J1850" s="7">
        <f t="shared" si="86"/>
        <v>2414.9654058393949</v>
      </c>
      <c r="K1850" s="7"/>
    </row>
    <row r="1851" spans="1:11" x14ac:dyDescent="0.25">
      <c r="A1851" s="1" t="s">
        <v>19</v>
      </c>
      <c r="B1851" s="2">
        <v>201302</v>
      </c>
      <c r="C1851" s="2">
        <v>201703</v>
      </c>
      <c r="D1851" s="10">
        <v>-22.243188412011499</v>
      </c>
      <c r="E1851" s="10">
        <v>1019.8588893808535</v>
      </c>
      <c r="F1851" s="1">
        <v>1</v>
      </c>
      <c r="G1851" s="1">
        <v>32</v>
      </c>
      <c r="H1851">
        <f t="shared" si="84"/>
        <v>2013</v>
      </c>
      <c r="I1851">
        <f t="shared" si="85"/>
        <v>2017</v>
      </c>
      <c r="J1851" s="7">
        <f t="shared" si="86"/>
        <v>997.61570096884202</v>
      </c>
      <c r="K1851" s="7"/>
    </row>
    <row r="1852" spans="1:11" x14ac:dyDescent="0.25">
      <c r="A1852" s="1" t="s">
        <v>19</v>
      </c>
      <c r="B1852" s="2">
        <v>201302</v>
      </c>
      <c r="C1852" s="2">
        <v>201704</v>
      </c>
      <c r="D1852" s="10">
        <v>-50.582233930229982</v>
      </c>
      <c r="E1852" s="10">
        <v>99.876815014248493</v>
      </c>
      <c r="F1852" s="1">
        <v>0</v>
      </c>
      <c r="G1852" s="1">
        <v>16</v>
      </c>
      <c r="H1852">
        <f t="shared" si="84"/>
        <v>2013</v>
      </c>
      <c r="I1852">
        <f t="shared" si="85"/>
        <v>2017</v>
      </c>
      <c r="J1852" s="7">
        <f t="shared" si="86"/>
        <v>49.29458108401851</v>
      </c>
      <c r="K1852" s="7"/>
    </row>
    <row r="1853" spans="1:11" x14ac:dyDescent="0.25">
      <c r="A1853" s="1" t="s">
        <v>19</v>
      </c>
      <c r="B1853" s="2">
        <v>201302</v>
      </c>
      <c r="C1853" s="2">
        <v>201801</v>
      </c>
      <c r="D1853" s="10">
        <v>-13.311272066093435</v>
      </c>
      <c r="E1853" s="10">
        <v>103.03167710677599</v>
      </c>
      <c r="F1853" s="1">
        <v>0</v>
      </c>
      <c r="G1853" s="1">
        <v>15</v>
      </c>
      <c r="H1853">
        <f t="shared" si="84"/>
        <v>2013</v>
      </c>
      <c r="I1853">
        <f t="shared" si="85"/>
        <v>2018</v>
      </c>
      <c r="J1853" s="7">
        <f t="shared" si="86"/>
        <v>89.72040504068255</v>
      </c>
      <c r="K1853" s="7"/>
    </row>
    <row r="1854" spans="1:11" x14ac:dyDescent="0.25">
      <c r="A1854" s="1" t="s">
        <v>19</v>
      </c>
      <c r="B1854" s="2">
        <v>201302</v>
      </c>
      <c r="C1854" s="2">
        <v>201802</v>
      </c>
      <c r="D1854" s="10">
        <v>8.9529812426459561</v>
      </c>
      <c r="E1854" s="10">
        <v>-243.91996350836507</v>
      </c>
      <c r="F1854" s="1">
        <v>0</v>
      </c>
      <c r="G1854" s="1">
        <v>12</v>
      </c>
      <c r="H1854">
        <f t="shared" si="84"/>
        <v>2013</v>
      </c>
      <c r="I1854">
        <f t="shared" si="85"/>
        <v>2018</v>
      </c>
      <c r="J1854" s="7">
        <f t="shared" si="86"/>
        <v>-234.96698226571911</v>
      </c>
      <c r="K1854" s="7"/>
    </row>
    <row r="1855" spans="1:11" x14ac:dyDescent="0.25">
      <c r="A1855" s="1" t="s">
        <v>19</v>
      </c>
      <c r="B1855" s="2">
        <v>201302</v>
      </c>
      <c r="C1855" s="2">
        <v>201803</v>
      </c>
      <c r="D1855" s="10">
        <v>-13.16436375950777</v>
      </c>
      <c r="E1855" s="10">
        <v>-289.0810596654868</v>
      </c>
      <c r="F1855" s="1">
        <v>0</v>
      </c>
      <c r="G1855" s="1">
        <v>11</v>
      </c>
      <c r="H1855">
        <f t="shared" si="84"/>
        <v>2013</v>
      </c>
      <c r="I1855">
        <f t="shared" si="85"/>
        <v>2018</v>
      </c>
      <c r="J1855" s="7">
        <f t="shared" si="86"/>
        <v>-302.24542342499456</v>
      </c>
      <c r="K1855" s="7"/>
    </row>
    <row r="1856" spans="1:11" x14ac:dyDescent="0.25">
      <c r="A1856" s="1" t="s">
        <v>19</v>
      </c>
      <c r="B1856" s="2">
        <v>201302</v>
      </c>
      <c r="C1856" s="2">
        <v>201804</v>
      </c>
      <c r="D1856" s="10">
        <v>0</v>
      </c>
      <c r="E1856" s="10">
        <v>-300.6096705115425</v>
      </c>
      <c r="F1856" s="1">
        <v>0</v>
      </c>
      <c r="G1856" s="1">
        <v>9</v>
      </c>
      <c r="H1856">
        <f t="shared" si="84"/>
        <v>2013</v>
      </c>
      <c r="I1856">
        <f t="shared" si="85"/>
        <v>2018</v>
      </c>
      <c r="J1856" s="7">
        <f t="shared" si="86"/>
        <v>-300.6096705115425</v>
      </c>
      <c r="K1856" s="7"/>
    </row>
    <row r="1857" spans="1:11" x14ac:dyDescent="0.25">
      <c r="A1857" s="1" t="s">
        <v>19</v>
      </c>
      <c r="B1857" s="2">
        <v>201302</v>
      </c>
      <c r="C1857" s="2">
        <v>201901</v>
      </c>
      <c r="D1857" s="10">
        <v>0</v>
      </c>
      <c r="E1857" s="10">
        <v>-317.25620230240338</v>
      </c>
      <c r="F1857" s="1">
        <v>0</v>
      </c>
      <c r="G1857" s="1">
        <v>8</v>
      </c>
      <c r="H1857">
        <f t="shared" si="84"/>
        <v>2013</v>
      </c>
      <c r="I1857">
        <f t="shared" si="85"/>
        <v>2019</v>
      </c>
      <c r="J1857" s="7">
        <f t="shared" si="86"/>
        <v>-317.25620230240338</v>
      </c>
      <c r="K1857" s="7"/>
    </row>
    <row r="1858" spans="1:11" x14ac:dyDescent="0.25">
      <c r="A1858" s="1" t="s">
        <v>19</v>
      </c>
      <c r="B1858" s="2">
        <v>201302</v>
      </c>
      <c r="C1858" s="2">
        <v>201902</v>
      </c>
      <c r="D1858" s="10">
        <v>-13.37848062668834</v>
      </c>
      <c r="E1858" s="10">
        <v>-432.40668992888544</v>
      </c>
      <c r="F1858" s="1">
        <v>0</v>
      </c>
      <c r="G1858" s="1">
        <v>5</v>
      </c>
      <c r="H1858">
        <f t="shared" si="84"/>
        <v>2013</v>
      </c>
      <c r="I1858">
        <f t="shared" si="85"/>
        <v>2019</v>
      </c>
      <c r="J1858" s="7">
        <f t="shared" si="86"/>
        <v>-445.78517055557376</v>
      </c>
      <c r="K1858" s="7"/>
    </row>
    <row r="1859" spans="1:11" x14ac:dyDescent="0.25">
      <c r="A1859" s="1" t="s">
        <v>19</v>
      </c>
      <c r="B1859" s="2">
        <v>201302</v>
      </c>
      <c r="C1859" s="2">
        <v>201903</v>
      </c>
      <c r="D1859" s="10">
        <v>0</v>
      </c>
      <c r="E1859" s="10">
        <v>-380.78307026591892</v>
      </c>
      <c r="F1859" s="1">
        <v>0</v>
      </c>
      <c r="G1859" s="1">
        <v>5</v>
      </c>
      <c r="H1859">
        <f t="shared" si="84"/>
        <v>2013</v>
      </c>
      <c r="I1859">
        <f t="shared" si="85"/>
        <v>2019</v>
      </c>
      <c r="J1859" s="7">
        <f t="shared" si="86"/>
        <v>-380.78307026591892</v>
      </c>
      <c r="K1859" s="7"/>
    </row>
    <row r="1860" spans="1:11" x14ac:dyDescent="0.25">
      <c r="A1860" s="1" t="s">
        <v>19</v>
      </c>
      <c r="B1860" s="2">
        <v>201302</v>
      </c>
      <c r="C1860" s="2">
        <v>201904</v>
      </c>
      <c r="D1860" s="10">
        <v>0</v>
      </c>
      <c r="E1860" s="10">
        <v>26.828986049806257</v>
      </c>
      <c r="F1860" s="1">
        <v>0</v>
      </c>
      <c r="G1860" s="1">
        <v>4</v>
      </c>
      <c r="H1860">
        <f t="shared" ref="H1860:H1923" si="87">VALUE(LEFT(B1860,4))</f>
        <v>2013</v>
      </c>
      <c r="I1860">
        <f t="shared" ref="I1860:I1923" si="88">VALUE(LEFT(C1860,4))</f>
        <v>2019</v>
      </c>
      <c r="J1860" s="7">
        <f t="shared" si="86"/>
        <v>26.828986049806257</v>
      </c>
      <c r="K1860" s="7"/>
    </row>
    <row r="1861" spans="1:11" x14ac:dyDescent="0.25">
      <c r="A1861" s="1" t="s">
        <v>19</v>
      </c>
      <c r="B1861" s="2">
        <v>201302</v>
      </c>
      <c r="C1861" s="2">
        <v>202001</v>
      </c>
      <c r="D1861" s="10">
        <v>0</v>
      </c>
      <c r="E1861" s="10">
        <v>26.631998015258286</v>
      </c>
      <c r="F1861" s="1">
        <v>0</v>
      </c>
      <c r="G1861" s="1">
        <v>4</v>
      </c>
      <c r="H1861">
        <f t="shared" si="87"/>
        <v>2013</v>
      </c>
      <c r="I1861">
        <f t="shared" si="88"/>
        <v>2020</v>
      </c>
      <c r="J1861" s="7">
        <f t="shared" ref="J1861:J1924" si="89">D1861+E1861</f>
        <v>26.631998015258286</v>
      </c>
      <c r="K1861" s="7"/>
    </row>
    <row r="1862" spans="1:11" x14ac:dyDescent="0.25">
      <c r="A1862" s="1" t="s">
        <v>19</v>
      </c>
      <c r="B1862" s="2">
        <v>201302</v>
      </c>
      <c r="C1862" s="2">
        <v>202002</v>
      </c>
      <c r="D1862" s="10">
        <v>0</v>
      </c>
      <c r="E1862" s="10">
        <v>26.366093104194938</v>
      </c>
      <c r="F1862" s="1">
        <v>0</v>
      </c>
      <c r="G1862" s="1">
        <v>4</v>
      </c>
      <c r="H1862">
        <f t="shared" si="87"/>
        <v>2013</v>
      </c>
      <c r="I1862">
        <f t="shared" si="88"/>
        <v>2020</v>
      </c>
      <c r="J1862" s="7">
        <f t="shared" si="89"/>
        <v>26.366093104194938</v>
      </c>
      <c r="K1862" s="7"/>
    </row>
    <row r="1863" spans="1:11" x14ac:dyDescent="0.25">
      <c r="A1863" s="1" t="s">
        <v>19</v>
      </c>
      <c r="B1863" s="2">
        <v>201302</v>
      </c>
      <c r="C1863" s="2">
        <v>202003</v>
      </c>
      <c r="D1863" s="10">
        <v>-246.10337635721376</v>
      </c>
      <c r="E1863" s="10">
        <v>20.102209760979427</v>
      </c>
      <c r="F1863" s="1">
        <v>0</v>
      </c>
      <c r="G1863" s="1">
        <v>3</v>
      </c>
      <c r="H1863">
        <f t="shared" si="87"/>
        <v>2013</v>
      </c>
      <c r="I1863">
        <f t="shared" si="88"/>
        <v>2020</v>
      </c>
      <c r="J1863" s="7">
        <f t="shared" si="89"/>
        <v>-226.00116659623433</v>
      </c>
      <c r="K1863" s="7"/>
    </row>
    <row r="1864" spans="1:11" x14ac:dyDescent="0.25">
      <c r="A1864" s="1" t="s">
        <v>19</v>
      </c>
      <c r="B1864" s="2">
        <v>201302</v>
      </c>
      <c r="C1864" s="2">
        <v>202004</v>
      </c>
      <c r="D1864" s="10">
        <v>46.701701256348848</v>
      </c>
      <c r="E1864" s="10">
        <v>20.282011213189758</v>
      </c>
      <c r="F1864" s="1">
        <v>0</v>
      </c>
      <c r="G1864" s="1">
        <v>3</v>
      </c>
      <c r="H1864">
        <f t="shared" si="87"/>
        <v>2013</v>
      </c>
      <c r="I1864">
        <f t="shared" si="88"/>
        <v>2020</v>
      </c>
      <c r="J1864" s="7">
        <f t="shared" si="89"/>
        <v>66.983712469538602</v>
      </c>
      <c r="K1864" s="7"/>
    </row>
    <row r="1865" spans="1:11" x14ac:dyDescent="0.25">
      <c r="A1865" s="1" t="s">
        <v>19</v>
      </c>
      <c r="B1865" s="2">
        <v>201302</v>
      </c>
      <c r="C1865" s="2">
        <v>202101</v>
      </c>
      <c r="D1865" s="10">
        <v>0</v>
      </c>
      <c r="E1865" s="10">
        <v>19.999439493278313</v>
      </c>
      <c r="F1865" s="1">
        <v>0</v>
      </c>
      <c r="G1865" s="1">
        <v>2</v>
      </c>
      <c r="H1865">
        <f t="shared" si="87"/>
        <v>2013</v>
      </c>
      <c r="I1865">
        <f t="shared" si="88"/>
        <v>2021</v>
      </c>
      <c r="J1865" s="7">
        <f t="shared" si="89"/>
        <v>19.999439493278313</v>
      </c>
      <c r="K1865" s="7"/>
    </row>
    <row r="1866" spans="1:11" x14ac:dyDescent="0.25">
      <c r="A1866" s="1" t="s">
        <v>19</v>
      </c>
      <c r="B1866" s="2">
        <v>201302</v>
      </c>
      <c r="C1866" s="2">
        <v>202102</v>
      </c>
      <c r="D1866" s="10">
        <v>0</v>
      </c>
      <c r="E1866" s="10">
        <v>20.291366951627506</v>
      </c>
      <c r="F1866" s="1">
        <v>0</v>
      </c>
      <c r="G1866" s="1">
        <v>2</v>
      </c>
      <c r="H1866">
        <f t="shared" si="87"/>
        <v>2013</v>
      </c>
      <c r="I1866">
        <f t="shared" si="88"/>
        <v>2021</v>
      </c>
      <c r="J1866" s="7">
        <f t="shared" si="89"/>
        <v>20.291366951627506</v>
      </c>
      <c r="K1866" s="7"/>
    </row>
    <row r="1867" spans="1:11" x14ac:dyDescent="0.25">
      <c r="A1867" s="1" t="s">
        <v>19</v>
      </c>
      <c r="B1867" s="2">
        <v>201302</v>
      </c>
      <c r="C1867" s="2">
        <v>202103</v>
      </c>
      <c r="D1867" s="10">
        <v>9.286787541553057</v>
      </c>
      <c r="E1867" s="10">
        <v>20.192906488642208</v>
      </c>
      <c r="F1867" s="1">
        <v>0</v>
      </c>
      <c r="G1867" s="1">
        <v>2</v>
      </c>
      <c r="H1867">
        <f t="shared" si="87"/>
        <v>2013</v>
      </c>
      <c r="I1867">
        <f t="shared" si="88"/>
        <v>2021</v>
      </c>
      <c r="J1867" s="7">
        <f t="shared" si="89"/>
        <v>29.479694030195265</v>
      </c>
      <c r="K1867" s="7"/>
    </row>
    <row r="1868" spans="1:11" x14ac:dyDescent="0.25">
      <c r="A1868" s="1" t="s">
        <v>19</v>
      </c>
      <c r="B1868" s="2">
        <v>201302</v>
      </c>
      <c r="C1868" s="2">
        <v>202104</v>
      </c>
      <c r="D1868" s="10">
        <v>0</v>
      </c>
      <c r="E1868" s="10">
        <v>30.529271480761377</v>
      </c>
      <c r="F1868" s="1">
        <v>0</v>
      </c>
      <c r="G1868" s="1">
        <v>2</v>
      </c>
      <c r="H1868">
        <f t="shared" si="87"/>
        <v>2013</v>
      </c>
      <c r="I1868">
        <f t="shared" si="88"/>
        <v>2021</v>
      </c>
      <c r="J1868" s="7">
        <f t="shared" si="89"/>
        <v>30.529271480761377</v>
      </c>
      <c r="K1868" s="7"/>
    </row>
    <row r="1869" spans="1:11" x14ac:dyDescent="0.25">
      <c r="A1869" s="1" t="s">
        <v>19</v>
      </c>
      <c r="B1869" s="2">
        <v>201303</v>
      </c>
      <c r="C1869" s="2">
        <v>201303</v>
      </c>
      <c r="D1869" s="10">
        <v>524948.46113791573</v>
      </c>
      <c r="E1869" s="10">
        <v>516710.96130648226</v>
      </c>
      <c r="F1869" s="1">
        <v>13675</v>
      </c>
      <c r="G1869" s="1">
        <v>5638</v>
      </c>
      <c r="H1869">
        <f t="shared" si="87"/>
        <v>2013</v>
      </c>
      <c r="I1869">
        <f t="shared" si="88"/>
        <v>2013</v>
      </c>
      <c r="J1869" s="7">
        <f t="shared" si="89"/>
        <v>1041659.422444398</v>
      </c>
      <c r="K1869" s="7"/>
    </row>
    <row r="1870" spans="1:11" x14ac:dyDescent="0.25">
      <c r="A1870" s="1" t="s">
        <v>19</v>
      </c>
      <c r="B1870" s="2">
        <v>201303</v>
      </c>
      <c r="C1870" s="2">
        <v>201304</v>
      </c>
      <c r="D1870" s="10">
        <v>452306.51108902367</v>
      </c>
      <c r="E1870" s="10">
        <v>236409.17078700953</v>
      </c>
      <c r="F1870" s="1">
        <v>3029</v>
      </c>
      <c r="G1870" s="1">
        <v>2654</v>
      </c>
      <c r="H1870">
        <f t="shared" si="87"/>
        <v>2013</v>
      </c>
      <c r="I1870">
        <f t="shared" si="88"/>
        <v>2013</v>
      </c>
      <c r="J1870" s="7">
        <f t="shared" si="89"/>
        <v>688715.6818760332</v>
      </c>
      <c r="K1870" s="7"/>
    </row>
    <row r="1871" spans="1:11" x14ac:dyDescent="0.25">
      <c r="A1871" s="1" t="s">
        <v>19</v>
      </c>
      <c r="B1871" s="2">
        <v>201303</v>
      </c>
      <c r="C1871" s="2">
        <v>201401</v>
      </c>
      <c r="D1871" s="10">
        <v>71861.483923842272</v>
      </c>
      <c r="E1871" s="10">
        <v>132202.61456110876</v>
      </c>
      <c r="F1871" s="1">
        <v>326</v>
      </c>
      <c r="G1871" s="1">
        <v>1796</v>
      </c>
      <c r="H1871">
        <f t="shared" si="87"/>
        <v>2013</v>
      </c>
      <c r="I1871">
        <f t="shared" si="88"/>
        <v>2014</v>
      </c>
      <c r="J1871" s="7">
        <f t="shared" si="89"/>
        <v>204064.09848495101</v>
      </c>
      <c r="K1871" s="7"/>
    </row>
    <row r="1872" spans="1:11" x14ac:dyDescent="0.25">
      <c r="A1872" s="1" t="s">
        <v>19</v>
      </c>
      <c r="B1872" s="2">
        <v>201303</v>
      </c>
      <c r="C1872" s="2">
        <v>201402</v>
      </c>
      <c r="D1872" s="10">
        <v>21174.280779792229</v>
      </c>
      <c r="E1872" s="10">
        <v>101685.48351105931</v>
      </c>
      <c r="F1872" s="1">
        <v>167</v>
      </c>
      <c r="G1872" s="1">
        <v>1342</v>
      </c>
      <c r="H1872">
        <f t="shared" si="87"/>
        <v>2013</v>
      </c>
      <c r="I1872">
        <f t="shared" si="88"/>
        <v>2014</v>
      </c>
      <c r="J1872" s="7">
        <f t="shared" si="89"/>
        <v>122859.76429085154</v>
      </c>
      <c r="K1872" s="7"/>
    </row>
    <row r="1873" spans="1:11" x14ac:dyDescent="0.25">
      <c r="A1873" s="1" t="s">
        <v>19</v>
      </c>
      <c r="B1873" s="2">
        <v>201303</v>
      </c>
      <c r="C1873" s="2">
        <v>201403</v>
      </c>
      <c r="D1873" s="10">
        <v>10542.511462150997</v>
      </c>
      <c r="E1873" s="10">
        <v>83137.80052226031</v>
      </c>
      <c r="F1873" s="1">
        <v>83</v>
      </c>
      <c r="G1873" s="1">
        <v>1141</v>
      </c>
      <c r="H1873">
        <f t="shared" si="87"/>
        <v>2013</v>
      </c>
      <c r="I1873">
        <f t="shared" si="88"/>
        <v>2014</v>
      </c>
      <c r="J1873" s="7">
        <f t="shared" si="89"/>
        <v>93680.31198441131</v>
      </c>
      <c r="K1873" s="7"/>
    </row>
    <row r="1874" spans="1:11" x14ac:dyDescent="0.25">
      <c r="A1874" s="1" t="s">
        <v>19</v>
      </c>
      <c r="B1874" s="2">
        <v>201303</v>
      </c>
      <c r="C1874" s="2">
        <v>201404</v>
      </c>
      <c r="D1874" s="10">
        <v>8988.606538676644</v>
      </c>
      <c r="E1874" s="10">
        <v>68207.84679174301</v>
      </c>
      <c r="F1874" s="1">
        <v>44</v>
      </c>
      <c r="G1874" s="1">
        <v>920</v>
      </c>
      <c r="H1874">
        <f t="shared" si="87"/>
        <v>2013</v>
      </c>
      <c r="I1874">
        <f t="shared" si="88"/>
        <v>2014</v>
      </c>
      <c r="J1874" s="7">
        <f t="shared" si="89"/>
        <v>77196.453330419652</v>
      </c>
      <c r="K1874" s="7"/>
    </row>
    <row r="1875" spans="1:11" x14ac:dyDescent="0.25">
      <c r="A1875" s="1" t="s">
        <v>19</v>
      </c>
      <c r="B1875" s="2">
        <v>201303</v>
      </c>
      <c r="C1875" s="2">
        <v>201501</v>
      </c>
      <c r="D1875" s="10">
        <v>3137.3509104735413</v>
      </c>
      <c r="E1875" s="10">
        <v>47329.175305363518</v>
      </c>
      <c r="F1875" s="1">
        <v>23</v>
      </c>
      <c r="G1875" s="1">
        <v>735</v>
      </c>
      <c r="H1875">
        <f t="shared" si="87"/>
        <v>2013</v>
      </c>
      <c r="I1875">
        <f t="shared" si="88"/>
        <v>2015</v>
      </c>
      <c r="J1875" s="7">
        <f t="shared" si="89"/>
        <v>50466.526215837061</v>
      </c>
      <c r="K1875" s="7"/>
    </row>
    <row r="1876" spans="1:11" x14ac:dyDescent="0.25">
      <c r="A1876" s="1" t="s">
        <v>19</v>
      </c>
      <c r="B1876" s="2">
        <v>201303</v>
      </c>
      <c r="C1876" s="2">
        <v>201502</v>
      </c>
      <c r="D1876" s="10">
        <v>1544.5199914887653</v>
      </c>
      <c r="E1876" s="10">
        <v>39260.234161330292</v>
      </c>
      <c r="F1876" s="1">
        <v>25</v>
      </c>
      <c r="G1876" s="1">
        <v>613</v>
      </c>
      <c r="H1876">
        <f t="shared" si="87"/>
        <v>2013</v>
      </c>
      <c r="I1876">
        <f t="shared" si="88"/>
        <v>2015</v>
      </c>
      <c r="J1876" s="7">
        <f t="shared" si="89"/>
        <v>40804.754152819056</v>
      </c>
      <c r="K1876" s="7"/>
    </row>
    <row r="1877" spans="1:11" x14ac:dyDescent="0.25">
      <c r="A1877" s="1" t="s">
        <v>19</v>
      </c>
      <c r="B1877" s="2">
        <v>201303</v>
      </c>
      <c r="C1877" s="2">
        <v>201503</v>
      </c>
      <c r="D1877" s="10">
        <v>2162.921980930314</v>
      </c>
      <c r="E1877" s="10">
        <v>34882.479799784713</v>
      </c>
      <c r="F1877" s="1">
        <v>41</v>
      </c>
      <c r="G1877" s="1">
        <v>562</v>
      </c>
      <c r="H1877">
        <f t="shared" si="87"/>
        <v>2013</v>
      </c>
      <c r="I1877">
        <f t="shared" si="88"/>
        <v>2015</v>
      </c>
      <c r="J1877" s="7">
        <f t="shared" si="89"/>
        <v>37045.401780715023</v>
      </c>
      <c r="K1877" s="7"/>
    </row>
    <row r="1878" spans="1:11" x14ac:dyDescent="0.25">
      <c r="A1878" s="1" t="s">
        <v>19</v>
      </c>
      <c r="B1878" s="2">
        <v>201303</v>
      </c>
      <c r="C1878" s="2">
        <v>201504</v>
      </c>
      <c r="D1878" s="10">
        <v>117.74803460047595</v>
      </c>
      <c r="E1878" s="10">
        <v>34902.524804068147</v>
      </c>
      <c r="F1878" s="1">
        <v>12</v>
      </c>
      <c r="G1878" s="1">
        <v>475</v>
      </c>
      <c r="H1878">
        <f t="shared" si="87"/>
        <v>2013</v>
      </c>
      <c r="I1878">
        <f t="shared" si="88"/>
        <v>2015</v>
      </c>
      <c r="J1878" s="7">
        <f t="shared" si="89"/>
        <v>35020.272838668621</v>
      </c>
      <c r="K1878" s="7"/>
    </row>
    <row r="1879" spans="1:11" x14ac:dyDescent="0.25">
      <c r="A1879" s="1" t="s">
        <v>19</v>
      </c>
      <c r="B1879" s="2">
        <v>201303</v>
      </c>
      <c r="C1879" s="2">
        <v>201601</v>
      </c>
      <c r="D1879" s="10">
        <v>995.89903748984364</v>
      </c>
      <c r="E1879" s="10">
        <v>26841.768694800237</v>
      </c>
      <c r="F1879" s="1">
        <v>9</v>
      </c>
      <c r="G1879" s="1">
        <v>401</v>
      </c>
      <c r="H1879">
        <f t="shared" si="87"/>
        <v>2013</v>
      </c>
      <c r="I1879">
        <f t="shared" si="88"/>
        <v>2016</v>
      </c>
      <c r="J1879" s="7">
        <f t="shared" si="89"/>
        <v>27837.66773229008</v>
      </c>
      <c r="K1879" s="7"/>
    </row>
    <row r="1880" spans="1:11" x14ac:dyDescent="0.25">
      <c r="A1880" s="1" t="s">
        <v>19</v>
      </c>
      <c r="B1880" s="2">
        <v>201303</v>
      </c>
      <c r="C1880" s="2">
        <v>201602</v>
      </c>
      <c r="D1880" s="10">
        <v>331.68889620152265</v>
      </c>
      <c r="E1880" s="10">
        <v>23140.98168232949</v>
      </c>
      <c r="F1880" s="1">
        <v>4</v>
      </c>
      <c r="G1880" s="1">
        <v>341</v>
      </c>
      <c r="H1880">
        <f t="shared" si="87"/>
        <v>2013</v>
      </c>
      <c r="I1880">
        <f t="shared" si="88"/>
        <v>2016</v>
      </c>
      <c r="J1880" s="7">
        <f t="shared" si="89"/>
        <v>23472.670578531011</v>
      </c>
      <c r="K1880" s="7"/>
    </row>
    <row r="1881" spans="1:11" x14ac:dyDescent="0.25">
      <c r="A1881" s="1" t="s">
        <v>19</v>
      </c>
      <c r="B1881" s="2">
        <v>201303</v>
      </c>
      <c r="C1881" s="2">
        <v>201603</v>
      </c>
      <c r="D1881" s="10">
        <v>1484.2167196482953</v>
      </c>
      <c r="E1881" s="10">
        <v>18384.476405714697</v>
      </c>
      <c r="F1881" s="1">
        <v>17</v>
      </c>
      <c r="G1881" s="1">
        <v>291</v>
      </c>
      <c r="H1881">
        <f t="shared" si="87"/>
        <v>2013</v>
      </c>
      <c r="I1881">
        <f t="shared" si="88"/>
        <v>2016</v>
      </c>
      <c r="J1881" s="7">
        <f t="shared" si="89"/>
        <v>19868.693125362992</v>
      </c>
      <c r="K1881" s="7"/>
    </row>
    <row r="1882" spans="1:11" x14ac:dyDescent="0.25">
      <c r="A1882" s="1" t="s">
        <v>19</v>
      </c>
      <c r="B1882" s="2">
        <v>201303</v>
      </c>
      <c r="C1882" s="2">
        <v>201604</v>
      </c>
      <c r="D1882" s="10">
        <v>293.14711540103292</v>
      </c>
      <c r="E1882" s="10">
        <v>14220.426347672692</v>
      </c>
      <c r="F1882" s="1">
        <v>0</v>
      </c>
      <c r="G1882" s="1">
        <v>186</v>
      </c>
      <c r="H1882">
        <f t="shared" si="87"/>
        <v>2013</v>
      </c>
      <c r="I1882">
        <f t="shared" si="88"/>
        <v>2016</v>
      </c>
      <c r="J1882" s="7">
        <f t="shared" si="89"/>
        <v>14513.573463073724</v>
      </c>
      <c r="K1882" s="7"/>
    </row>
    <row r="1883" spans="1:11" x14ac:dyDescent="0.25">
      <c r="A1883" s="1" t="s">
        <v>19</v>
      </c>
      <c r="B1883" s="2">
        <v>201303</v>
      </c>
      <c r="C1883" s="2">
        <v>201701</v>
      </c>
      <c r="D1883" s="10">
        <v>-34.026871466904353</v>
      </c>
      <c r="E1883" s="10">
        <v>5119.4296744910253</v>
      </c>
      <c r="F1883" s="1">
        <v>0</v>
      </c>
      <c r="G1883" s="1">
        <v>130</v>
      </c>
      <c r="H1883">
        <f t="shared" si="87"/>
        <v>2013</v>
      </c>
      <c r="I1883">
        <f t="shared" si="88"/>
        <v>2017</v>
      </c>
      <c r="J1883" s="7">
        <f t="shared" si="89"/>
        <v>5085.4028030241207</v>
      </c>
      <c r="K1883" s="7"/>
    </row>
    <row r="1884" spans="1:11" x14ac:dyDescent="0.25">
      <c r="A1884" s="1" t="s">
        <v>19</v>
      </c>
      <c r="B1884" s="2">
        <v>201303</v>
      </c>
      <c r="C1884" s="2">
        <v>201702</v>
      </c>
      <c r="D1884" s="10">
        <v>54.010408357377081</v>
      </c>
      <c r="E1884" s="10">
        <v>2543.3955674493918</v>
      </c>
      <c r="F1884" s="1">
        <v>1</v>
      </c>
      <c r="G1884" s="1">
        <v>61</v>
      </c>
      <c r="H1884">
        <f t="shared" si="87"/>
        <v>2013</v>
      </c>
      <c r="I1884">
        <f t="shared" si="88"/>
        <v>2017</v>
      </c>
      <c r="J1884" s="7">
        <f t="shared" si="89"/>
        <v>2597.4059758067688</v>
      </c>
      <c r="K1884" s="7"/>
    </row>
    <row r="1885" spans="1:11" x14ac:dyDescent="0.25">
      <c r="A1885" s="1" t="s">
        <v>19</v>
      </c>
      <c r="B1885" s="2">
        <v>201303</v>
      </c>
      <c r="C1885" s="2">
        <v>201703</v>
      </c>
      <c r="D1885" s="10">
        <v>-3.727888906662435</v>
      </c>
      <c r="E1885" s="10">
        <v>1069.8118583502046</v>
      </c>
      <c r="F1885" s="1">
        <v>0</v>
      </c>
      <c r="G1885" s="1">
        <v>41</v>
      </c>
      <c r="H1885">
        <f t="shared" si="87"/>
        <v>2013</v>
      </c>
      <c r="I1885">
        <f t="shared" si="88"/>
        <v>2017</v>
      </c>
      <c r="J1885" s="7">
        <f t="shared" si="89"/>
        <v>1066.0839694435422</v>
      </c>
      <c r="K1885" s="7"/>
    </row>
    <row r="1886" spans="1:11" x14ac:dyDescent="0.25">
      <c r="A1886" s="1" t="s">
        <v>19</v>
      </c>
      <c r="B1886" s="2">
        <v>201303</v>
      </c>
      <c r="C1886" s="2">
        <v>201704</v>
      </c>
      <c r="D1886" s="10">
        <v>-180.8126209056245</v>
      </c>
      <c r="E1886" s="10">
        <v>244.87444522203231</v>
      </c>
      <c r="F1886" s="1">
        <v>0</v>
      </c>
      <c r="G1886" s="1">
        <v>17</v>
      </c>
      <c r="H1886">
        <f t="shared" si="87"/>
        <v>2013</v>
      </c>
      <c r="I1886">
        <f t="shared" si="88"/>
        <v>2017</v>
      </c>
      <c r="J1886" s="7">
        <f t="shared" si="89"/>
        <v>64.061824316407808</v>
      </c>
      <c r="K1886" s="7"/>
    </row>
    <row r="1887" spans="1:11" x14ac:dyDescent="0.25">
      <c r="A1887" s="1" t="s">
        <v>19</v>
      </c>
      <c r="B1887" s="2">
        <v>201303</v>
      </c>
      <c r="C1887" s="2">
        <v>201801</v>
      </c>
      <c r="D1887" s="10">
        <v>-7.1996275753477494</v>
      </c>
      <c r="E1887" s="10">
        <v>-120.34431554393328</v>
      </c>
      <c r="F1887" s="1">
        <v>0</v>
      </c>
      <c r="G1887" s="1">
        <v>14</v>
      </c>
      <c r="H1887">
        <f t="shared" si="87"/>
        <v>2013</v>
      </c>
      <c r="I1887">
        <f t="shared" si="88"/>
        <v>2018</v>
      </c>
      <c r="J1887" s="7">
        <f t="shared" si="89"/>
        <v>-127.54394311928102</v>
      </c>
      <c r="K1887" s="7"/>
    </row>
    <row r="1888" spans="1:11" x14ac:dyDescent="0.25">
      <c r="A1888" s="1" t="s">
        <v>19</v>
      </c>
      <c r="B1888" s="2">
        <v>201303</v>
      </c>
      <c r="C1888" s="2">
        <v>201802</v>
      </c>
      <c r="D1888" s="10">
        <v>-563.33974008588598</v>
      </c>
      <c r="E1888" s="10">
        <v>518.1631777469612</v>
      </c>
      <c r="F1888" s="1">
        <v>0</v>
      </c>
      <c r="G1888" s="1">
        <v>9</v>
      </c>
      <c r="H1888">
        <f t="shared" si="87"/>
        <v>2013</v>
      </c>
      <c r="I1888">
        <f t="shared" si="88"/>
        <v>2018</v>
      </c>
      <c r="J1888" s="7">
        <f t="shared" si="89"/>
        <v>-45.176562338924782</v>
      </c>
      <c r="K1888" s="7"/>
    </row>
    <row r="1889" spans="1:11" x14ac:dyDescent="0.25">
      <c r="A1889" s="1" t="s">
        <v>19</v>
      </c>
      <c r="B1889" s="2">
        <v>201303</v>
      </c>
      <c r="C1889" s="2">
        <v>201803</v>
      </c>
      <c r="D1889" s="10">
        <v>-8.6996324230264328</v>
      </c>
      <c r="E1889" s="10">
        <v>505.03392563767153</v>
      </c>
      <c r="F1889" s="1">
        <v>0</v>
      </c>
      <c r="G1889" s="1">
        <v>9</v>
      </c>
      <c r="H1889">
        <f t="shared" si="87"/>
        <v>2013</v>
      </c>
      <c r="I1889">
        <f t="shared" si="88"/>
        <v>2018</v>
      </c>
      <c r="J1889" s="7">
        <f t="shared" si="89"/>
        <v>496.33429321464507</v>
      </c>
      <c r="K1889" s="7"/>
    </row>
    <row r="1890" spans="1:11" x14ac:dyDescent="0.25">
      <c r="A1890" s="1" t="s">
        <v>19</v>
      </c>
      <c r="B1890" s="2">
        <v>201303</v>
      </c>
      <c r="C1890" s="2">
        <v>201804</v>
      </c>
      <c r="D1890" s="10">
        <v>36.865202255509026</v>
      </c>
      <c r="E1890" s="10">
        <v>501.30251286289109</v>
      </c>
      <c r="F1890" s="1">
        <v>0</v>
      </c>
      <c r="G1890" s="1">
        <v>9</v>
      </c>
      <c r="H1890">
        <f t="shared" si="87"/>
        <v>2013</v>
      </c>
      <c r="I1890">
        <f t="shared" si="88"/>
        <v>2018</v>
      </c>
      <c r="J1890" s="7">
        <f t="shared" si="89"/>
        <v>538.16771511840011</v>
      </c>
      <c r="K1890" s="7"/>
    </row>
    <row r="1891" spans="1:11" x14ac:dyDescent="0.25">
      <c r="A1891" s="1" t="s">
        <v>19</v>
      </c>
      <c r="B1891" s="2">
        <v>201303</v>
      </c>
      <c r="C1891" s="2">
        <v>201901</v>
      </c>
      <c r="D1891" s="10">
        <v>-6.6501765630125407</v>
      </c>
      <c r="E1891" s="10">
        <v>21.73155983070518</v>
      </c>
      <c r="F1891" s="1">
        <v>0</v>
      </c>
      <c r="G1891" s="1">
        <v>6</v>
      </c>
      <c r="H1891">
        <f t="shared" si="87"/>
        <v>2013</v>
      </c>
      <c r="I1891">
        <f t="shared" si="88"/>
        <v>2019</v>
      </c>
      <c r="J1891" s="7">
        <f t="shared" si="89"/>
        <v>15.08138326769264</v>
      </c>
      <c r="K1891" s="7"/>
    </row>
    <row r="1892" spans="1:11" x14ac:dyDescent="0.25">
      <c r="A1892" s="1" t="s">
        <v>19</v>
      </c>
      <c r="B1892" s="2">
        <v>201303</v>
      </c>
      <c r="C1892" s="2">
        <v>201902</v>
      </c>
      <c r="D1892" s="10">
        <v>15.660911473225326</v>
      </c>
      <c r="E1892" s="10">
        <v>106.74490603981964</v>
      </c>
      <c r="F1892" s="1">
        <v>1</v>
      </c>
      <c r="G1892" s="1">
        <v>5</v>
      </c>
      <c r="H1892">
        <f t="shared" si="87"/>
        <v>2013</v>
      </c>
      <c r="I1892">
        <f t="shared" si="88"/>
        <v>2019</v>
      </c>
      <c r="J1892" s="7">
        <f t="shared" si="89"/>
        <v>122.40581751304497</v>
      </c>
      <c r="K1892" s="7"/>
    </row>
    <row r="1893" spans="1:11" x14ac:dyDescent="0.25">
      <c r="A1893" s="1" t="s">
        <v>19</v>
      </c>
      <c r="B1893" s="2">
        <v>201303</v>
      </c>
      <c r="C1893" s="2">
        <v>201903</v>
      </c>
      <c r="D1893" s="10">
        <v>-10.065845108448428</v>
      </c>
      <c r="E1893" s="10">
        <v>107.89564320772791</v>
      </c>
      <c r="F1893" s="1">
        <v>0</v>
      </c>
      <c r="G1893" s="1">
        <v>5</v>
      </c>
      <c r="H1893">
        <f t="shared" si="87"/>
        <v>2013</v>
      </c>
      <c r="I1893">
        <f t="shared" si="88"/>
        <v>2019</v>
      </c>
      <c r="J1893" s="7">
        <f t="shared" si="89"/>
        <v>97.829798099279486</v>
      </c>
      <c r="K1893" s="7"/>
    </row>
    <row r="1894" spans="1:11" x14ac:dyDescent="0.25">
      <c r="A1894" s="1" t="s">
        <v>19</v>
      </c>
      <c r="B1894" s="2">
        <v>201303</v>
      </c>
      <c r="C1894" s="2">
        <v>201904</v>
      </c>
      <c r="D1894" s="10">
        <v>-6.7166545160681475</v>
      </c>
      <c r="E1894" s="10">
        <v>107.24616149773212</v>
      </c>
      <c r="F1894" s="1">
        <v>0</v>
      </c>
      <c r="G1894" s="1">
        <v>5</v>
      </c>
      <c r="H1894">
        <f t="shared" si="87"/>
        <v>2013</v>
      </c>
      <c r="I1894">
        <f t="shared" si="88"/>
        <v>2019</v>
      </c>
      <c r="J1894" s="7">
        <f t="shared" si="89"/>
        <v>100.52950698166397</v>
      </c>
      <c r="K1894" s="7"/>
    </row>
    <row r="1895" spans="1:11" x14ac:dyDescent="0.25">
      <c r="A1895" s="1" t="s">
        <v>19</v>
      </c>
      <c r="B1895" s="2">
        <v>201303</v>
      </c>
      <c r="C1895" s="2">
        <v>202001</v>
      </c>
      <c r="D1895" s="10">
        <v>0</v>
      </c>
      <c r="E1895" s="10">
        <v>108.87234963112567</v>
      </c>
      <c r="F1895" s="1">
        <v>0</v>
      </c>
      <c r="G1895" s="1">
        <v>5</v>
      </c>
      <c r="H1895">
        <f t="shared" si="87"/>
        <v>2013</v>
      </c>
      <c r="I1895">
        <f t="shared" si="88"/>
        <v>2020</v>
      </c>
      <c r="J1895" s="7">
        <f t="shared" si="89"/>
        <v>108.87234963112567</v>
      </c>
      <c r="K1895" s="7"/>
    </row>
    <row r="1896" spans="1:11" x14ac:dyDescent="0.25">
      <c r="A1896" s="1" t="s">
        <v>19</v>
      </c>
      <c r="B1896" s="2">
        <v>201303</v>
      </c>
      <c r="C1896" s="2">
        <v>202002</v>
      </c>
      <c r="D1896" s="10">
        <v>-104.36437441590438</v>
      </c>
      <c r="E1896" s="10">
        <v>92.425883596928827</v>
      </c>
      <c r="F1896" s="1">
        <v>0</v>
      </c>
      <c r="G1896" s="1">
        <v>5</v>
      </c>
      <c r="H1896">
        <f t="shared" si="87"/>
        <v>2013</v>
      </c>
      <c r="I1896">
        <f t="shared" si="88"/>
        <v>2020</v>
      </c>
      <c r="J1896" s="7">
        <f t="shared" si="89"/>
        <v>-11.938490818975552</v>
      </c>
      <c r="K1896" s="7"/>
    </row>
    <row r="1897" spans="1:11" x14ac:dyDescent="0.25">
      <c r="A1897" s="1" t="s">
        <v>19</v>
      </c>
      <c r="B1897" s="2">
        <v>201303</v>
      </c>
      <c r="C1897" s="2">
        <v>202003</v>
      </c>
      <c r="D1897" s="10">
        <v>0</v>
      </c>
      <c r="E1897" s="10">
        <v>86.692193428052832</v>
      </c>
      <c r="F1897" s="1">
        <v>0</v>
      </c>
      <c r="G1897" s="1">
        <v>4</v>
      </c>
      <c r="H1897">
        <f t="shared" si="87"/>
        <v>2013</v>
      </c>
      <c r="I1897">
        <f t="shared" si="88"/>
        <v>2020</v>
      </c>
      <c r="J1897" s="7">
        <f t="shared" si="89"/>
        <v>86.692193428052832</v>
      </c>
      <c r="K1897" s="7"/>
    </row>
    <row r="1898" spans="1:11" x14ac:dyDescent="0.25">
      <c r="A1898" s="1" t="s">
        <v>19</v>
      </c>
      <c r="B1898" s="2">
        <v>201303</v>
      </c>
      <c r="C1898" s="2">
        <v>202004</v>
      </c>
      <c r="D1898" s="10">
        <v>27.649834600788544</v>
      </c>
      <c r="E1898" s="10">
        <v>86.097051420312908</v>
      </c>
      <c r="F1898" s="1">
        <v>0</v>
      </c>
      <c r="G1898" s="1">
        <v>4</v>
      </c>
      <c r="H1898">
        <f t="shared" si="87"/>
        <v>2013</v>
      </c>
      <c r="I1898">
        <f t="shared" si="88"/>
        <v>2020</v>
      </c>
      <c r="J1898" s="7">
        <f t="shared" si="89"/>
        <v>113.74688602110146</v>
      </c>
      <c r="K1898" s="7"/>
    </row>
    <row r="1899" spans="1:11" x14ac:dyDescent="0.25">
      <c r="A1899" s="1" t="s">
        <v>19</v>
      </c>
      <c r="B1899" s="2">
        <v>201303</v>
      </c>
      <c r="C1899" s="2">
        <v>202101</v>
      </c>
      <c r="D1899" s="10">
        <v>0</v>
      </c>
      <c r="E1899" s="10">
        <v>86.689371154601488</v>
      </c>
      <c r="F1899" s="1">
        <v>0</v>
      </c>
      <c r="G1899" s="1">
        <v>2</v>
      </c>
      <c r="H1899">
        <f t="shared" si="87"/>
        <v>2013</v>
      </c>
      <c r="I1899">
        <f t="shared" si="88"/>
        <v>2021</v>
      </c>
      <c r="J1899" s="7">
        <f t="shared" si="89"/>
        <v>86.689371154601488</v>
      </c>
      <c r="K1899" s="7"/>
    </row>
    <row r="1900" spans="1:11" x14ac:dyDescent="0.25">
      <c r="A1900" s="1" t="s">
        <v>19</v>
      </c>
      <c r="B1900" s="2">
        <v>201303</v>
      </c>
      <c r="C1900" s="2">
        <v>202102</v>
      </c>
      <c r="D1900" s="10">
        <v>0</v>
      </c>
      <c r="E1900" s="10">
        <v>86.917551179523272</v>
      </c>
      <c r="F1900" s="1">
        <v>0</v>
      </c>
      <c r="G1900" s="1">
        <v>2</v>
      </c>
      <c r="H1900">
        <f t="shared" si="87"/>
        <v>2013</v>
      </c>
      <c r="I1900">
        <f t="shared" si="88"/>
        <v>2021</v>
      </c>
      <c r="J1900" s="7">
        <f t="shared" si="89"/>
        <v>86.917551179523272</v>
      </c>
      <c r="K1900" s="7"/>
    </row>
    <row r="1901" spans="1:11" x14ac:dyDescent="0.25">
      <c r="A1901" s="1" t="s">
        <v>19</v>
      </c>
      <c r="B1901" s="2">
        <v>201303</v>
      </c>
      <c r="C1901" s="2">
        <v>202103</v>
      </c>
      <c r="D1901" s="10">
        <v>0</v>
      </c>
      <c r="E1901" s="10">
        <v>87.013581820196563</v>
      </c>
      <c r="F1901" s="1">
        <v>0</v>
      </c>
      <c r="G1901" s="1">
        <v>2</v>
      </c>
      <c r="H1901">
        <f t="shared" si="87"/>
        <v>2013</v>
      </c>
      <c r="I1901">
        <f t="shared" si="88"/>
        <v>2021</v>
      </c>
      <c r="J1901" s="7">
        <f t="shared" si="89"/>
        <v>87.013581820196563</v>
      </c>
      <c r="K1901" s="7"/>
    </row>
    <row r="1902" spans="1:11" x14ac:dyDescent="0.25">
      <c r="A1902" s="1" t="s">
        <v>19</v>
      </c>
      <c r="B1902" s="2">
        <v>201303</v>
      </c>
      <c r="C1902" s="2">
        <v>202104</v>
      </c>
      <c r="D1902" s="10">
        <v>0</v>
      </c>
      <c r="E1902" s="10">
        <v>9.891635849499238</v>
      </c>
      <c r="F1902" s="1">
        <v>0</v>
      </c>
      <c r="G1902" s="1">
        <v>2</v>
      </c>
      <c r="H1902">
        <f t="shared" si="87"/>
        <v>2013</v>
      </c>
      <c r="I1902">
        <f t="shared" si="88"/>
        <v>2021</v>
      </c>
      <c r="J1902" s="7">
        <f t="shared" si="89"/>
        <v>9.891635849499238</v>
      </c>
      <c r="K1902" s="7"/>
    </row>
    <row r="1903" spans="1:11" x14ac:dyDescent="0.25">
      <c r="A1903" s="1" t="s">
        <v>19</v>
      </c>
      <c r="B1903" s="2">
        <v>201304</v>
      </c>
      <c r="C1903" s="2">
        <v>201304</v>
      </c>
      <c r="D1903" s="10">
        <v>437092.50758841808</v>
      </c>
      <c r="E1903" s="10">
        <v>585588.18202400918</v>
      </c>
      <c r="F1903" s="1">
        <v>12207</v>
      </c>
      <c r="G1903" s="1">
        <v>5421</v>
      </c>
      <c r="H1903">
        <f t="shared" si="87"/>
        <v>2013</v>
      </c>
      <c r="I1903">
        <f t="shared" si="88"/>
        <v>2013</v>
      </c>
      <c r="J1903" s="7">
        <f t="shared" si="89"/>
        <v>1022680.6896124273</v>
      </c>
      <c r="K1903" s="7"/>
    </row>
    <row r="1904" spans="1:11" x14ac:dyDescent="0.25">
      <c r="A1904" s="1" t="s">
        <v>19</v>
      </c>
      <c r="B1904" s="2">
        <v>201304</v>
      </c>
      <c r="C1904" s="2">
        <v>201401</v>
      </c>
      <c r="D1904" s="10">
        <v>497922.34278835327</v>
      </c>
      <c r="E1904" s="10">
        <v>204944.74596520019</v>
      </c>
      <c r="F1904" s="1">
        <v>3542</v>
      </c>
      <c r="G1904" s="1">
        <v>2661</v>
      </c>
      <c r="H1904">
        <f t="shared" si="87"/>
        <v>2013</v>
      </c>
      <c r="I1904">
        <f t="shared" si="88"/>
        <v>2014</v>
      </c>
      <c r="J1904" s="7">
        <f t="shared" si="89"/>
        <v>702867.08875355346</v>
      </c>
      <c r="K1904" s="7"/>
    </row>
    <row r="1905" spans="1:11" x14ac:dyDescent="0.25">
      <c r="A1905" s="1" t="s">
        <v>19</v>
      </c>
      <c r="B1905" s="2">
        <v>201304</v>
      </c>
      <c r="C1905" s="2">
        <v>201402</v>
      </c>
      <c r="D1905" s="10">
        <v>64277.224591148042</v>
      </c>
      <c r="E1905" s="10">
        <v>134974.52323148472</v>
      </c>
      <c r="F1905" s="1">
        <v>593</v>
      </c>
      <c r="G1905" s="1">
        <v>1839</v>
      </c>
      <c r="H1905">
        <f t="shared" si="87"/>
        <v>2013</v>
      </c>
      <c r="I1905">
        <f t="shared" si="88"/>
        <v>2014</v>
      </c>
      <c r="J1905" s="7">
        <f t="shared" si="89"/>
        <v>199251.74782263278</v>
      </c>
      <c r="K1905" s="7"/>
    </row>
    <row r="1906" spans="1:11" x14ac:dyDescent="0.25">
      <c r="A1906" s="1" t="s">
        <v>19</v>
      </c>
      <c r="B1906" s="2">
        <v>201304</v>
      </c>
      <c r="C1906" s="2">
        <v>201403</v>
      </c>
      <c r="D1906" s="10">
        <v>28196.972837594854</v>
      </c>
      <c r="E1906" s="10">
        <v>99419.33247322042</v>
      </c>
      <c r="F1906" s="1">
        <v>197</v>
      </c>
      <c r="G1906" s="1">
        <v>1374</v>
      </c>
      <c r="H1906">
        <f t="shared" si="87"/>
        <v>2013</v>
      </c>
      <c r="I1906">
        <f t="shared" si="88"/>
        <v>2014</v>
      </c>
      <c r="J1906" s="7">
        <f t="shared" si="89"/>
        <v>127616.30531081528</v>
      </c>
      <c r="K1906" s="7"/>
    </row>
    <row r="1907" spans="1:11" x14ac:dyDescent="0.25">
      <c r="A1907" s="1" t="s">
        <v>19</v>
      </c>
      <c r="B1907" s="2">
        <v>201304</v>
      </c>
      <c r="C1907" s="2">
        <v>201404</v>
      </c>
      <c r="D1907" s="10">
        <v>10093.420535776459</v>
      </c>
      <c r="E1907" s="10">
        <v>87577.199494903922</v>
      </c>
      <c r="F1907" s="1">
        <v>101</v>
      </c>
      <c r="G1907" s="1">
        <v>1064</v>
      </c>
      <c r="H1907">
        <f t="shared" si="87"/>
        <v>2013</v>
      </c>
      <c r="I1907">
        <f t="shared" si="88"/>
        <v>2014</v>
      </c>
      <c r="J1907" s="7">
        <f t="shared" si="89"/>
        <v>97670.62003068038</v>
      </c>
      <c r="K1907" s="7"/>
    </row>
    <row r="1908" spans="1:11" x14ac:dyDescent="0.25">
      <c r="A1908" s="1" t="s">
        <v>19</v>
      </c>
      <c r="B1908" s="2">
        <v>201304</v>
      </c>
      <c r="C1908" s="2">
        <v>201501</v>
      </c>
      <c r="D1908" s="10">
        <v>4782.8039593135418</v>
      </c>
      <c r="E1908" s="10">
        <v>59032.815250888205</v>
      </c>
      <c r="F1908" s="1">
        <v>42</v>
      </c>
      <c r="G1908" s="1">
        <v>832</v>
      </c>
      <c r="H1908">
        <f t="shared" si="87"/>
        <v>2013</v>
      </c>
      <c r="I1908">
        <f t="shared" si="88"/>
        <v>2015</v>
      </c>
      <c r="J1908" s="7">
        <f t="shared" si="89"/>
        <v>63815.619210201745</v>
      </c>
      <c r="K1908" s="7"/>
    </row>
    <row r="1909" spans="1:11" x14ac:dyDescent="0.25">
      <c r="A1909" s="1" t="s">
        <v>19</v>
      </c>
      <c r="B1909" s="2">
        <v>201304</v>
      </c>
      <c r="C1909" s="2">
        <v>201502</v>
      </c>
      <c r="D1909" s="10">
        <v>2716.8088487830764</v>
      </c>
      <c r="E1909" s="10">
        <v>47070.25146936738</v>
      </c>
      <c r="F1909" s="1">
        <v>18</v>
      </c>
      <c r="G1909" s="1">
        <v>679</v>
      </c>
      <c r="H1909">
        <f t="shared" si="87"/>
        <v>2013</v>
      </c>
      <c r="I1909">
        <f t="shared" si="88"/>
        <v>2015</v>
      </c>
      <c r="J1909" s="7">
        <f t="shared" si="89"/>
        <v>49787.060318150456</v>
      </c>
      <c r="K1909" s="7"/>
    </row>
    <row r="1910" spans="1:11" x14ac:dyDescent="0.25">
      <c r="A1910" s="1" t="s">
        <v>19</v>
      </c>
      <c r="B1910" s="2">
        <v>201304</v>
      </c>
      <c r="C1910" s="2">
        <v>201503</v>
      </c>
      <c r="D1910" s="10">
        <v>3570.5764245260489</v>
      </c>
      <c r="E1910" s="10">
        <v>44379.640852413737</v>
      </c>
      <c r="F1910" s="1">
        <v>62</v>
      </c>
      <c r="G1910" s="1">
        <v>609</v>
      </c>
      <c r="H1910">
        <f t="shared" si="87"/>
        <v>2013</v>
      </c>
      <c r="I1910">
        <f t="shared" si="88"/>
        <v>2015</v>
      </c>
      <c r="J1910" s="7">
        <f t="shared" si="89"/>
        <v>47950.217276939788</v>
      </c>
      <c r="K1910" s="7"/>
    </row>
    <row r="1911" spans="1:11" x14ac:dyDescent="0.25">
      <c r="A1911" s="1" t="s">
        <v>19</v>
      </c>
      <c r="B1911" s="2">
        <v>201304</v>
      </c>
      <c r="C1911" s="2">
        <v>201504</v>
      </c>
      <c r="D1911" s="10">
        <v>1272.4742793764988</v>
      </c>
      <c r="E1911" s="10">
        <v>41063.167910900607</v>
      </c>
      <c r="F1911" s="1">
        <v>16</v>
      </c>
      <c r="G1911" s="1">
        <v>479</v>
      </c>
      <c r="H1911">
        <f t="shared" si="87"/>
        <v>2013</v>
      </c>
      <c r="I1911">
        <f t="shared" si="88"/>
        <v>2015</v>
      </c>
      <c r="J1911" s="7">
        <f t="shared" si="89"/>
        <v>42335.642190277104</v>
      </c>
      <c r="K1911" s="7"/>
    </row>
    <row r="1912" spans="1:11" x14ac:dyDescent="0.25">
      <c r="A1912" s="1" t="s">
        <v>19</v>
      </c>
      <c r="B1912" s="2">
        <v>201304</v>
      </c>
      <c r="C1912" s="2">
        <v>201601</v>
      </c>
      <c r="D1912" s="10">
        <v>2953.4904161562108</v>
      </c>
      <c r="E1912" s="10">
        <v>23792.857383345799</v>
      </c>
      <c r="F1912" s="1">
        <v>7</v>
      </c>
      <c r="G1912" s="1">
        <v>414</v>
      </c>
      <c r="H1912">
        <f t="shared" si="87"/>
        <v>2013</v>
      </c>
      <c r="I1912">
        <f t="shared" si="88"/>
        <v>2016</v>
      </c>
      <c r="J1912" s="7">
        <f t="shared" si="89"/>
        <v>26746.347799502011</v>
      </c>
      <c r="K1912" s="7"/>
    </row>
    <row r="1913" spans="1:11" x14ac:dyDescent="0.25">
      <c r="A1913" s="1" t="s">
        <v>19</v>
      </c>
      <c r="B1913" s="2">
        <v>201304</v>
      </c>
      <c r="C1913" s="2">
        <v>201602</v>
      </c>
      <c r="D1913" s="10">
        <v>528.16448415156776</v>
      </c>
      <c r="E1913" s="10">
        <v>20823.183766011196</v>
      </c>
      <c r="F1913" s="1">
        <v>9</v>
      </c>
      <c r="G1913" s="1">
        <v>369</v>
      </c>
      <c r="H1913">
        <f t="shared" si="87"/>
        <v>2013</v>
      </c>
      <c r="I1913">
        <f t="shared" si="88"/>
        <v>2016</v>
      </c>
      <c r="J1913" s="7">
        <f t="shared" si="89"/>
        <v>21351.348250162762</v>
      </c>
      <c r="K1913" s="7"/>
    </row>
    <row r="1914" spans="1:11" x14ac:dyDescent="0.25">
      <c r="A1914" s="1" t="s">
        <v>19</v>
      </c>
      <c r="B1914" s="2">
        <v>201304</v>
      </c>
      <c r="C1914" s="2">
        <v>201603</v>
      </c>
      <c r="D1914" s="10">
        <v>1795.6954308291727</v>
      </c>
      <c r="E1914" s="10">
        <v>17139.886576982841</v>
      </c>
      <c r="F1914" s="1">
        <v>20</v>
      </c>
      <c r="G1914" s="1">
        <v>325</v>
      </c>
      <c r="H1914">
        <f t="shared" si="87"/>
        <v>2013</v>
      </c>
      <c r="I1914">
        <f t="shared" si="88"/>
        <v>2016</v>
      </c>
      <c r="J1914" s="7">
        <f t="shared" si="89"/>
        <v>18935.582007812012</v>
      </c>
      <c r="K1914" s="7"/>
    </row>
    <row r="1915" spans="1:11" x14ac:dyDescent="0.25">
      <c r="A1915" s="1" t="s">
        <v>19</v>
      </c>
      <c r="B1915" s="2">
        <v>201304</v>
      </c>
      <c r="C1915" s="2">
        <v>201604</v>
      </c>
      <c r="D1915" s="10">
        <v>756.51712955277287</v>
      </c>
      <c r="E1915" s="10">
        <v>13061.598665359908</v>
      </c>
      <c r="F1915" s="1">
        <v>16</v>
      </c>
      <c r="G1915" s="1">
        <v>208</v>
      </c>
      <c r="H1915">
        <f t="shared" si="87"/>
        <v>2013</v>
      </c>
      <c r="I1915">
        <f t="shared" si="88"/>
        <v>2016</v>
      </c>
      <c r="J1915" s="7">
        <f t="shared" si="89"/>
        <v>13818.115794912681</v>
      </c>
      <c r="K1915" s="7"/>
    </row>
    <row r="1916" spans="1:11" x14ac:dyDescent="0.25">
      <c r="A1916" s="1" t="s">
        <v>19</v>
      </c>
      <c r="B1916" s="2">
        <v>201304</v>
      </c>
      <c r="C1916" s="2">
        <v>201701</v>
      </c>
      <c r="D1916" s="10">
        <v>40.669847534540914</v>
      </c>
      <c r="E1916" s="10">
        <v>4838.6370058452903</v>
      </c>
      <c r="F1916" s="1">
        <v>0</v>
      </c>
      <c r="G1916" s="1">
        <v>156</v>
      </c>
      <c r="H1916">
        <f t="shared" si="87"/>
        <v>2013</v>
      </c>
      <c r="I1916">
        <f t="shared" si="88"/>
        <v>2017</v>
      </c>
      <c r="J1916" s="7">
        <f t="shared" si="89"/>
        <v>4879.3068533798314</v>
      </c>
      <c r="K1916" s="7"/>
    </row>
    <row r="1917" spans="1:11" x14ac:dyDescent="0.25">
      <c r="A1917" s="1" t="s">
        <v>19</v>
      </c>
      <c r="B1917" s="2">
        <v>201304</v>
      </c>
      <c r="C1917" s="2">
        <v>201702</v>
      </c>
      <c r="D1917" s="10">
        <v>-87.171582734479273</v>
      </c>
      <c r="E1917" s="10">
        <v>3538.6910592212867</v>
      </c>
      <c r="F1917" s="1">
        <v>0</v>
      </c>
      <c r="G1917" s="1">
        <v>85</v>
      </c>
      <c r="H1917">
        <f t="shared" si="87"/>
        <v>2013</v>
      </c>
      <c r="I1917">
        <f t="shared" si="88"/>
        <v>2017</v>
      </c>
      <c r="J1917" s="7">
        <f t="shared" si="89"/>
        <v>3451.5194764868074</v>
      </c>
      <c r="K1917" s="7"/>
    </row>
    <row r="1918" spans="1:11" x14ac:dyDescent="0.25">
      <c r="A1918" s="1" t="s">
        <v>19</v>
      </c>
      <c r="B1918" s="2">
        <v>201304</v>
      </c>
      <c r="C1918" s="2">
        <v>201703</v>
      </c>
      <c r="D1918" s="10">
        <v>80.671551987746838</v>
      </c>
      <c r="E1918" s="10">
        <v>2106.2166717285468</v>
      </c>
      <c r="F1918" s="1">
        <v>0</v>
      </c>
      <c r="G1918" s="1">
        <v>57</v>
      </c>
      <c r="H1918">
        <f t="shared" si="87"/>
        <v>2013</v>
      </c>
      <c r="I1918">
        <f t="shared" si="88"/>
        <v>2017</v>
      </c>
      <c r="J1918" s="7">
        <f t="shared" si="89"/>
        <v>2186.8882237162934</v>
      </c>
      <c r="K1918" s="7"/>
    </row>
    <row r="1919" spans="1:11" x14ac:dyDescent="0.25">
      <c r="A1919" s="1" t="s">
        <v>19</v>
      </c>
      <c r="B1919" s="2">
        <v>201304</v>
      </c>
      <c r="C1919" s="2">
        <v>201704</v>
      </c>
      <c r="D1919" s="10">
        <v>-9.7944115736412165</v>
      </c>
      <c r="E1919" s="10">
        <v>2139.8067427549722</v>
      </c>
      <c r="F1919" s="1">
        <v>1</v>
      </c>
      <c r="G1919" s="1">
        <v>41</v>
      </c>
      <c r="H1919">
        <f t="shared" si="87"/>
        <v>2013</v>
      </c>
      <c r="I1919">
        <f t="shared" si="88"/>
        <v>2017</v>
      </c>
      <c r="J1919" s="7">
        <f t="shared" si="89"/>
        <v>2130.0123311813309</v>
      </c>
      <c r="K1919" s="7"/>
    </row>
    <row r="1920" spans="1:11" x14ac:dyDescent="0.25">
      <c r="A1920" s="1" t="s">
        <v>19</v>
      </c>
      <c r="B1920" s="2">
        <v>201304</v>
      </c>
      <c r="C1920" s="2">
        <v>201801</v>
      </c>
      <c r="D1920" s="10">
        <v>-254.61367467351096</v>
      </c>
      <c r="E1920" s="10">
        <v>1249.1382536213046</v>
      </c>
      <c r="F1920" s="1">
        <v>1</v>
      </c>
      <c r="G1920" s="1">
        <v>35</v>
      </c>
      <c r="H1920">
        <f t="shared" si="87"/>
        <v>2013</v>
      </c>
      <c r="I1920">
        <f t="shared" si="88"/>
        <v>2018</v>
      </c>
      <c r="J1920" s="7">
        <f t="shared" si="89"/>
        <v>994.52457894779354</v>
      </c>
      <c r="K1920" s="7"/>
    </row>
    <row r="1921" spans="1:11" x14ac:dyDescent="0.25">
      <c r="A1921" s="1" t="s">
        <v>19</v>
      </c>
      <c r="B1921" s="2">
        <v>201304</v>
      </c>
      <c r="C1921" s="2">
        <v>201802</v>
      </c>
      <c r="D1921" s="10">
        <v>-17.723787800178243</v>
      </c>
      <c r="E1921" s="10">
        <v>1089.2316104119263</v>
      </c>
      <c r="F1921" s="1">
        <v>0</v>
      </c>
      <c r="G1921" s="1">
        <v>21</v>
      </c>
      <c r="H1921">
        <f t="shared" si="87"/>
        <v>2013</v>
      </c>
      <c r="I1921">
        <f t="shared" si="88"/>
        <v>2018</v>
      </c>
      <c r="J1921" s="7">
        <f t="shared" si="89"/>
        <v>1071.507822611748</v>
      </c>
      <c r="K1921" s="7"/>
    </row>
    <row r="1922" spans="1:11" x14ac:dyDescent="0.25">
      <c r="A1922" s="1" t="s">
        <v>19</v>
      </c>
      <c r="B1922" s="2">
        <v>201304</v>
      </c>
      <c r="C1922" s="2">
        <v>201803</v>
      </c>
      <c r="D1922" s="10">
        <v>-954.43324380800641</v>
      </c>
      <c r="E1922" s="10">
        <v>900.96497872941416</v>
      </c>
      <c r="F1922" s="1">
        <v>1</v>
      </c>
      <c r="G1922" s="1">
        <v>20</v>
      </c>
      <c r="H1922">
        <f t="shared" si="87"/>
        <v>2013</v>
      </c>
      <c r="I1922">
        <f t="shared" si="88"/>
        <v>2018</v>
      </c>
      <c r="J1922" s="7">
        <f t="shared" si="89"/>
        <v>-53.468265078592253</v>
      </c>
      <c r="K1922" s="7"/>
    </row>
    <row r="1923" spans="1:11" x14ac:dyDescent="0.25">
      <c r="A1923" s="1" t="s">
        <v>19</v>
      </c>
      <c r="B1923" s="2">
        <v>201304</v>
      </c>
      <c r="C1923" s="2">
        <v>201804</v>
      </c>
      <c r="D1923" s="10">
        <v>-80.289864216688812</v>
      </c>
      <c r="E1923" s="10">
        <v>839.08541784334363</v>
      </c>
      <c r="F1923" s="1">
        <v>0</v>
      </c>
      <c r="G1923" s="1">
        <v>17</v>
      </c>
      <c r="H1923">
        <f t="shared" si="87"/>
        <v>2013</v>
      </c>
      <c r="I1923">
        <f t="shared" si="88"/>
        <v>2018</v>
      </c>
      <c r="J1923" s="7">
        <f t="shared" si="89"/>
        <v>758.79555362665485</v>
      </c>
      <c r="K1923" s="7"/>
    </row>
    <row r="1924" spans="1:11" x14ac:dyDescent="0.25">
      <c r="A1924" s="1" t="s">
        <v>19</v>
      </c>
      <c r="B1924" s="2">
        <v>201304</v>
      </c>
      <c r="C1924" s="2">
        <v>201901</v>
      </c>
      <c r="D1924" s="10">
        <v>1.2747019596543558</v>
      </c>
      <c r="E1924" s="10">
        <v>850.59105436988159</v>
      </c>
      <c r="F1924" s="1">
        <v>0</v>
      </c>
      <c r="G1924" s="1">
        <v>17</v>
      </c>
      <c r="H1924">
        <f t="shared" ref="H1924:H1987" si="90">VALUE(LEFT(B1924,4))</f>
        <v>2013</v>
      </c>
      <c r="I1924">
        <f t="shared" ref="I1924:I1987" si="91">VALUE(LEFT(C1924,4))</f>
        <v>2019</v>
      </c>
      <c r="J1924" s="7">
        <f t="shared" si="89"/>
        <v>851.865756329536</v>
      </c>
      <c r="K1924" s="7"/>
    </row>
    <row r="1925" spans="1:11" x14ac:dyDescent="0.25">
      <c r="A1925" s="1" t="s">
        <v>19</v>
      </c>
      <c r="B1925" s="2">
        <v>201304</v>
      </c>
      <c r="C1925" s="2">
        <v>201902</v>
      </c>
      <c r="D1925" s="10">
        <v>0</v>
      </c>
      <c r="E1925" s="10">
        <v>368.61805387550129</v>
      </c>
      <c r="F1925" s="1">
        <v>0</v>
      </c>
      <c r="G1925" s="1">
        <v>10</v>
      </c>
      <c r="H1925">
        <f t="shared" si="90"/>
        <v>2013</v>
      </c>
      <c r="I1925">
        <f t="shared" si="91"/>
        <v>2019</v>
      </c>
      <c r="J1925" s="7">
        <f t="shared" ref="J1925:J1988" si="92">D1925+E1925</f>
        <v>368.61805387550129</v>
      </c>
      <c r="K1925" s="7"/>
    </row>
    <row r="1926" spans="1:11" x14ac:dyDescent="0.25">
      <c r="A1926" s="1" t="s">
        <v>19</v>
      </c>
      <c r="B1926" s="2">
        <v>201304</v>
      </c>
      <c r="C1926" s="2">
        <v>201903</v>
      </c>
      <c r="D1926" s="10">
        <v>0</v>
      </c>
      <c r="E1926" s="10">
        <v>368.98161297721384</v>
      </c>
      <c r="F1926" s="1">
        <v>0</v>
      </c>
      <c r="G1926" s="1">
        <v>9</v>
      </c>
      <c r="H1926">
        <f t="shared" si="90"/>
        <v>2013</v>
      </c>
      <c r="I1926">
        <f t="shared" si="91"/>
        <v>2019</v>
      </c>
      <c r="J1926" s="7">
        <f t="shared" si="92"/>
        <v>368.98161297721384</v>
      </c>
      <c r="K1926" s="7"/>
    </row>
    <row r="1927" spans="1:11" x14ac:dyDescent="0.25">
      <c r="A1927" s="1" t="s">
        <v>19</v>
      </c>
      <c r="B1927" s="2">
        <v>201304</v>
      </c>
      <c r="C1927" s="2">
        <v>201904</v>
      </c>
      <c r="D1927" s="10">
        <v>7.9714262842944121</v>
      </c>
      <c r="E1927" s="10">
        <v>282.27906849978029</v>
      </c>
      <c r="F1927" s="1">
        <v>0</v>
      </c>
      <c r="G1927" s="1">
        <v>7</v>
      </c>
      <c r="H1927">
        <f t="shared" si="90"/>
        <v>2013</v>
      </c>
      <c r="I1927">
        <f t="shared" si="91"/>
        <v>2019</v>
      </c>
      <c r="J1927" s="7">
        <f t="shared" si="92"/>
        <v>290.2504947840747</v>
      </c>
      <c r="K1927" s="7"/>
    </row>
    <row r="1928" spans="1:11" x14ac:dyDescent="0.25">
      <c r="A1928" s="1" t="s">
        <v>19</v>
      </c>
      <c r="B1928" s="2">
        <v>201304</v>
      </c>
      <c r="C1928" s="2">
        <v>202001</v>
      </c>
      <c r="D1928" s="10">
        <v>0</v>
      </c>
      <c r="E1928" s="10">
        <v>255.19520805181796</v>
      </c>
      <c r="F1928" s="1">
        <v>0</v>
      </c>
      <c r="G1928" s="1">
        <v>6</v>
      </c>
      <c r="H1928">
        <f t="shared" si="90"/>
        <v>2013</v>
      </c>
      <c r="I1928">
        <f t="shared" si="91"/>
        <v>2020</v>
      </c>
      <c r="J1928" s="7">
        <f t="shared" si="92"/>
        <v>255.19520805181796</v>
      </c>
      <c r="K1928" s="7"/>
    </row>
    <row r="1929" spans="1:11" x14ac:dyDescent="0.25">
      <c r="A1929" s="1" t="s">
        <v>19</v>
      </c>
      <c r="B1929" s="2">
        <v>201304</v>
      </c>
      <c r="C1929" s="2">
        <v>202002</v>
      </c>
      <c r="D1929" s="10">
        <v>-151.86534429333304</v>
      </c>
      <c r="E1929" s="10">
        <v>89.733062667830424</v>
      </c>
      <c r="F1929" s="1">
        <v>0</v>
      </c>
      <c r="G1929" s="1">
        <v>5</v>
      </c>
      <c r="H1929">
        <f t="shared" si="90"/>
        <v>2013</v>
      </c>
      <c r="I1929">
        <f t="shared" si="91"/>
        <v>2020</v>
      </c>
      <c r="J1929" s="7">
        <f t="shared" si="92"/>
        <v>-62.132281625502614</v>
      </c>
      <c r="K1929" s="7"/>
    </row>
    <row r="1930" spans="1:11" x14ac:dyDescent="0.25">
      <c r="A1930" s="1" t="s">
        <v>19</v>
      </c>
      <c r="B1930" s="2">
        <v>201304</v>
      </c>
      <c r="C1930" s="2">
        <v>202003</v>
      </c>
      <c r="D1930" s="10">
        <v>121.81533760596099</v>
      </c>
      <c r="E1930" s="10">
        <v>89.479201801762741</v>
      </c>
      <c r="F1930" s="1">
        <v>0</v>
      </c>
      <c r="G1930" s="1">
        <v>5</v>
      </c>
      <c r="H1930">
        <f t="shared" si="90"/>
        <v>2013</v>
      </c>
      <c r="I1930">
        <f t="shared" si="91"/>
        <v>2020</v>
      </c>
      <c r="J1930" s="7">
        <f t="shared" si="92"/>
        <v>211.29453940772373</v>
      </c>
      <c r="K1930" s="7"/>
    </row>
    <row r="1931" spans="1:11" x14ac:dyDescent="0.25">
      <c r="A1931" s="1" t="s">
        <v>19</v>
      </c>
      <c r="B1931" s="2">
        <v>201304</v>
      </c>
      <c r="C1931" s="2">
        <v>202004</v>
      </c>
      <c r="D1931" s="10">
        <v>0</v>
      </c>
      <c r="E1931" s="10">
        <v>28.473854952834291</v>
      </c>
      <c r="F1931" s="1">
        <v>0</v>
      </c>
      <c r="G1931" s="1">
        <v>3</v>
      </c>
      <c r="H1931">
        <f t="shared" si="90"/>
        <v>2013</v>
      </c>
      <c r="I1931">
        <f t="shared" si="91"/>
        <v>2020</v>
      </c>
      <c r="J1931" s="7">
        <f t="shared" si="92"/>
        <v>28.473854952834291</v>
      </c>
      <c r="K1931" s="7"/>
    </row>
    <row r="1932" spans="1:11" x14ac:dyDescent="0.25">
      <c r="A1932" s="1" t="s">
        <v>19</v>
      </c>
      <c r="B1932" s="2">
        <v>201304</v>
      </c>
      <c r="C1932" s="2">
        <v>202101</v>
      </c>
      <c r="D1932" s="10">
        <v>0</v>
      </c>
      <c r="E1932" s="10">
        <v>29.125621399372349</v>
      </c>
      <c r="F1932" s="1">
        <v>0</v>
      </c>
      <c r="G1932" s="1">
        <v>3</v>
      </c>
      <c r="H1932">
        <f t="shared" si="90"/>
        <v>2013</v>
      </c>
      <c r="I1932">
        <f t="shared" si="91"/>
        <v>2021</v>
      </c>
      <c r="J1932" s="7">
        <f t="shared" si="92"/>
        <v>29.125621399372349</v>
      </c>
      <c r="K1932" s="7"/>
    </row>
    <row r="1933" spans="1:11" x14ac:dyDescent="0.25">
      <c r="A1933" s="1" t="s">
        <v>19</v>
      </c>
      <c r="B1933" s="2">
        <v>201304</v>
      </c>
      <c r="C1933" s="2">
        <v>202102</v>
      </c>
      <c r="D1933" s="10">
        <v>0</v>
      </c>
      <c r="E1933" s="10">
        <v>28.491266066133715</v>
      </c>
      <c r="F1933" s="1">
        <v>0</v>
      </c>
      <c r="G1933" s="1">
        <v>3</v>
      </c>
      <c r="H1933">
        <f t="shared" si="90"/>
        <v>2013</v>
      </c>
      <c r="I1933">
        <f t="shared" si="91"/>
        <v>2021</v>
      </c>
      <c r="J1933" s="7">
        <f t="shared" si="92"/>
        <v>28.491266066133715</v>
      </c>
      <c r="K1933" s="7"/>
    </row>
    <row r="1934" spans="1:11" x14ac:dyDescent="0.25">
      <c r="A1934" s="1" t="s">
        <v>19</v>
      </c>
      <c r="B1934" s="2">
        <v>201304</v>
      </c>
      <c r="C1934" s="2">
        <v>202103</v>
      </c>
      <c r="D1934" s="10">
        <v>0</v>
      </c>
      <c r="E1934" s="10">
        <v>29.018382749286253</v>
      </c>
      <c r="F1934" s="1">
        <v>0</v>
      </c>
      <c r="G1934" s="1">
        <v>3</v>
      </c>
      <c r="H1934">
        <f t="shared" si="90"/>
        <v>2013</v>
      </c>
      <c r="I1934">
        <f t="shared" si="91"/>
        <v>2021</v>
      </c>
      <c r="J1934" s="7">
        <f t="shared" si="92"/>
        <v>29.018382749286253</v>
      </c>
      <c r="K1934" s="7"/>
    </row>
    <row r="1935" spans="1:11" x14ac:dyDescent="0.25">
      <c r="A1935" s="1" t="s">
        <v>19</v>
      </c>
      <c r="B1935" s="2">
        <v>201304</v>
      </c>
      <c r="C1935" s="2">
        <v>202104</v>
      </c>
      <c r="D1935" s="10">
        <v>-9.6896525634854331</v>
      </c>
      <c r="E1935" s="10">
        <v>28.32191248954048</v>
      </c>
      <c r="F1935" s="1">
        <v>0</v>
      </c>
      <c r="G1935" s="1">
        <v>3</v>
      </c>
      <c r="H1935">
        <f t="shared" si="90"/>
        <v>2013</v>
      </c>
      <c r="I1935">
        <f t="shared" si="91"/>
        <v>2021</v>
      </c>
      <c r="J1935" s="7">
        <f t="shared" si="92"/>
        <v>18.632259926055049</v>
      </c>
      <c r="K1935" s="7"/>
    </row>
    <row r="1936" spans="1:11" x14ac:dyDescent="0.25">
      <c r="A1936" s="1" t="s">
        <v>19</v>
      </c>
      <c r="B1936" s="2">
        <v>201401</v>
      </c>
      <c r="C1936" s="2">
        <v>201401</v>
      </c>
      <c r="D1936" s="10">
        <v>595888.17918618151</v>
      </c>
      <c r="E1936" s="10">
        <v>508654.11036779929</v>
      </c>
      <c r="F1936" s="1">
        <v>14172</v>
      </c>
      <c r="G1936" s="1">
        <v>5474</v>
      </c>
      <c r="H1936">
        <f t="shared" si="90"/>
        <v>2014</v>
      </c>
      <c r="I1936">
        <f t="shared" si="91"/>
        <v>2014</v>
      </c>
      <c r="J1936" s="7">
        <f t="shared" si="92"/>
        <v>1104542.2895539808</v>
      </c>
      <c r="K1936" s="7"/>
    </row>
    <row r="1937" spans="1:11" x14ac:dyDescent="0.25">
      <c r="A1937" s="1" t="s">
        <v>19</v>
      </c>
      <c r="B1937" s="2">
        <v>201401</v>
      </c>
      <c r="C1937" s="2">
        <v>201402</v>
      </c>
      <c r="D1937" s="10">
        <v>632951.56290195161</v>
      </c>
      <c r="E1937" s="10">
        <v>210955.1085111695</v>
      </c>
      <c r="F1937" s="1">
        <v>4478</v>
      </c>
      <c r="G1937" s="1">
        <v>3070</v>
      </c>
      <c r="H1937">
        <f t="shared" si="90"/>
        <v>2014</v>
      </c>
      <c r="I1937">
        <f t="shared" si="91"/>
        <v>2014</v>
      </c>
      <c r="J1937" s="7">
        <f t="shared" si="92"/>
        <v>843906.67141312105</v>
      </c>
      <c r="K1937" s="7"/>
    </row>
    <row r="1938" spans="1:11" x14ac:dyDescent="0.25">
      <c r="A1938" s="1" t="s">
        <v>19</v>
      </c>
      <c r="B1938" s="2">
        <v>201401</v>
      </c>
      <c r="C1938" s="2">
        <v>201403</v>
      </c>
      <c r="D1938" s="10">
        <v>228675.3726088196</v>
      </c>
      <c r="E1938" s="10">
        <v>135132.48485640649</v>
      </c>
      <c r="F1938" s="1">
        <v>752</v>
      </c>
      <c r="G1938" s="1">
        <v>2047</v>
      </c>
      <c r="H1938">
        <f t="shared" si="90"/>
        <v>2014</v>
      </c>
      <c r="I1938">
        <f t="shared" si="91"/>
        <v>2014</v>
      </c>
      <c r="J1938" s="7">
        <f t="shared" si="92"/>
        <v>363807.85746522609</v>
      </c>
      <c r="K1938" s="7"/>
    </row>
    <row r="1939" spans="1:11" x14ac:dyDescent="0.25">
      <c r="A1939" s="1" t="s">
        <v>19</v>
      </c>
      <c r="B1939" s="2">
        <v>201401</v>
      </c>
      <c r="C1939" s="2">
        <v>201404</v>
      </c>
      <c r="D1939" s="10">
        <v>198143.06984607026</v>
      </c>
      <c r="E1939" s="10">
        <v>116570.62945170331</v>
      </c>
      <c r="F1939" s="1">
        <v>306</v>
      </c>
      <c r="G1939" s="1">
        <v>1657</v>
      </c>
      <c r="H1939">
        <f t="shared" si="90"/>
        <v>2014</v>
      </c>
      <c r="I1939">
        <f t="shared" si="91"/>
        <v>2014</v>
      </c>
      <c r="J1939" s="7">
        <f t="shared" si="92"/>
        <v>314713.69929777354</v>
      </c>
      <c r="K1939" s="7"/>
    </row>
    <row r="1940" spans="1:11" x14ac:dyDescent="0.25">
      <c r="A1940" s="1" t="s">
        <v>19</v>
      </c>
      <c r="B1940" s="2">
        <v>201401</v>
      </c>
      <c r="C1940" s="2">
        <v>201501</v>
      </c>
      <c r="D1940" s="10">
        <v>119128.74228384087</v>
      </c>
      <c r="E1940" s="10">
        <v>77444.502417342883</v>
      </c>
      <c r="F1940" s="1">
        <v>172</v>
      </c>
      <c r="G1940" s="1">
        <v>1265</v>
      </c>
      <c r="H1940">
        <f t="shared" si="90"/>
        <v>2014</v>
      </c>
      <c r="I1940">
        <f t="shared" si="91"/>
        <v>2015</v>
      </c>
      <c r="J1940" s="7">
        <f t="shared" si="92"/>
        <v>196573.24470118375</v>
      </c>
      <c r="K1940" s="7"/>
    </row>
    <row r="1941" spans="1:11" x14ac:dyDescent="0.25">
      <c r="A1941" s="1" t="s">
        <v>19</v>
      </c>
      <c r="B1941" s="2">
        <v>201401</v>
      </c>
      <c r="C1941" s="2">
        <v>201502</v>
      </c>
      <c r="D1941" s="10">
        <v>21801.173042167851</v>
      </c>
      <c r="E1941" s="10">
        <v>61303.123272221688</v>
      </c>
      <c r="F1941" s="1">
        <v>54</v>
      </c>
      <c r="G1941" s="1">
        <v>1063</v>
      </c>
      <c r="H1941">
        <f t="shared" si="90"/>
        <v>2014</v>
      </c>
      <c r="I1941">
        <f t="shared" si="91"/>
        <v>2015</v>
      </c>
      <c r="J1941" s="7">
        <f t="shared" si="92"/>
        <v>83104.296314389532</v>
      </c>
      <c r="K1941" s="7"/>
    </row>
    <row r="1942" spans="1:11" x14ac:dyDescent="0.25">
      <c r="A1942" s="1" t="s">
        <v>19</v>
      </c>
      <c r="B1942" s="2">
        <v>201401</v>
      </c>
      <c r="C1942" s="2">
        <v>201503</v>
      </c>
      <c r="D1942" s="10">
        <v>10960.907455789367</v>
      </c>
      <c r="E1942" s="10">
        <v>51025.257918273513</v>
      </c>
      <c r="F1942" s="1">
        <v>64</v>
      </c>
      <c r="G1942" s="1">
        <v>888</v>
      </c>
      <c r="H1942">
        <f t="shared" si="90"/>
        <v>2014</v>
      </c>
      <c r="I1942">
        <f t="shared" si="91"/>
        <v>2015</v>
      </c>
      <c r="J1942" s="7">
        <f t="shared" si="92"/>
        <v>61986.165374062883</v>
      </c>
      <c r="K1942" s="7"/>
    </row>
    <row r="1943" spans="1:11" x14ac:dyDescent="0.25">
      <c r="A1943" s="1" t="s">
        <v>19</v>
      </c>
      <c r="B1943" s="2">
        <v>201401</v>
      </c>
      <c r="C1943" s="2">
        <v>201504</v>
      </c>
      <c r="D1943" s="10">
        <v>5401.0825218779755</v>
      </c>
      <c r="E1943" s="10">
        <v>47729.102074297414</v>
      </c>
      <c r="F1943" s="1">
        <v>19</v>
      </c>
      <c r="G1943" s="1">
        <v>738</v>
      </c>
      <c r="H1943">
        <f t="shared" si="90"/>
        <v>2014</v>
      </c>
      <c r="I1943">
        <f t="shared" si="91"/>
        <v>2015</v>
      </c>
      <c r="J1943" s="7">
        <f t="shared" si="92"/>
        <v>53130.184596175386</v>
      </c>
      <c r="K1943" s="7"/>
    </row>
    <row r="1944" spans="1:11" x14ac:dyDescent="0.25">
      <c r="A1944" s="1" t="s">
        <v>19</v>
      </c>
      <c r="B1944" s="2">
        <v>201401</v>
      </c>
      <c r="C1944" s="2">
        <v>201601</v>
      </c>
      <c r="D1944" s="10">
        <v>1247.9226540410045</v>
      </c>
      <c r="E1944" s="10">
        <v>37140.600307777095</v>
      </c>
      <c r="F1944" s="1">
        <v>11</v>
      </c>
      <c r="G1944" s="1">
        <v>620</v>
      </c>
      <c r="H1944">
        <f t="shared" si="90"/>
        <v>2014</v>
      </c>
      <c r="I1944">
        <f t="shared" si="91"/>
        <v>2016</v>
      </c>
      <c r="J1944" s="7">
        <f t="shared" si="92"/>
        <v>38388.522961818097</v>
      </c>
      <c r="K1944" s="7"/>
    </row>
    <row r="1945" spans="1:11" x14ac:dyDescent="0.25">
      <c r="A1945" s="1" t="s">
        <v>19</v>
      </c>
      <c r="B1945" s="2">
        <v>201401</v>
      </c>
      <c r="C1945" s="2">
        <v>201602</v>
      </c>
      <c r="D1945" s="10">
        <v>407.8943545578191</v>
      </c>
      <c r="E1945" s="10">
        <v>34517.659453943699</v>
      </c>
      <c r="F1945" s="1">
        <v>6</v>
      </c>
      <c r="G1945" s="1">
        <v>593</v>
      </c>
      <c r="H1945">
        <f t="shared" si="90"/>
        <v>2014</v>
      </c>
      <c r="I1945">
        <f t="shared" si="91"/>
        <v>2016</v>
      </c>
      <c r="J1945" s="7">
        <f t="shared" si="92"/>
        <v>34925.553808501521</v>
      </c>
      <c r="K1945" s="7"/>
    </row>
    <row r="1946" spans="1:11" x14ac:dyDescent="0.25">
      <c r="A1946" s="1" t="s">
        <v>19</v>
      </c>
      <c r="B1946" s="2">
        <v>201401</v>
      </c>
      <c r="C1946" s="2">
        <v>201603</v>
      </c>
      <c r="D1946" s="10">
        <v>9660.1523355985719</v>
      </c>
      <c r="E1946" s="10">
        <v>30932.950208063812</v>
      </c>
      <c r="F1946" s="1">
        <v>17</v>
      </c>
      <c r="G1946" s="1">
        <v>531</v>
      </c>
      <c r="H1946">
        <f t="shared" si="90"/>
        <v>2014</v>
      </c>
      <c r="I1946">
        <f t="shared" si="91"/>
        <v>2016</v>
      </c>
      <c r="J1946" s="7">
        <f t="shared" si="92"/>
        <v>40593.102543662382</v>
      </c>
      <c r="K1946" s="7"/>
    </row>
    <row r="1947" spans="1:11" x14ac:dyDescent="0.25">
      <c r="A1947" s="1" t="s">
        <v>19</v>
      </c>
      <c r="B1947" s="2">
        <v>201401</v>
      </c>
      <c r="C1947" s="2">
        <v>201604</v>
      </c>
      <c r="D1947" s="10">
        <v>644.76526209543317</v>
      </c>
      <c r="E1947" s="10">
        <v>23365.401904145579</v>
      </c>
      <c r="F1947" s="1">
        <v>20</v>
      </c>
      <c r="G1947" s="1">
        <v>379</v>
      </c>
      <c r="H1947">
        <f t="shared" si="90"/>
        <v>2014</v>
      </c>
      <c r="I1947">
        <f t="shared" si="91"/>
        <v>2016</v>
      </c>
      <c r="J1947" s="7">
        <f t="shared" si="92"/>
        <v>24010.167166241012</v>
      </c>
      <c r="K1947" s="7"/>
    </row>
    <row r="1948" spans="1:11" x14ac:dyDescent="0.25">
      <c r="A1948" s="1" t="s">
        <v>19</v>
      </c>
      <c r="B1948" s="2">
        <v>201401</v>
      </c>
      <c r="C1948" s="2">
        <v>201701</v>
      </c>
      <c r="D1948" s="10">
        <v>525.89472009538895</v>
      </c>
      <c r="E1948" s="10">
        <v>13849.494399245326</v>
      </c>
      <c r="F1948" s="1">
        <v>3</v>
      </c>
      <c r="G1948" s="1">
        <v>248</v>
      </c>
      <c r="H1948">
        <f t="shared" si="90"/>
        <v>2014</v>
      </c>
      <c r="I1948">
        <f t="shared" si="91"/>
        <v>2017</v>
      </c>
      <c r="J1948" s="7">
        <f t="shared" si="92"/>
        <v>14375.389119340714</v>
      </c>
      <c r="K1948" s="7"/>
    </row>
    <row r="1949" spans="1:11" x14ac:dyDescent="0.25">
      <c r="A1949" s="1" t="s">
        <v>19</v>
      </c>
      <c r="B1949" s="2">
        <v>201401</v>
      </c>
      <c r="C1949" s="2">
        <v>201702</v>
      </c>
      <c r="D1949" s="10">
        <v>444.42664795473456</v>
      </c>
      <c r="E1949" s="10">
        <v>12413.956616245137</v>
      </c>
      <c r="F1949" s="1">
        <v>1</v>
      </c>
      <c r="G1949" s="1">
        <v>212</v>
      </c>
      <c r="H1949">
        <f t="shared" si="90"/>
        <v>2014</v>
      </c>
      <c r="I1949">
        <f t="shared" si="91"/>
        <v>2017</v>
      </c>
      <c r="J1949" s="7">
        <f t="shared" si="92"/>
        <v>12858.383264199872</v>
      </c>
      <c r="K1949" s="7"/>
    </row>
    <row r="1950" spans="1:11" x14ac:dyDescent="0.25">
      <c r="A1950" s="1" t="s">
        <v>19</v>
      </c>
      <c r="B1950" s="2">
        <v>201401</v>
      </c>
      <c r="C1950" s="2">
        <v>201703</v>
      </c>
      <c r="D1950" s="10">
        <v>185.66455201993483</v>
      </c>
      <c r="E1950" s="10">
        <v>5743.9669308291113</v>
      </c>
      <c r="F1950" s="1">
        <v>4</v>
      </c>
      <c r="G1950" s="1">
        <v>103</v>
      </c>
      <c r="H1950">
        <f t="shared" si="90"/>
        <v>2014</v>
      </c>
      <c r="I1950">
        <f t="shared" si="91"/>
        <v>2017</v>
      </c>
      <c r="J1950" s="7">
        <f t="shared" si="92"/>
        <v>5929.6314828490458</v>
      </c>
      <c r="K1950" s="7"/>
    </row>
    <row r="1951" spans="1:11" x14ac:dyDescent="0.25">
      <c r="A1951" s="1" t="s">
        <v>19</v>
      </c>
      <c r="B1951" s="2">
        <v>201401</v>
      </c>
      <c r="C1951" s="2">
        <v>201704</v>
      </c>
      <c r="D1951" s="10">
        <v>-1072.5315184920387</v>
      </c>
      <c r="E1951" s="10">
        <v>3476.319302510427</v>
      </c>
      <c r="F1951" s="1">
        <v>1</v>
      </c>
      <c r="G1951" s="1">
        <v>62</v>
      </c>
      <c r="H1951">
        <f t="shared" si="90"/>
        <v>2014</v>
      </c>
      <c r="I1951">
        <f t="shared" si="91"/>
        <v>2017</v>
      </c>
      <c r="J1951" s="7">
        <f t="shared" si="92"/>
        <v>2403.7877840183883</v>
      </c>
      <c r="K1951" s="7"/>
    </row>
    <row r="1952" spans="1:11" x14ac:dyDescent="0.25">
      <c r="A1952" s="1" t="s">
        <v>19</v>
      </c>
      <c r="B1952" s="2">
        <v>201401</v>
      </c>
      <c r="C1952" s="2">
        <v>201801</v>
      </c>
      <c r="D1952" s="10">
        <v>37.004050761468719</v>
      </c>
      <c r="E1952" s="10">
        <v>2983.6396938751277</v>
      </c>
      <c r="F1952" s="1">
        <v>0</v>
      </c>
      <c r="G1952" s="1">
        <v>51</v>
      </c>
      <c r="H1952">
        <f t="shared" si="90"/>
        <v>2014</v>
      </c>
      <c r="I1952">
        <f t="shared" si="91"/>
        <v>2018</v>
      </c>
      <c r="J1952" s="7">
        <f t="shared" si="92"/>
        <v>3020.6437446365962</v>
      </c>
      <c r="K1952" s="7"/>
    </row>
    <row r="1953" spans="1:11" x14ac:dyDescent="0.25">
      <c r="A1953" s="1" t="s">
        <v>19</v>
      </c>
      <c r="B1953" s="2">
        <v>201401</v>
      </c>
      <c r="C1953" s="2">
        <v>201802</v>
      </c>
      <c r="D1953" s="10">
        <v>-254.44545761036386</v>
      </c>
      <c r="E1953" s="10">
        <v>1842.0179022745217</v>
      </c>
      <c r="F1953" s="1">
        <v>1</v>
      </c>
      <c r="G1953" s="1">
        <v>25</v>
      </c>
      <c r="H1953">
        <f t="shared" si="90"/>
        <v>2014</v>
      </c>
      <c r="I1953">
        <f t="shared" si="91"/>
        <v>2018</v>
      </c>
      <c r="J1953" s="7">
        <f t="shared" si="92"/>
        <v>1587.572444664158</v>
      </c>
      <c r="K1953" s="7"/>
    </row>
    <row r="1954" spans="1:11" x14ac:dyDescent="0.25">
      <c r="A1954" s="1" t="s">
        <v>19</v>
      </c>
      <c r="B1954" s="2">
        <v>201401</v>
      </c>
      <c r="C1954" s="2">
        <v>201803</v>
      </c>
      <c r="D1954" s="10">
        <v>-146.8894348412289</v>
      </c>
      <c r="E1954" s="10">
        <v>1839.3905599853699</v>
      </c>
      <c r="F1954" s="1">
        <v>0</v>
      </c>
      <c r="G1954" s="1">
        <v>24</v>
      </c>
      <c r="H1954">
        <f t="shared" si="90"/>
        <v>2014</v>
      </c>
      <c r="I1954">
        <f t="shared" si="91"/>
        <v>2018</v>
      </c>
      <c r="J1954" s="7">
        <f t="shared" si="92"/>
        <v>1692.501125144141</v>
      </c>
      <c r="K1954" s="7"/>
    </row>
    <row r="1955" spans="1:11" x14ac:dyDescent="0.25">
      <c r="A1955" s="1" t="s">
        <v>19</v>
      </c>
      <c r="B1955" s="2">
        <v>201401</v>
      </c>
      <c r="C1955" s="2">
        <v>201804</v>
      </c>
      <c r="D1955" s="10">
        <v>-10.420184816206294</v>
      </c>
      <c r="E1955" s="10">
        <v>1885.2467390024497</v>
      </c>
      <c r="F1955" s="1">
        <v>0</v>
      </c>
      <c r="G1955" s="1">
        <v>22</v>
      </c>
      <c r="H1955">
        <f t="shared" si="90"/>
        <v>2014</v>
      </c>
      <c r="I1955">
        <f t="shared" si="91"/>
        <v>2018</v>
      </c>
      <c r="J1955" s="7">
        <f t="shared" si="92"/>
        <v>1874.8265541862434</v>
      </c>
      <c r="K1955" s="7"/>
    </row>
    <row r="1956" spans="1:11" x14ac:dyDescent="0.25">
      <c r="A1956" s="1" t="s">
        <v>19</v>
      </c>
      <c r="B1956" s="2">
        <v>201401</v>
      </c>
      <c r="C1956" s="2">
        <v>201901</v>
      </c>
      <c r="D1956" s="10">
        <v>-518.60559751257119</v>
      </c>
      <c r="E1956" s="10">
        <v>2125.4721767364163</v>
      </c>
      <c r="F1956" s="1">
        <v>0</v>
      </c>
      <c r="G1956" s="1">
        <v>16</v>
      </c>
      <c r="H1956">
        <f t="shared" si="90"/>
        <v>2014</v>
      </c>
      <c r="I1956">
        <f t="shared" si="91"/>
        <v>2019</v>
      </c>
      <c r="J1956" s="7">
        <f t="shared" si="92"/>
        <v>1606.8665792238451</v>
      </c>
      <c r="K1956" s="7"/>
    </row>
    <row r="1957" spans="1:11" x14ac:dyDescent="0.25">
      <c r="A1957" s="1" t="s">
        <v>19</v>
      </c>
      <c r="B1957" s="2">
        <v>201401</v>
      </c>
      <c r="C1957" s="2">
        <v>201902</v>
      </c>
      <c r="D1957" s="10">
        <v>-71.857219701443313</v>
      </c>
      <c r="E1957" s="10">
        <v>65.810841735216201</v>
      </c>
      <c r="F1957" s="1">
        <v>0</v>
      </c>
      <c r="G1957" s="1">
        <v>4</v>
      </c>
      <c r="H1957">
        <f t="shared" si="90"/>
        <v>2014</v>
      </c>
      <c r="I1957">
        <f t="shared" si="91"/>
        <v>2019</v>
      </c>
      <c r="J1957" s="7">
        <f t="shared" si="92"/>
        <v>-6.0463779662271122</v>
      </c>
      <c r="K1957" s="7"/>
    </row>
    <row r="1958" spans="1:11" x14ac:dyDescent="0.25">
      <c r="A1958" s="1" t="s">
        <v>19</v>
      </c>
      <c r="B1958" s="2">
        <v>201401</v>
      </c>
      <c r="C1958" s="2">
        <v>201903</v>
      </c>
      <c r="D1958" s="10">
        <v>-143.96411487376486</v>
      </c>
      <c r="E1958" s="10">
        <v>65.99945284209565</v>
      </c>
      <c r="F1958" s="1">
        <v>0</v>
      </c>
      <c r="G1958" s="1">
        <v>4</v>
      </c>
      <c r="H1958">
        <f t="shared" si="90"/>
        <v>2014</v>
      </c>
      <c r="I1958">
        <f t="shared" si="91"/>
        <v>2019</v>
      </c>
      <c r="J1958" s="7">
        <f t="shared" si="92"/>
        <v>-77.964662031669206</v>
      </c>
      <c r="K1958" s="7"/>
    </row>
    <row r="1959" spans="1:11" x14ac:dyDescent="0.25">
      <c r="A1959" s="1" t="s">
        <v>19</v>
      </c>
      <c r="B1959" s="2">
        <v>201401</v>
      </c>
      <c r="C1959" s="2">
        <v>201904</v>
      </c>
      <c r="D1959" s="10">
        <v>-79.931980141733789</v>
      </c>
      <c r="E1959" s="10">
        <v>65.919866013185626</v>
      </c>
      <c r="F1959" s="1">
        <v>0</v>
      </c>
      <c r="G1959" s="1">
        <v>4</v>
      </c>
      <c r="H1959">
        <f t="shared" si="90"/>
        <v>2014</v>
      </c>
      <c r="I1959">
        <f t="shared" si="91"/>
        <v>2019</v>
      </c>
      <c r="J1959" s="7">
        <f t="shared" si="92"/>
        <v>-14.012114128548163</v>
      </c>
      <c r="K1959" s="7"/>
    </row>
    <row r="1960" spans="1:11" x14ac:dyDescent="0.25">
      <c r="A1960" s="1" t="s">
        <v>19</v>
      </c>
      <c r="B1960" s="2">
        <v>201401</v>
      </c>
      <c r="C1960" s="2">
        <v>202001</v>
      </c>
      <c r="D1960" s="10">
        <v>-111.26337678695377</v>
      </c>
      <c r="E1960" s="10">
        <v>64.631798212413671</v>
      </c>
      <c r="F1960" s="1">
        <v>0</v>
      </c>
      <c r="G1960" s="1">
        <v>4</v>
      </c>
      <c r="H1960">
        <f t="shared" si="90"/>
        <v>2014</v>
      </c>
      <c r="I1960">
        <f t="shared" si="91"/>
        <v>2020</v>
      </c>
      <c r="J1960" s="7">
        <f t="shared" si="92"/>
        <v>-46.6315785745401</v>
      </c>
      <c r="K1960" s="7"/>
    </row>
    <row r="1961" spans="1:11" x14ac:dyDescent="0.25">
      <c r="A1961" s="1" t="s">
        <v>19</v>
      </c>
      <c r="B1961" s="2">
        <v>201401</v>
      </c>
      <c r="C1961" s="2">
        <v>202002</v>
      </c>
      <c r="D1961" s="10">
        <v>-52.641986472175013</v>
      </c>
      <c r="E1961" s="10">
        <v>62.323561520878549</v>
      </c>
      <c r="F1961" s="1">
        <v>0</v>
      </c>
      <c r="G1961" s="1">
        <v>4</v>
      </c>
      <c r="H1961">
        <f t="shared" si="90"/>
        <v>2014</v>
      </c>
      <c r="I1961">
        <f t="shared" si="91"/>
        <v>2020</v>
      </c>
      <c r="J1961" s="7">
        <f t="shared" si="92"/>
        <v>9.6815750487035359</v>
      </c>
      <c r="K1961" s="7"/>
    </row>
    <row r="1962" spans="1:11" x14ac:dyDescent="0.25">
      <c r="A1962" s="1" t="s">
        <v>19</v>
      </c>
      <c r="B1962" s="2">
        <v>201401</v>
      </c>
      <c r="C1962" s="2">
        <v>202003</v>
      </c>
      <c r="D1962" s="10">
        <v>-126.80660909680644</v>
      </c>
      <c r="E1962" s="10">
        <v>62.080737276738923</v>
      </c>
      <c r="F1962" s="1">
        <v>0</v>
      </c>
      <c r="G1962" s="1">
        <v>4</v>
      </c>
      <c r="H1962">
        <f t="shared" si="90"/>
        <v>2014</v>
      </c>
      <c r="I1962">
        <f t="shared" si="91"/>
        <v>2020</v>
      </c>
      <c r="J1962" s="7">
        <f t="shared" si="92"/>
        <v>-64.72587182006751</v>
      </c>
      <c r="K1962" s="7"/>
    </row>
    <row r="1963" spans="1:11" x14ac:dyDescent="0.25">
      <c r="A1963" s="1" t="s">
        <v>19</v>
      </c>
      <c r="B1963" s="2">
        <v>201401</v>
      </c>
      <c r="C1963" s="2">
        <v>202004</v>
      </c>
      <c r="D1963" s="10">
        <v>-152.81548386685628</v>
      </c>
      <c r="E1963" s="10">
        <v>23.392971676537627</v>
      </c>
      <c r="F1963" s="1">
        <v>0</v>
      </c>
      <c r="G1963" s="1">
        <v>3</v>
      </c>
      <c r="H1963">
        <f t="shared" si="90"/>
        <v>2014</v>
      </c>
      <c r="I1963">
        <f t="shared" si="91"/>
        <v>2020</v>
      </c>
      <c r="J1963" s="7">
        <f t="shared" si="92"/>
        <v>-129.42251219031866</v>
      </c>
      <c r="K1963" s="7"/>
    </row>
    <row r="1964" spans="1:11" x14ac:dyDescent="0.25">
      <c r="A1964" s="1" t="s">
        <v>19</v>
      </c>
      <c r="B1964" s="2">
        <v>201401</v>
      </c>
      <c r="C1964" s="2">
        <v>202101</v>
      </c>
      <c r="D1964" s="10">
        <v>-108.29715751464752</v>
      </c>
      <c r="E1964" s="10">
        <v>23.827160491848492</v>
      </c>
      <c r="F1964" s="1">
        <v>0</v>
      </c>
      <c r="G1964" s="1">
        <v>4</v>
      </c>
      <c r="H1964">
        <f t="shared" si="90"/>
        <v>2014</v>
      </c>
      <c r="I1964">
        <f t="shared" si="91"/>
        <v>2021</v>
      </c>
      <c r="J1964" s="7">
        <f t="shared" si="92"/>
        <v>-84.469997022799035</v>
      </c>
      <c r="K1964" s="7"/>
    </row>
    <row r="1965" spans="1:11" x14ac:dyDescent="0.25">
      <c r="A1965" s="1" t="s">
        <v>19</v>
      </c>
      <c r="B1965" s="2">
        <v>201401</v>
      </c>
      <c r="C1965" s="2">
        <v>202102</v>
      </c>
      <c r="D1965" s="10">
        <v>-199.21633740698903</v>
      </c>
      <c r="E1965" s="10">
        <v>24.031470281944227</v>
      </c>
      <c r="F1965" s="1">
        <v>0</v>
      </c>
      <c r="G1965" s="1">
        <v>4</v>
      </c>
      <c r="H1965">
        <f t="shared" si="90"/>
        <v>2014</v>
      </c>
      <c r="I1965">
        <f t="shared" si="91"/>
        <v>2021</v>
      </c>
      <c r="J1965" s="7">
        <f t="shared" si="92"/>
        <v>-175.1848671250448</v>
      </c>
      <c r="K1965" s="7"/>
    </row>
    <row r="1966" spans="1:11" x14ac:dyDescent="0.25">
      <c r="A1966" s="1" t="s">
        <v>19</v>
      </c>
      <c r="B1966" s="2">
        <v>201401</v>
      </c>
      <c r="C1966" s="2">
        <v>202103</v>
      </c>
      <c r="D1966" s="10">
        <v>-113.34676776464819</v>
      </c>
      <c r="E1966" s="10">
        <v>23.537935467214293</v>
      </c>
      <c r="F1966" s="1">
        <v>0</v>
      </c>
      <c r="G1966" s="1">
        <v>2</v>
      </c>
      <c r="H1966">
        <f t="shared" si="90"/>
        <v>2014</v>
      </c>
      <c r="I1966">
        <f t="shared" si="91"/>
        <v>2021</v>
      </c>
      <c r="J1966" s="7">
        <f t="shared" si="92"/>
        <v>-89.808832297433895</v>
      </c>
      <c r="K1966" s="7"/>
    </row>
    <row r="1967" spans="1:11" x14ac:dyDescent="0.25">
      <c r="A1967" s="1" t="s">
        <v>19</v>
      </c>
      <c r="B1967" s="2">
        <v>201401</v>
      </c>
      <c r="C1967" s="2">
        <v>202104</v>
      </c>
      <c r="D1967" s="10">
        <v>-19.87484697944533</v>
      </c>
      <c r="E1967" s="10">
        <v>17.012652062789943</v>
      </c>
      <c r="F1967" s="1">
        <v>0</v>
      </c>
      <c r="G1967" s="1">
        <v>2</v>
      </c>
      <c r="H1967">
        <f t="shared" si="90"/>
        <v>2014</v>
      </c>
      <c r="I1967">
        <f t="shared" si="91"/>
        <v>2021</v>
      </c>
      <c r="J1967" s="7">
        <f t="shared" si="92"/>
        <v>-2.8621949166553868</v>
      </c>
      <c r="K1967" s="7"/>
    </row>
    <row r="1968" spans="1:11" x14ac:dyDescent="0.25">
      <c r="A1968" s="1" t="s">
        <v>19</v>
      </c>
      <c r="B1968" s="2">
        <v>201402</v>
      </c>
      <c r="C1968" s="2">
        <v>201402</v>
      </c>
      <c r="D1968" s="10">
        <v>488107.15743276948</v>
      </c>
      <c r="E1968" s="10">
        <v>548043.50562598428</v>
      </c>
      <c r="F1968" s="1">
        <v>13914</v>
      </c>
      <c r="G1968" s="1">
        <v>6007</v>
      </c>
      <c r="H1968">
        <f t="shared" si="90"/>
        <v>2014</v>
      </c>
      <c r="I1968">
        <f t="shared" si="91"/>
        <v>2014</v>
      </c>
      <c r="J1968" s="7">
        <f t="shared" si="92"/>
        <v>1036150.6630587538</v>
      </c>
      <c r="K1968" s="7"/>
    </row>
    <row r="1969" spans="1:11" x14ac:dyDescent="0.25">
      <c r="A1969" s="1" t="s">
        <v>19</v>
      </c>
      <c r="B1969" s="2">
        <v>201402</v>
      </c>
      <c r="C1969" s="2">
        <v>201403</v>
      </c>
      <c r="D1969" s="10">
        <v>522137.2364835398</v>
      </c>
      <c r="E1969" s="10">
        <v>237501.73817875364</v>
      </c>
      <c r="F1969" s="1">
        <v>4162</v>
      </c>
      <c r="G1969" s="1">
        <v>3078</v>
      </c>
      <c r="H1969">
        <f t="shared" si="90"/>
        <v>2014</v>
      </c>
      <c r="I1969">
        <f t="shared" si="91"/>
        <v>2014</v>
      </c>
      <c r="J1969" s="7">
        <f t="shared" si="92"/>
        <v>759638.97466229345</v>
      </c>
      <c r="K1969" s="7"/>
    </row>
    <row r="1970" spans="1:11" x14ac:dyDescent="0.25">
      <c r="A1970" s="1" t="s">
        <v>19</v>
      </c>
      <c r="B1970" s="2">
        <v>201402</v>
      </c>
      <c r="C1970" s="2">
        <v>201404</v>
      </c>
      <c r="D1970" s="10">
        <v>104339.65930986944</v>
      </c>
      <c r="E1970" s="10">
        <v>154203.59118517939</v>
      </c>
      <c r="F1970" s="1">
        <v>555</v>
      </c>
      <c r="G1970" s="1">
        <v>1975</v>
      </c>
      <c r="H1970">
        <f t="shared" si="90"/>
        <v>2014</v>
      </c>
      <c r="I1970">
        <f t="shared" si="91"/>
        <v>2014</v>
      </c>
      <c r="J1970" s="7">
        <f t="shared" si="92"/>
        <v>258543.25049504882</v>
      </c>
      <c r="K1970" s="7"/>
    </row>
    <row r="1971" spans="1:11" x14ac:dyDescent="0.25">
      <c r="A1971" s="1" t="s">
        <v>19</v>
      </c>
      <c r="B1971" s="2">
        <v>201402</v>
      </c>
      <c r="C1971" s="2">
        <v>201501</v>
      </c>
      <c r="D1971" s="10">
        <v>29603.230687847619</v>
      </c>
      <c r="E1971" s="10">
        <v>102344.8110243775</v>
      </c>
      <c r="F1971" s="1">
        <v>178</v>
      </c>
      <c r="G1971" s="1">
        <v>1458</v>
      </c>
      <c r="H1971">
        <f t="shared" si="90"/>
        <v>2014</v>
      </c>
      <c r="I1971">
        <f t="shared" si="91"/>
        <v>2015</v>
      </c>
      <c r="J1971" s="7">
        <f t="shared" si="92"/>
        <v>131948.04171222512</v>
      </c>
      <c r="K1971" s="7"/>
    </row>
    <row r="1972" spans="1:11" x14ac:dyDescent="0.25">
      <c r="A1972" s="1" t="s">
        <v>19</v>
      </c>
      <c r="B1972" s="2">
        <v>201402</v>
      </c>
      <c r="C1972" s="2">
        <v>201502</v>
      </c>
      <c r="D1972" s="10">
        <v>8531.0613931110402</v>
      </c>
      <c r="E1972" s="10">
        <v>92147.761097369817</v>
      </c>
      <c r="F1972" s="1">
        <v>117</v>
      </c>
      <c r="G1972" s="1">
        <v>1246</v>
      </c>
      <c r="H1972">
        <f t="shared" si="90"/>
        <v>2014</v>
      </c>
      <c r="I1972">
        <f t="shared" si="91"/>
        <v>2015</v>
      </c>
      <c r="J1972" s="7">
        <f t="shared" si="92"/>
        <v>100678.82249048086</v>
      </c>
      <c r="K1972" s="7"/>
    </row>
    <row r="1973" spans="1:11" x14ac:dyDescent="0.25">
      <c r="A1973" s="1" t="s">
        <v>19</v>
      </c>
      <c r="B1973" s="2">
        <v>201402</v>
      </c>
      <c r="C1973" s="2">
        <v>201503</v>
      </c>
      <c r="D1973" s="10">
        <v>8150.5301281076036</v>
      </c>
      <c r="E1973" s="10">
        <v>75317.174981204007</v>
      </c>
      <c r="F1973" s="1">
        <v>60</v>
      </c>
      <c r="G1973" s="1">
        <v>1044</v>
      </c>
      <c r="H1973">
        <f t="shared" si="90"/>
        <v>2014</v>
      </c>
      <c r="I1973">
        <f t="shared" si="91"/>
        <v>2015</v>
      </c>
      <c r="J1973" s="7">
        <f t="shared" si="92"/>
        <v>83467.705109311617</v>
      </c>
      <c r="K1973" s="7"/>
    </row>
    <row r="1974" spans="1:11" x14ac:dyDescent="0.25">
      <c r="A1974" s="1" t="s">
        <v>19</v>
      </c>
      <c r="B1974" s="2">
        <v>201402</v>
      </c>
      <c r="C1974" s="2">
        <v>201504</v>
      </c>
      <c r="D1974" s="10">
        <v>5316.2337184443841</v>
      </c>
      <c r="E1974" s="10">
        <v>66450.941416303278</v>
      </c>
      <c r="F1974" s="1">
        <v>43</v>
      </c>
      <c r="G1974" s="1">
        <v>877</v>
      </c>
      <c r="H1974">
        <f t="shared" si="90"/>
        <v>2014</v>
      </c>
      <c r="I1974">
        <f t="shared" si="91"/>
        <v>2015</v>
      </c>
      <c r="J1974" s="7">
        <f t="shared" si="92"/>
        <v>71767.175134747667</v>
      </c>
      <c r="K1974" s="7"/>
    </row>
    <row r="1975" spans="1:11" x14ac:dyDescent="0.25">
      <c r="A1975" s="1" t="s">
        <v>19</v>
      </c>
      <c r="B1975" s="2">
        <v>201402</v>
      </c>
      <c r="C1975" s="2">
        <v>201601</v>
      </c>
      <c r="D1975" s="10">
        <v>1733.6531460565016</v>
      </c>
      <c r="E1975" s="10">
        <v>52516.557744538579</v>
      </c>
      <c r="F1975" s="1">
        <v>17</v>
      </c>
      <c r="G1975" s="1">
        <v>724</v>
      </c>
      <c r="H1975">
        <f t="shared" si="90"/>
        <v>2014</v>
      </c>
      <c r="I1975">
        <f t="shared" si="91"/>
        <v>2016</v>
      </c>
      <c r="J1975" s="7">
        <f t="shared" si="92"/>
        <v>54250.210890595081</v>
      </c>
      <c r="K1975" s="7"/>
    </row>
    <row r="1976" spans="1:11" x14ac:dyDescent="0.25">
      <c r="A1976" s="1" t="s">
        <v>19</v>
      </c>
      <c r="B1976" s="2">
        <v>201402</v>
      </c>
      <c r="C1976" s="2">
        <v>201602</v>
      </c>
      <c r="D1976" s="10">
        <v>2236.8163295436061</v>
      </c>
      <c r="E1976" s="10">
        <v>48556.278844352353</v>
      </c>
      <c r="F1976" s="1">
        <v>13</v>
      </c>
      <c r="G1976" s="1">
        <v>663</v>
      </c>
      <c r="H1976">
        <f t="shared" si="90"/>
        <v>2014</v>
      </c>
      <c r="I1976">
        <f t="shared" si="91"/>
        <v>2016</v>
      </c>
      <c r="J1976" s="7">
        <f t="shared" si="92"/>
        <v>50793.095173895956</v>
      </c>
      <c r="K1976" s="7"/>
    </row>
    <row r="1977" spans="1:11" x14ac:dyDescent="0.25">
      <c r="A1977" s="1" t="s">
        <v>19</v>
      </c>
      <c r="B1977" s="2">
        <v>201402</v>
      </c>
      <c r="C1977" s="2">
        <v>201603</v>
      </c>
      <c r="D1977" s="10">
        <v>1972.0153142557058</v>
      </c>
      <c r="E1977" s="10">
        <v>41509.26797002957</v>
      </c>
      <c r="F1977" s="1">
        <v>12</v>
      </c>
      <c r="G1977" s="1">
        <v>590</v>
      </c>
      <c r="H1977">
        <f t="shared" si="90"/>
        <v>2014</v>
      </c>
      <c r="I1977">
        <f t="shared" si="91"/>
        <v>2016</v>
      </c>
      <c r="J1977" s="7">
        <f t="shared" si="92"/>
        <v>43481.283284285273</v>
      </c>
      <c r="K1977" s="7"/>
    </row>
    <row r="1978" spans="1:11" x14ac:dyDescent="0.25">
      <c r="A1978" s="1" t="s">
        <v>19</v>
      </c>
      <c r="B1978" s="2">
        <v>201402</v>
      </c>
      <c r="C1978" s="2">
        <v>201604</v>
      </c>
      <c r="D1978" s="10">
        <v>2341.3529444677347</v>
      </c>
      <c r="E1978" s="10">
        <v>33297.641349683814</v>
      </c>
      <c r="F1978" s="1">
        <v>18</v>
      </c>
      <c r="G1978" s="1">
        <v>422</v>
      </c>
      <c r="H1978">
        <f t="shared" si="90"/>
        <v>2014</v>
      </c>
      <c r="I1978">
        <f t="shared" si="91"/>
        <v>2016</v>
      </c>
      <c r="J1978" s="7">
        <f t="shared" si="92"/>
        <v>35638.994294151547</v>
      </c>
      <c r="K1978" s="7"/>
    </row>
    <row r="1979" spans="1:11" x14ac:dyDescent="0.25">
      <c r="A1979" s="1" t="s">
        <v>19</v>
      </c>
      <c r="B1979" s="2">
        <v>201402</v>
      </c>
      <c r="C1979" s="2">
        <v>201701</v>
      </c>
      <c r="D1979" s="10">
        <v>1501.6890419228735</v>
      </c>
      <c r="E1979" s="10">
        <v>23218.783682140147</v>
      </c>
      <c r="F1979" s="1">
        <v>3</v>
      </c>
      <c r="G1979" s="1">
        <v>305</v>
      </c>
      <c r="H1979">
        <f t="shared" si="90"/>
        <v>2014</v>
      </c>
      <c r="I1979">
        <f t="shared" si="91"/>
        <v>2017</v>
      </c>
      <c r="J1979" s="7">
        <f t="shared" si="92"/>
        <v>24720.47272406302</v>
      </c>
      <c r="K1979" s="7"/>
    </row>
    <row r="1980" spans="1:11" x14ac:dyDescent="0.25">
      <c r="A1980" s="1" t="s">
        <v>19</v>
      </c>
      <c r="B1980" s="2">
        <v>201402</v>
      </c>
      <c r="C1980" s="2">
        <v>201702</v>
      </c>
      <c r="D1980" s="10">
        <v>-216.8812283988274</v>
      </c>
      <c r="E1980" s="10">
        <v>21394.055194007105</v>
      </c>
      <c r="F1980" s="1">
        <v>2</v>
      </c>
      <c r="G1980" s="1">
        <v>290</v>
      </c>
      <c r="H1980">
        <f t="shared" si="90"/>
        <v>2014</v>
      </c>
      <c r="I1980">
        <f t="shared" si="91"/>
        <v>2017</v>
      </c>
      <c r="J1980" s="7">
        <f t="shared" si="92"/>
        <v>21177.173965608279</v>
      </c>
      <c r="K1980" s="7"/>
    </row>
    <row r="1981" spans="1:11" x14ac:dyDescent="0.25">
      <c r="A1981" s="1" t="s">
        <v>19</v>
      </c>
      <c r="B1981" s="2">
        <v>201402</v>
      </c>
      <c r="C1981" s="2">
        <v>201703</v>
      </c>
      <c r="D1981" s="10">
        <v>40.111172800096114</v>
      </c>
      <c r="E1981" s="10">
        <v>11029.110108524053</v>
      </c>
      <c r="F1981" s="1">
        <v>1</v>
      </c>
      <c r="G1981" s="1">
        <v>153</v>
      </c>
      <c r="H1981">
        <f t="shared" si="90"/>
        <v>2014</v>
      </c>
      <c r="I1981">
        <f t="shared" si="91"/>
        <v>2017</v>
      </c>
      <c r="J1981" s="7">
        <f t="shared" si="92"/>
        <v>11069.221281324149</v>
      </c>
      <c r="K1981" s="7"/>
    </row>
    <row r="1982" spans="1:11" x14ac:dyDescent="0.25">
      <c r="A1982" s="1" t="s">
        <v>19</v>
      </c>
      <c r="B1982" s="2">
        <v>201402</v>
      </c>
      <c r="C1982" s="2">
        <v>201704</v>
      </c>
      <c r="D1982" s="10">
        <v>-95.919080360304051</v>
      </c>
      <c r="E1982" s="10">
        <v>7291.9718561373238</v>
      </c>
      <c r="F1982" s="1">
        <v>0</v>
      </c>
      <c r="G1982" s="1">
        <v>90</v>
      </c>
      <c r="H1982">
        <f t="shared" si="90"/>
        <v>2014</v>
      </c>
      <c r="I1982">
        <f t="shared" si="91"/>
        <v>2017</v>
      </c>
      <c r="J1982" s="7">
        <f t="shared" si="92"/>
        <v>7196.0527757770196</v>
      </c>
      <c r="K1982" s="7"/>
    </row>
    <row r="1983" spans="1:11" x14ac:dyDescent="0.25">
      <c r="A1983" s="1" t="s">
        <v>19</v>
      </c>
      <c r="B1983" s="2">
        <v>201402</v>
      </c>
      <c r="C1983" s="2">
        <v>201801</v>
      </c>
      <c r="D1983" s="10">
        <v>139.51168647968294</v>
      </c>
      <c r="E1983" s="10">
        <v>6193.5770950956876</v>
      </c>
      <c r="F1983" s="1">
        <v>0</v>
      </c>
      <c r="G1983" s="1">
        <v>71</v>
      </c>
      <c r="H1983">
        <f t="shared" si="90"/>
        <v>2014</v>
      </c>
      <c r="I1983">
        <f t="shared" si="91"/>
        <v>2018</v>
      </c>
      <c r="J1983" s="7">
        <f t="shared" si="92"/>
        <v>6333.0887815753704</v>
      </c>
      <c r="K1983" s="7"/>
    </row>
    <row r="1984" spans="1:11" x14ac:dyDescent="0.25">
      <c r="A1984" s="1" t="s">
        <v>19</v>
      </c>
      <c r="B1984" s="2">
        <v>201402</v>
      </c>
      <c r="C1984" s="2">
        <v>201802</v>
      </c>
      <c r="D1984" s="10">
        <v>-1016.2114736265937</v>
      </c>
      <c r="E1984" s="10">
        <v>2502.1676795229582</v>
      </c>
      <c r="F1984" s="1">
        <v>2</v>
      </c>
      <c r="G1984" s="1">
        <v>37</v>
      </c>
      <c r="H1984">
        <f t="shared" si="90"/>
        <v>2014</v>
      </c>
      <c r="I1984">
        <f t="shared" si="91"/>
        <v>2018</v>
      </c>
      <c r="J1984" s="7">
        <f t="shared" si="92"/>
        <v>1485.9562058963645</v>
      </c>
      <c r="K1984" s="7"/>
    </row>
    <row r="1985" spans="1:11" x14ac:dyDescent="0.25">
      <c r="A1985" s="1" t="s">
        <v>19</v>
      </c>
      <c r="B1985" s="2">
        <v>201402</v>
      </c>
      <c r="C1985" s="2">
        <v>201803</v>
      </c>
      <c r="D1985" s="10">
        <v>9.6641475763854991</v>
      </c>
      <c r="E1985" s="10">
        <v>2672.9639887262915</v>
      </c>
      <c r="F1985" s="1">
        <v>0</v>
      </c>
      <c r="G1985" s="1">
        <v>36</v>
      </c>
      <c r="H1985">
        <f t="shared" si="90"/>
        <v>2014</v>
      </c>
      <c r="I1985">
        <f t="shared" si="91"/>
        <v>2018</v>
      </c>
      <c r="J1985" s="7">
        <f t="shared" si="92"/>
        <v>2682.6281363026769</v>
      </c>
      <c r="K1985" s="7"/>
    </row>
    <row r="1986" spans="1:11" x14ac:dyDescent="0.25">
      <c r="A1986" s="1" t="s">
        <v>19</v>
      </c>
      <c r="B1986" s="2">
        <v>201402</v>
      </c>
      <c r="C1986" s="2">
        <v>201804</v>
      </c>
      <c r="D1986" s="10">
        <v>-396.78106590467911</v>
      </c>
      <c r="E1986" s="10">
        <v>2655.1747360319109</v>
      </c>
      <c r="F1986" s="1">
        <v>0</v>
      </c>
      <c r="G1986" s="1">
        <v>34</v>
      </c>
      <c r="H1986">
        <f t="shared" si="90"/>
        <v>2014</v>
      </c>
      <c r="I1986">
        <f t="shared" si="91"/>
        <v>2018</v>
      </c>
      <c r="J1986" s="7">
        <f t="shared" si="92"/>
        <v>2258.3936701272319</v>
      </c>
      <c r="K1986" s="7"/>
    </row>
    <row r="1987" spans="1:11" x14ac:dyDescent="0.25">
      <c r="A1987" s="1" t="s">
        <v>19</v>
      </c>
      <c r="B1987" s="2">
        <v>201402</v>
      </c>
      <c r="C1987" s="2">
        <v>201901</v>
      </c>
      <c r="D1987" s="10">
        <v>32.907578820787755</v>
      </c>
      <c r="E1987" s="10">
        <v>2626.886513798283</v>
      </c>
      <c r="F1987" s="1">
        <v>0</v>
      </c>
      <c r="G1987" s="1">
        <v>31</v>
      </c>
      <c r="H1987">
        <f t="shared" si="90"/>
        <v>2014</v>
      </c>
      <c r="I1987">
        <f t="shared" si="91"/>
        <v>2019</v>
      </c>
      <c r="J1987" s="7">
        <f t="shared" si="92"/>
        <v>2659.7940926190709</v>
      </c>
      <c r="K1987" s="7"/>
    </row>
    <row r="1988" spans="1:11" x14ac:dyDescent="0.25">
      <c r="A1988" s="1" t="s">
        <v>19</v>
      </c>
      <c r="B1988" s="2">
        <v>201402</v>
      </c>
      <c r="C1988" s="2">
        <v>201902</v>
      </c>
      <c r="D1988" s="10">
        <v>241.70864002802068</v>
      </c>
      <c r="E1988" s="10">
        <v>1677.6509017095166</v>
      </c>
      <c r="F1988" s="1">
        <v>0</v>
      </c>
      <c r="G1988" s="1">
        <v>8</v>
      </c>
      <c r="H1988">
        <f t="shared" ref="H1988:H2051" si="93">VALUE(LEFT(B1988,4))</f>
        <v>2014</v>
      </c>
      <c r="I1988">
        <f t="shared" ref="I1988:I2051" si="94">VALUE(LEFT(C1988,4))</f>
        <v>2019</v>
      </c>
      <c r="J1988" s="7">
        <f t="shared" si="92"/>
        <v>1919.3595417375373</v>
      </c>
      <c r="K1988" s="7"/>
    </row>
    <row r="1989" spans="1:11" x14ac:dyDescent="0.25">
      <c r="A1989" s="1" t="s">
        <v>19</v>
      </c>
      <c r="B1989" s="2">
        <v>201402</v>
      </c>
      <c r="C1989" s="2">
        <v>201903</v>
      </c>
      <c r="D1989" s="10">
        <v>1.1675162120926892</v>
      </c>
      <c r="E1989" s="10">
        <v>1720.272525722311</v>
      </c>
      <c r="F1989" s="1">
        <v>0</v>
      </c>
      <c r="G1989" s="1">
        <v>8</v>
      </c>
      <c r="H1989">
        <f t="shared" si="93"/>
        <v>2014</v>
      </c>
      <c r="I1989">
        <f t="shared" si="94"/>
        <v>2019</v>
      </c>
      <c r="J1989" s="7">
        <f t="shared" ref="J1989:J2052" si="95">D1989+E1989</f>
        <v>1721.4400419344038</v>
      </c>
      <c r="K1989" s="7"/>
    </row>
    <row r="1990" spans="1:11" x14ac:dyDescent="0.25">
      <c r="A1990" s="1" t="s">
        <v>19</v>
      </c>
      <c r="B1990" s="2">
        <v>201402</v>
      </c>
      <c r="C1990" s="2">
        <v>201904</v>
      </c>
      <c r="D1990" s="10">
        <v>0</v>
      </c>
      <c r="E1990" s="10">
        <v>1717.4282751451501</v>
      </c>
      <c r="F1990" s="1">
        <v>0</v>
      </c>
      <c r="G1990" s="1">
        <v>7</v>
      </c>
      <c r="H1990">
        <f t="shared" si="93"/>
        <v>2014</v>
      </c>
      <c r="I1990">
        <f t="shared" si="94"/>
        <v>2019</v>
      </c>
      <c r="J1990" s="7">
        <f t="shared" si="95"/>
        <v>1717.4282751451501</v>
      </c>
      <c r="K1990" s="7"/>
    </row>
    <row r="1991" spans="1:11" x14ac:dyDescent="0.25">
      <c r="A1991" s="1" t="s">
        <v>19</v>
      </c>
      <c r="B1991" s="2">
        <v>201402</v>
      </c>
      <c r="C1991" s="2">
        <v>202001</v>
      </c>
      <c r="D1991" s="10">
        <v>6.6065605697167795</v>
      </c>
      <c r="E1991" s="10">
        <v>-348.68716672802714</v>
      </c>
      <c r="F1991" s="1">
        <v>1</v>
      </c>
      <c r="G1991" s="1">
        <v>7</v>
      </c>
      <c r="H1991">
        <f t="shared" si="93"/>
        <v>2014</v>
      </c>
      <c r="I1991">
        <f t="shared" si="94"/>
        <v>2020</v>
      </c>
      <c r="J1991" s="7">
        <f t="shared" si="95"/>
        <v>-342.08060615831033</v>
      </c>
      <c r="K1991" s="7"/>
    </row>
    <row r="1992" spans="1:11" x14ac:dyDescent="0.25">
      <c r="A1992" s="1" t="s">
        <v>19</v>
      </c>
      <c r="B1992" s="2">
        <v>201402</v>
      </c>
      <c r="C1992" s="2">
        <v>202002</v>
      </c>
      <c r="D1992" s="10">
        <v>61.886904862725721</v>
      </c>
      <c r="E1992" s="10">
        <v>299.3100540856787</v>
      </c>
      <c r="F1992" s="1">
        <v>1</v>
      </c>
      <c r="G1992" s="1">
        <v>5</v>
      </c>
      <c r="H1992">
        <f t="shared" si="93"/>
        <v>2014</v>
      </c>
      <c r="I1992">
        <f t="shared" si="94"/>
        <v>2020</v>
      </c>
      <c r="J1992" s="7">
        <f t="shared" si="95"/>
        <v>361.19695894840441</v>
      </c>
      <c r="K1992" s="7"/>
    </row>
    <row r="1993" spans="1:11" x14ac:dyDescent="0.25">
      <c r="A1993" s="1" t="s">
        <v>19</v>
      </c>
      <c r="B1993" s="2">
        <v>201402</v>
      </c>
      <c r="C1993" s="2">
        <v>202003</v>
      </c>
      <c r="D1993" s="10">
        <v>1.2779938650293181</v>
      </c>
      <c r="E1993" s="10">
        <v>293.40969032746511</v>
      </c>
      <c r="F1993" s="1">
        <v>0</v>
      </c>
      <c r="G1993" s="1">
        <v>5</v>
      </c>
      <c r="H1993">
        <f t="shared" si="93"/>
        <v>2014</v>
      </c>
      <c r="I1993">
        <f t="shared" si="94"/>
        <v>2020</v>
      </c>
      <c r="J1993" s="7">
        <f t="shared" si="95"/>
        <v>294.68768419249443</v>
      </c>
      <c r="K1993" s="7"/>
    </row>
    <row r="1994" spans="1:11" x14ac:dyDescent="0.25">
      <c r="A1994" s="1" t="s">
        <v>19</v>
      </c>
      <c r="B1994" s="2">
        <v>201402</v>
      </c>
      <c r="C1994" s="2">
        <v>202004</v>
      </c>
      <c r="D1994" s="10">
        <v>-88.682744249279835</v>
      </c>
      <c r="E1994" s="10">
        <v>268.44470786255806</v>
      </c>
      <c r="F1994" s="1">
        <v>0</v>
      </c>
      <c r="G1994" s="1">
        <v>4</v>
      </c>
      <c r="H1994">
        <f t="shared" si="93"/>
        <v>2014</v>
      </c>
      <c r="I1994">
        <f t="shared" si="94"/>
        <v>2020</v>
      </c>
      <c r="J1994" s="7">
        <f t="shared" si="95"/>
        <v>179.76196361327823</v>
      </c>
      <c r="K1994" s="7"/>
    </row>
    <row r="1995" spans="1:11" x14ac:dyDescent="0.25">
      <c r="A1995" s="1" t="s">
        <v>19</v>
      </c>
      <c r="B1995" s="2">
        <v>201402</v>
      </c>
      <c r="C1995" s="2">
        <v>202101</v>
      </c>
      <c r="D1995" s="10">
        <v>1.2599297484862586</v>
      </c>
      <c r="E1995" s="10">
        <v>261.90924009892996</v>
      </c>
      <c r="F1995" s="1">
        <v>0</v>
      </c>
      <c r="G1995" s="1">
        <v>3</v>
      </c>
      <c r="H1995">
        <f t="shared" si="93"/>
        <v>2014</v>
      </c>
      <c r="I1995">
        <f t="shared" si="94"/>
        <v>2021</v>
      </c>
      <c r="J1995" s="7">
        <f t="shared" si="95"/>
        <v>263.16916984741624</v>
      </c>
      <c r="K1995" s="7"/>
    </row>
    <row r="1996" spans="1:11" x14ac:dyDescent="0.25">
      <c r="A1996" s="1" t="s">
        <v>19</v>
      </c>
      <c r="B1996" s="2">
        <v>201402</v>
      </c>
      <c r="C1996" s="2">
        <v>202102</v>
      </c>
      <c r="D1996" s="10">
        <v>1.2615698992247788</v>
      </c>
      <c r="E1996" s="10">
        <v>258.87082580056824</v>
      </c>
      <c r="F1996" s="1">
        <v>0</v>
      </c>
      <c r="G1996" s="1">
        <v>2</v>
      </c>
      <c r="H1996">
        <f t="shared" si="93"/>
        <v>2014</v>
      </c>
      <c r="I1996">
        <f t="shared" si="94"/>
        <v>2021</v>
      </c>
      <c r="J1996" s="7">
        <f t="shared" si="95"/>
        <v>260.13239569979299</v>
      </c>
      <c r="K1996" s="7"/>
    </row>
    <row r="1997" spans="1:11" x14ac:dyDescent="0.25">
      <c r="A1997" s="1" t="s">
        <v>19</v>
      </c>
      <c r="B1997" s="2">
        <v>201402</v>
      </c>
      <c r="C1997" s="2">
        <v>202103</v>
      </c>
      <c r="D1997" s="10">
        <v>1.2602091385811025</v>
      </c>
      <c r="E1997" s="10">
        <v>264.60094663141894</v>
      </c>
      <c r="F1997" s="1">
        <v>0</v>
      </c>
      <c r="G1997" s="1">
        <v>1</v>
      </c>
      <c r="H1997">
        <f t="shared" si="93"/>
        <v>2014</v>
      </c>
      <c r="I1997">
        <f t="shared" si="94"/>
        <v>2021</v>
      </c>
      <c r="J1997" s="7">
        <f t="shared" si="95"/>
        <v>265.86115577000004</v>
      </c>
      <c r="K1997" s="7"/>
    </row>
    <row r="1998" spans="1:11" x14ac:dyDescent="0.25">
      <c r="A1998" s="1" t="s">
        <v>19</v>
      </c>
      <c r="B1998" s="2">
        <v>201402</v>
      </c>
      <c r="C1998" s="2">
        <v>202104</v>
      </c>
      <c r="D1998" s="10">
        <v>0</v>
      </c>
      <c r="E1998" s="10">
        <v>34.43269480620863</v>
      </c>
      <c r="F1998" s="1">
        <v>0</v>
      </c>
      <c r="G1998" s="1">
        <v>1</v>
      </c>
      <c r="H1998">
        <f t="shared" si="93"/>
        <v>2014</v>
      </c>
      <c r="I1998">
        <f t="shared" si="94"/>
        <v>2021</v>
      </c>
      <c r="J1998" s="7">
        <f t="shared" si="95"/>
        <v>34.43269480620863</v>
      </c>
      <c r="K1998" s="7"/>
    </row>
    <row r="1999" spans="1:11" x14ac:dyDescent="0.25">
      <c r="A1999" s="1" t="s">
        <v>19</v>
      </c>
      <c r="B1999" s="2">
        <v>201403</v>
      </c>
      <c r="C1999" s="2">
        <v>201403</v>
      </c>
      <c r="D1999" s="10">
        <v>482862.85594444413</v>
      </c>
      <c r="E1999" s="10">
        <v>481324.80916098994</v>
      </c>
      <c r="F1999" s="1">
        <v>12614</v>
      </c>
      <c r="G1999" s="1">
        <v>5098</v>
      </c>
      <c r="H1999">
        <f t="shared" si="93"/>
        <v>2014</v>
      </c>
      <c r="I1999">
        <f t="shared" si="94"/>
        <v>2014</v>
      </c>
      <c r="J1999" s="7">
        <f t="shared" si="95"/>
        <v>964187.66510543413</v>
      </c>
      <c r="K1999" s="7"/>
    </row>
    <row r="2000" spans="1:11" x14ac:dyDescent="0.25">
      <c r="A2000" s="1" t="s">
        <v>19</v>
      </c>
      <c r="B2000" s="2">
        <v>201403</v>
      </c>
      <c r="C2000" s="2">
        <v>201404</v>
      </c>
      <c r="D2000" s="10">
        <v>433312.80841712776</v>
      </c>
      <c r="E2000" s="10">
        <v>208682.92191069617</v>
      </c>
      <c r="F2000" s="1">
        <v>3291</v>
      </c>
      <c r="G2000" s="1">
        <v>2562</v>
      </c>
      <c r="H2000">
        <f t="shared" si="93"/>
        <v>2014</v>
      </c>
      <c r="I2000">
        <f t="shared" si="94"/>
        <v>2014</v>
      </c>
      <c r="J2000" s="7">
        <f t="shared" si="95"/>
        <v>641995.7303278239</v>
      </c>
      <c r="K2000" s="7"/>
    </row>
    <row r="2001" spans="1:11" x14ac:dyDescent="0.25">
      <c r="A2001" s="1" t="s">
        <v>19</v>
      </c>
      <c r="B2001" s="2">
        <v>201403</v>
      </c>
      <c r="C2001" s="2">
        <v>201501</v>
      </c>
      <c r="D2001" s="10">
        <v>65080.720153648246</v>
      </c>
      <c r="E2001" s="10">
        <v>126991.8241867809</v>
      </c>
      <c r="F2001" s="1">
        <v>426</v>
      </c>
      <c r="G2001" s="1">
        <v>1725</v>
      </c>
      <c r="H2001">
        <f t="shared" si="93"/>
        <v>2014</v>
      </c>
      <c r="I2001">
        <f t="shared" si="94"/>
        <v>2015</v>
      </c>
      <c r="J2001" s="7">
        <f t="shared" si="95"/>
        <v>192072.54434042913</v>
      </c>
      <c r="K2001" s="7"/>
    </row>
    <row r="2002" spans="1:11" x14ac:dyDescent="0.25">
      <c r="A2002" s="1" t="s">
        <v>19</v>
      </c>
      <c r="B2002" s="2">
        <v>201403</v>
      </c>
      <c r="C2002" s="2">
        <v>201502</v>
      </c>
      <c r="D2002" s="10">
        <v>23872.792556037184</v>
      </c>
      <c r="E2002" s="10">
        <v>98089.395856524265</v>
      </c>
      <c r="F2002" s="1">
        <v>191</v>
      </c>
      <c r="G2002" s="1">
        <v>1413</v>
      </c>
      <c r="H2002">
        <f t="shared" si="93"/>
        <v>2014</v>
      </c>
      <c r="I2002">
        <f t="shared" si="94"/>
        <v>2015</v>
      </c>
      <c r="J2002" s="7">
        <f t="shared" si="95"/>
        <v>121962.18841256145</v>
      </c>
      <c r="K2002" s="7"/>
    </row>
    <row r="2003" spans="1:11" x14ac:dyDescent="0.25">
      <c r="A2003" s="1" t="s">
        <v>19</v>
      </c>
      <c r="B2003" s="2">
        <v>201403</v>
      </c>
      <c r="C2003" s="2">
        <v>201503</v>
      </c>
      <c r="D2003" s="10">
        <v>10873.859894283023</v>
      </c>
      <c r="E2003" s="10">
        <v>85621.814697645401</v>
      </c>
      <c r="F2003" s="1">
        <v>90</v>
      </c>
      <c r="G2003" s="1">
        <v>1203</v>
      </c>
      <c r="H2003">
        <f t="shared" si="93"/>
        <v>2014</v>
      </c>
      <c r="I2003">
        <f t="shared" si="94"/>
        <v>2015</v>
      </c>
      <c r="J2003" s="7">
        <f t="shared" si="95"/>
        <v>96495.674591928429</v>
      </c>
      <c r="K2003" s="7"/>
    </row>
    <row r="2004" spans="1:11" x14ac:dyDescent="0.25">
      <c r="A2004" s="1" t="s">
        <v>19</v>
      </c>
      <c r="B2004" s="2">
        <v>201403</v>
      </c>
      <c r="C2004" s="2">
        <v>201504</v>
      </c>
      <c r="D2004" s="10">
        <v>6553.965261951822</v>
      </c>
      <c r="E2004" s="10">
        <v>75057.510124714157</v>
      </c>
      <c r="F2004" s="1">
        <v>37</v>
      </c>
      <c r="G2004" s="1">
        <v>1008</v>
      </c>
      <c r="H2004">
        <f t="shared" si="93"/>
        <v>2014</v>
      </c>
      <c r="I2004">
        <f t="shared" si="94"/>
        <v>2015</v>
      </c>
      <c r="J2004" s="7">
        <f t="shared" si="95"/>
        <v>81611.475386665974</v>
      </c>
      <c r="K2004" s="7"/>
    </row>
    <row r="2005" spans="1:11" x14ac:dyDescent="0.25">
      <c r="A2005" s="1" t="s">
        <v>19</v>
      </c>
      <c r="B2005" s="2">
        <v>201403</v>
      </c>
      <c r="C2005" s="2">
        <v>201601</v>
      </c>
      <c r="D2005" s="10">
        <v>1512.5615186545256</v>
      </c>
      <c r="E2005" s="10">
        <v>56918.79606130474</v>
      </c>
      <c r="F2005" s="1">
        <v>22</v>
      </c>
      <c r="G2005" s="1">
        <v>798</v>
      </c>
      <c r="H2005">
        <f t="shared" si="93"/>
        <v>2014</v>
      </c>
      <c r="I2005">
        <f t="shared" si="94"/>
        <v>2016</v>
      </c>
      <c r="J2005" s="7">
        <f t="shared" si="95"/>
        <v>58431.357579959265</v>
      </c>
      <c r="K2005" s="7"/>
    </row>
    <row r="2006" spans="1:11" x14ac:dyDescent="0.25">
      <c r="A2006" s="1" t="s">
        <v>19</v>
      </c>
      <c r="B2006" s="2">
        <v>201403</v>
      </c>
      <c r="C2006" s="2">
        <v>201602</v>
      </c>
      <c r="D2006" s="10">
        <v>1090.8944086929894</v>
      </c>
      <c r="E2006" s="10">
        <v>50114.002758844617</v>
      </c>
      <c r="F2006" s="1">
        <v>12</v>
      </c>
      <c r="G2006" s="1">
        <v>722</v>
      </c>
      <c r="H2006">
        <f t="shared" si="93"/>
        <v>2014</v>
      </c>
      <c r="I2006">
        <f t="shared" si="94"/>
        <v>2016</v>
      </c>
      <c r="J2006" s="7">
        <f t="shared" si="95"/>
        <v>51204.897167537609</v>
      </c>
      <c r="K2006" s="7"/>
    </row>
    <row r="2007" spans="1:11" x14ac:dyDescent="0.25">
      <c r="A2007" s="1" t="s">
        <v>19</v>
      </c>
      <c r="B2007" s="2">
        <v>201403</v>
      </c>
      <c r="C2007" s="2">
        <v>201603</v>
      </c>
      <c r="D2007" s="10">
        <v>1961.3830468237434</v>
      </c>
      <c r="E2007" s="10">
        <v>43624.573532216964</v>
      </c>
      <c r="F2007" s="1">
        <v>22</v>
      </c>
      <c r="G2007" s="1">
        <v>644</v>
      </c>
      <c r="H2007">
        <f t="shared" si="93"/>
        <v>2014</v>
      </c>
      <c r="I2007">
        <f t="shared" si="94"/>
        <v>2016</v>
      </c>
      <c r="J2007" s="7">
        <f t="shared" si="95"/>
        <v>45585.956579040707</v>
      </c>
      <c r="K2007" s="7"/>
    </row>
    <row r="2008" spans="1:11" x14ac:dyDescent="0.25">
      <c r="A2008" s="1" t="s">
        <v>19</v>
      </c>
      <c r="B2008" s="2">
        <v>201403</v>
      </c>
      <c r="C2008" s="2">
        <v>201604</v>
      </c>
      <c r="D2008" s="10">
        <v>-988.78090455661288</v>
      </c>
      <c r="E2008" s="10">
        <v>33685.763081573386</v>
      </c>
      <c r="F2008" s="1">
        <v>17</v>
      </c>
      <c r="G2008" s="1">
        <v>484</v>
      </c>
      <c r="H2008">
        <f t="shared" si="93"/>
        <v>2014</v>
      </c>
      <c r="I2008">
        <f t="shared" si="94"/>
        <v>2016</v>
      </c>
      <c r="J2008" s="7">
        <f t="shared" si="95"/>
        <v>32696.982177016773</v>
      </c>
      <c r="K2008" s="7"/>
    </row>
    <row r="2009" spans="1:11" x14ac:dyDescent="0.25">
      <c r="A2009" s="1" t="s">
        <v>19</v>
      </c>
      <c r="B2009" s="2">
        <v>201403</v>
      </c>
      <c r="C2009" s="2">
        <v>201701</v>
      </c>
      <c r="D2009" s="10">
        <v>854.08670141822347</v>
      </c>
      <c r="E2009" s="10">
        <v>20881.510365966045</v>
      </c>
      <c r="F2009" s="1">
        <v>3</v>
      </c>
      <c r="G2009" s="1">
        <v>341</v>
      </c>
      <c r="H2009">
        <f t="shared" si="93"/>
        <v>2014</v>
      </c>
      <c r="I2009">
        <f t="shared" si="94"/>
        <v>2017</v>
      </c>
      <c r="J2009" s="7">
        <f t="shared" si="95"/>
        <v>21735.597067384268</v>
      </c>
      <c r="K2009" s="7"/>
    </row>
    <row r="2010" spans="1:11" x14ac:dyDescent="0.25">
      <c r="A2010" s="1" t="s">
        <v>19</v>
      </c>
      <c r="B2010" s="2">
        <v>201403</v>
      </c>
      <c r="C2010" s="2">
        <v>201702</v>
      </c>
      <c r="D2010" s="10">
        <v>242.25390503625854</v>
      </c>
      <c r="E2010" s="10">
        <v>17231.816598206075</v>
      </c>
      <c r="F2010" s="1">
        <v>4</v>
      </c>
      <c r="G2010" s="1">
        <v>296</v>
      </c>
      <c r="H2010">
        <f t="shared" si="93"/>
        <v>2014</v>
      </c>
      <c r="I2010">
        <f t="shared" si="94"/>
        <v>2017</v>
      </c>
      <c r="J2010" s="7">
        <f t="shared" si="95"/>
        <v>17474.070503242332</v>
      </c>
      <c r="K2010" s="7"/>
    </row>
    <row r="2011" spans="1:11" x14ac:dyDescent="0.25">
      <c r="A2011" s="1" t="s">
        <v>19</v>
      </c>
      <c r="B2011" s="2">
        <v>201403</v>
      </c>
      <c r="C2011" s="2">
        <v>201703</v>
      </c>
      <c r="D2011" s="10">
        <v>-16.40986115941163</v>
      </c>
      <c r="E2011" s="10">
        <v>14179.163638628603</v>
      </c>
      <c r="F2011" s="1">
        <v>5</v>
      </c>
      <c r="G2011" s="1">
        <v>251</v>
      </c>
      <c r="H2011">
        <f t="shared" si="93"/>
        <v>2014</v>
      </c>
      <c r="I2011">
        <f t="shared" si="94"/>
        <v>2017</v>
      </c>
      <c r="J2011" s="7">
        <f t="shared" si="95"/>
        <v>14162.753777469192</v>
      </c>
      <c r="K2011" s="7"/>
    </row>
    <row r="2012" spans="1:11" x14ac:dyDescent="0.25">
      <c r="A2012" s="1" t="s">
        <v>19</v>
      </c>
      <c r="B2012" s="2">
        <v>201403</v>
      </c>
      <c r="C2012" s="2">
        <v>201704</v>
      </c>
      <c r="D2012" s="10">
        <v>-160.36866253579581</v>
      </c>
      <c r="E2012" s="10">
        <v>11596.466210282082</v>
      </c>
      <c r="F2012" s="1">
        <v>0</v>
      </c>
      <c r="G2012" s="1">
        <v>213</v>
      </c>
      <c r="H2012">
        <f t="shared" si="93"/>
        <v>2014</v>
      </c>
      <c r="I2012">
        <f t="shared" si="94"/>
        <v>2017</v>
      </c>
      <c r="J2012" s="7">
        <f t="shared" si="95"/>
        <v>11436.097547746287</v>
      </c>
      <c r="K2012" s="7"/>
    </row>
    <row r="2013" spans="1:11" x14ac:dyDescent="0.25">
      <c r="A2013" s="1" t="s">
        <v>19</v>
      </c>
      <c r="B2013" s="2">
        <v>201403</v>
      </c>
      <c r="C2013" s="2">
        <v>201801</v>
      </c>
      <c r="D2013" s="10">
        <v>185.23397182504897</v>
      </c>
      <c r="E2013" s="10">
        <v>9741.333881851333</v>
      </c>
      <c r="F2013" s="1">
        <v>1</v>
      </c>
      <c r="G2013" s="1">
        <v>176</v>
      </c>
      <c r="H2013">
        <f t="shared" si="93"/>
        <v>2014</v>
      </c>
      <c r="I2013">
        <f t="shared" si="94"/>
        <v>2018</v>
      </c>
      <c r="J2013" s="7">
        <f t="shared" si="95"/>
        <v>9926.5678536763826</v>
      </c>
      <c r="K2013" s="7"/>
    </row>
    <row r="2014" spans="1:11" x14ac:dyDescent="0.25">
      <c r="A2014" s="1" t="s">
        <v>19</v>
      </c>
      <c r="B2014" s="2">
        <v>201403</v>
      </c>
      <c r="C2014" s="2">
        <v>201802</v>
      </c>
      <c r="D2014" s="10">
        <v>-370.50649283412548</v>
      </c>
      <c r="E2014" s="10">
        <v>2100.7658856149365</v>
      </c>
      <c r="F2014" s="1">
        <v>0</v>
      </c>
      <c r="G2014" s="1">
        <v>66</v>
      </c>
      <c r="H2014">
        <f t="shared" si="93"/>
        <v>2014</v>
      </c>
      <c r="I2014">
        <f t="shared" si="94"/>
        <v>2018</v>
      </c>
      <c r="J2014" s="7">
        <f t="shared" si="95"/>
        <v>1730.2593927808109</v>
      </c>
      <c r="K2014" s="7"/>
    </row>
    <row r="2015" spans="1:11" x14ac:dyDescent="0.25">
      <c r="A2015" s="1" t="s">
        <v>19</v>
      </c>
      <c r="B2015" s="2">
        <v>201403</v>
      </c>
      <c r="C2015" s="2">
        <v>201803</v>
      </c>
      <c r="D2015" s="10">
        <v>151.07886230393976</v>
      </c>
      <c r="E2015" s="10">
        <v>2048.9330962839458</v>
      </c>
      <c r="F2015" s="1">
        <v>0</v>
      </c>
      <c r="G2015" s="1">
        <v>59</v>
      </c>
      <c r="H2015">
        <f t="shared" si="93"/>
        <v>2014</v>
      </c>
      <c r="I2015">
        <f t="shared" si="94"/>
        <v>2018</v>
      </c>
      <c r="J2015" s="7">
        <f t="shared" si="95"/>
        <v>2200.0119585878856</v>
      </c>
      <c r="K2015" s="7"/>
    </row>
    <row r="2016" spans="1:11" x14ac:dyDescent="0.25">
      <c r="A2016" s="1" t="s">
        <v>19</v>
      </c>
      <c r="B2016" s="2">
        <v>201403</v>
      </c>
      <c r="C2016" s="2">
        <v>201804</v>
      </c>
      <c r="D2016" s="10">
        <v>81.387622296218595</v>
      </c>
      <c r="E2016" s="10">
        <v>1786.3434328423136</v>
      </c>
      <c r="F2016" s="1">
        <v>0</v>
      </c>
      <c r="G2016" s="1">
        <v>55</v>
      </c>
      <c r="H2016">
        <f t="shared" si="93"/>
        <v>2014</v>
      </c>
      <c r="I2016">
        <f t="shared" si="94"/>
        <v>2018</v>
      </c>
      <c r="J2016" s="7">
        <f t="shared" si="95"/>
        <v>1867.7310551385322</v>
      </c>
      <c r="K2016" s="7"/>
    </row>
    <row r="2017" spans="1:11" x14ac:dyDescent="0.25">
      <c r="A2017" s="1" t="s">
        <v>19</v>
      </c>
      <c r="B2017" s="2">
        <v>201403</v>
      </c>
      <c r="C2017" s="2">
        <v>201901</v>
      </c>
      <c r="D2017" s="10">
        <v>-67.21184095958688</v>
      </c>
      <c r="E2017" s="10">
        <v>1248.6798388593602</v>
      </c>
      <c r="F2017" s="1">
        <v>0</v>
      </c>
      <c r="G2017" s="1">
        <v>46</v>
      </c>
      <c r="H2017">
        <f t="shared" si="93"/>
        <v>2014</v>
      </c>
      <c r="I2017">
        <f t="shared" si="94"/>
        <v>2019</v>
      </c>
      <c r="J2017" s="7">
        <f t="shared" si="95"/>
        <v>1181.4679978997733</v>
      </c>
      <c r="K2017" s="7"/>
    </row>
    <row r="2018" spans="1:11" x14ac:dyDescent="0.25">
      <c r="A2018" s="1" t="s">
        <v>19</v>
      </c>
      <c r="B2018" s="2">
        <v>201403</v>
      </c>
      <c r="C2018" s="2">
        <v>201902</v>
      </c>
      <c r="D2018" s="10">
        <v>-705.60737838796069</v>
      </c>
      <c r="E2018" s="10">
        <v>521.10719630415804</v>
      </c>
      <c r="F2018" s="1">
        <v>0</v>
      </c>
      <c r="G2018" s="1">
        <v>16</v>
      </c>
      <c r="H2018">
        <f t="shared" si="93"/>
        <v>2014</v>
      </c>
      <c r="I2018">
        <f t="shared" si="94"/>
        <v>2019</v>
      </c>
      <c r="J2018" s="7">
        <f t="shared" si="95"/>
        <v>-184.50018208380266</v>
      </c>
      <c r="K2018" s="7"/>
    </row>
    <row r="2019" spans="1:11" x14ac:dyDescent="0.25">
      <c r="A2019" s="1" t="s">
        <v>19</v>
      </c>
      <c r="B2019" s="2">
        <v>201403</v>
      </c>
      <c r="C2019" s="2">
        <v>201903</v>
      </c>
      <c r="D2019" s="10">
        <v>38.078330950151852</v>
      </c>
      <c r="E2019" s="10">
        <v>590.54540722718252</v>
      </c>
      <c r="F2019" s="1">
        <v>0</v>
      </c>
      <c r="G2019" s="1">
        <v>17</v>
      </c>
      <c r="H2019">
        <f t="shared" si="93"/>
        <v>2014</v>
      </c>
      <c r="I2019">
        <f t="shared" si="94"/>
        <v>2019</v>
      </c>
      <c r="J2019" s="7">
        <f t="shared" si="95"/>
        <v>628.62373817733442</v>
      </c>
      <c r="K2019" s="7"/>
    </row>
    <row r="2020" spans="1:11" x14ac:dyDescent="0.25">
      <c r="A2020" s="1" t="s">
        <v>19</v>
      </c>
      <c r="B2020" s="2">
        <v>201403</v>
      </c>
      <c r="C2020" s="2">
        <v>201904</v>
      </c>
      <c r="D2020" s="10">
        <v>-602.06585853075865</v>
      </c>
      <c r="E2020" s="10">
        <v>409.07965909127159</v>
      </c>
      <c r="F2020" s="1">
        <v>0</v>
      </c>
      <c r="G2020" s="1">
        <v>13</v>
      </c>
      <c r="H2020">
        <f t="shared" si="93"/>
        <v>2014</v>
      </c>
      <c r="I2020">
        <f t="shared" si="94"/>
        <v>2019</v>
      </c>
      <c r="J2020" s="7">
        <f t="shared" si="95"/>
        <v>-192.98619943948705</v>
      </c>
      <c r="K2020" s="7"/>
    </row>
    <row r="2021" spans="1:11" x14ac:dyDescent="0.25">
      <c r="A2021" s="1" t="s">
        <v>19</v>
      </c>
      <c r="B2021" s="2">
        <v>201403</v>
      </c>
      <c r="C2021" s="2">
        <v>202001</v>
      </c>
      <c r="D2021" s="10">
        <v>-23.334576635320403</v>
      </c>
      <c r="E2021" s="10">
        <v>413.1296666222666</v>
      </c>
      <c r="F2021" s="1">
        <v>0</v>
      </c>
      <c r="G2021" s="1">
        <v>12</v>
      </c>
      <c r="H2021">
        <f t="shared" si="93"/>
        <v>2014</v>
      </c>
      <c r="I2021">
        <f t="shared" si="94"/>
        <v>2020</v>
      </c>
      <c r="J2021" s="7">
        <f t="shared" si="95"/>
        <v>389.79508998694621</v>
      </c>
      <c r="K2021" s="7"/>
    </row>
    <row r="2022" spans="1:11" x14ac:dyDescent="0.25">
      <c r="A2022" s="1" t="s">
        <v>19</v>
      </c>
      <c r="B2022" s="2">
        <v>201403</v>
      </c>
      <c r="C2022" s="2">
        <v>202002</v>
      </c>
      <c r="D2022" s="10">
        <v>28.48722954767646</v>
      </c>
      <c r="E2022" s="10">
        <v>325.31843199953107</v>
      </c>
      <c r="F2022" s="1">
        <v>0</v>
      </c>
      <c r="G2022" s="1">
        <v>6</v>
      </c>
      <c r="H2022">
        <f t="shared" si="93"/>
        <v>2014</v>
      </c>
      <c r="I2022">
        <f t="shared" si="94"/>
        <v>2020</v>
      </c>
      <c r="J2022" s="7">
        <f t="shared" si="95"/>
        <v>353.80566154720754</v>
      </c>
      <c r="K2022" s="7"/>
    </row>
    <row r="2023" spans="1:11" x14ac:dyDescent="0.25">
      <c r="A2023" s="1" t="s">
        <v>19</v>
      </c>
      <c r="B2023" s="2">
        <v>201403</v>
      </c>
      <c r="C2023" s="2">
        <v>202003</v>
      </c>
      <c r="D2023" s="10">
        <v>-14.859056271115819</v>
      </c>
      <c r="E2023" s="10">
        <v>334.29356717719605</v>
      </c>
      <c r="F2023" s="1">
        <v>0</v>
      </c>
      <c r="G2023" s="1">
        <v>6</v>
      </c>
      <c r="H2023">
        <f t="shared" si="93"/>
        <v>2014</v>
      </c>
      <c r="I2023">
        <f t="shared" si="94"/>
        <v>2020</v>
      </c>
      <c r="J2023" s="7">
        <f t="shared" si="95"/>
        <v>319.43451090608022</v>
      </c>
      <c r="K2023" s="7"/>
    </row>
    <row r="2024" spans="1:11" x14ac:dyDescent="0.25">
      <c r="A2024" s="1" t="s">
        <v>19</v>
      </c>
      <c r="B2024" s="2">
        <v>201403</v>
      </c>
      <c r="C2024" s="2">
        <v>202004</v>
      </c>
      <c r="D2024" s="10">
        <v>-15.033321487950296</v>
      </c>
      <c r="E2024" s="10">
        <v>354.58826087706836</v>
      </c>
      <c r="F2024" s="1">
        <v>0</v>
      </c>
      <c r="G2024" s="1">
        <v>6</v>
      </c>
      <c r="H2024">
        <f t="shared" si="93"/>
        <v>2014</v>
      </c>
      <c r="I2024">
        <f t="shared" si="94"/>
        <v>2020</v>
      </c>
      <c r="J2024" s="7">
        <f t="shared" si="95"/>
        <v>339.55493938911809</v>
      </c>
      <c r="K2024" s="7"/>
    </row>
    <row r="2025" spans="1:11" x14ac:dyDescent="0.25">
      <c r="A2025" s="1" t="s">
        <v>19</v>
      </c>
      <c r="B2025" s="2">
        <v>201403</v>
      </c>
      <c r="C2025" s="2">
        <v>202101</v>
      </c>
      <c r="D2025" s="10">
        <v>-699.0215382288153</v>
      </c>
      <c r="E2025" s="10">
        <v>349.87798107201178</v>
      </c>
      <c r="F2025" s="1">
        <v>0</v>
      </c>
      <c r="G2025" s="1">
        <v>5</v>
      </c>
      <c r="H2025">
        <f t="shared" si="93"/>
        <v>2014</v>
      </c>
      <c r="I2025">
        <f t="shared" si="94"/>
        <v>2021</v>
      </c>
      <c r="J2025" s="7">
        <f t="shared" si="95"/>
        <v>-349.14355715680352</v>
      </c>
      <c r="K2025" s="7"/>
    </row>
    <row r="2026" spans="1:11" x14ac:dyDescent="0.25">
      <c r="A2026" s="1" t="s">
        <v>19</v>
      </c>
      <c r="B2026" s="2">
        <v>201403</v>
      </c>
      <c r="C2026" s="2">
        <v>202102</v>
      </c>
      <c r="D2026" s="10">
        <v>-52.029807030920963</v>
      </c>
      <c r="E2026" s="10">
        <v>356.49464776286339</v>
      </c>
      <c r="F2026" s="1">
        <v>0</v>
      </c>
      <c r="G2026" s="1">
        <v>6</v>
      </c>
      <c r="H2026">
        <f t="shared" si="93"/>
        <v>2014</v>
      </c>
      <c r="I2026">
        <f t="shared" si="94"/>
        <v>2021</v>
      </c>
      <c r="J2026" s="7">
        <f t="shared" si="95"/>
        <v>304.46484073194245</v>
      </c>
      <c r="K2026" s="7"/>
    </row>
    <row r="2027" spans="1:11" x14ac:dyDescent="0.25">
      <c r="A2027" s="1" t="s">
        <v>19</v>
      </c>
      <c r="B2027" s="2">
        <v>201403</v>
      </c>
      <c r="C2027" s="2">
        <v>202103</v>
      </c>
      <c r="D2027" s="10">
        <v>-15.06475672728399</v>
      </c>
      <c r="E2027" s="10">
        <v>348.45241581980474</v>
      </c>
      <c r="F2027" s="1">
        <v>0</v>
      </c>
      <c r="G2027" s="1">
        <v>5</v>
      </c>
      <c r="H2027">
        <f t="shared" si="93"/>
        <v>2014</v>
      </c>
      <c r="I2027">
        <f t="shared" si="94"/>
        <v>2021</v>
      </c>
      <c r="J2027" s="7">
        <f t="shared" si="95"/>
        <v>333.38765909252078</v>
      </c>
      <c r="K2027" s="7"/>
    </row>
    <row r="2028" spans="1:11" x14ac:dyDescent="0.25">
      <c r="A2028" s="1" t="s">
        <v>19</v>
      </c>
      <c r="B2028" s="2">
        <v>201403</v>
      </c>
      <c r="C2028" s="2">
        <v>202104</v>
      </c>
      <c r="D2028" s="10">
        <v>-9.7898209719035094</v>
      </c>
      <c r="E2028" s="10">
        <v>33.069846090373069</v>
      </c>
      <c r="F2028" s="1">
        <v>0</v>
      </c>
      <c r="G2028" s="1">
        <v>5</v>
      </c>
      <c r="H2028">
        <f t="shared" si="93"/>
        <v>2014</v>
      </c>
      <c r="I2028">
        <f t="shared" si="94"/>
        <v>2021</v>
      </c>
      <c r="J2028" s="7">
        <f t="shared" si="95"/>
        <v>23.28002511846956</v>
      </c>
      <c r="K2028" s="7"/>
    </row>
    <row r="2029" spans="1:11" x14ac:dyDescent="0.25">
      <c r="A2029" s="1" t="s">
        <v>19</v>
      </c>
      <c r="B2029" s="2">
        <v>201404</v>
      </c>
      <c r="C2029" s="2">
        <v>201404</v>
      </c>
      <c r="D2029" s="10">
        <v>458107.38675120752</v>
      </c>
      <c r="E2029" s="10">
        <v>525918.72252122231</v>
      </c>
      <c r="F2029" s="1">
        <v>11805</v>
      </c>
      <c r="G2029" s="1">
        <v>5036</v>
      </c>
      <c r="H2029">
        <f t="shared" si="93"/>
        <v>2014</v>
      </c>
      <c r="I2029">
        <f t="shared" si="94"/>
        <v>2014</v>
      </c>
      <c r="J2029" s="7">
        <f t="shared" si="95"/>
        <v>984026.10927242984</v>
      </c>
      <c r="K2029" s="7"/>
    </row>
    <row r="2030" spans="1:11" x14ac:dyDescent="0.25">
      <c r="A2030" s="1" t="s">
        <v>19</v>
      </c>
      <c r="B2030" s="2">
        <v>201404</v>
      </c>
      <c r="C2030" s="2">
        <v>201501</v>
      </c>
      <c r="D2030" s="10">
        <v>474796.66574703669</v>
      </c>
      <c r="E2030" s="10">
        <v>179451.54017702345</v>
      </c>
      <c r="F2030" s="1">
        <v>3517</v>
      </c>
      <c r="G2030" s="1">
        <v>2366</v>
      </c>
      <c r="H2030">
        <f t="shared" si="93"/>
        <v>2014</v>
      </c>
      <c r="I2030">
        <f t="shared" si="94"/>
        <v>2015</v>
      </c>
      <c r="J2030" s="7">
        <f t="shared" si="95"/>
        <v>654248.2059240602</v>
      </c>
      <c r="K2030" s="7"/>
    </row>
    <row r="2031" spans="1:11" x14ac:dyDescent="0.25">
      <c r="A2031" s="1" t="s">
        <v>19</v>
      </c>
      <c r="B2031" s="2">
        <v>201404</v>
      </c>
      <c r="C2031" s="2">
        <v>201502</v>
      </c>
      <c r="D2031" s="10">
        <v>52570.877927436915</v>
      </c>
      <c r="E2031" s="10">
        <v>117956.01953140729</v>
      </c>
      <c r="F2031" s="1">
        <v>411</v>
      </c>
      <c r="G2031" s="1">
        <v>1722</v>
      </c>
      <c r="H2031">
        <f t="shared" si="93"/>
        <v>2014</v>
      </c>
      <c r="I2031">
        <f t="shared" si="94"/>
        <v>2015</v>
      </c>
      <c r="J2031" s="7">
        <f t="shared" si="95"/>
        <v>170526.89745884421</v>
      </c>
      <c r="K2031" s="7"/>
    </row>
    <row r="2032" spans="1:11" x14ac:dyDescent="0.25">
      <c r="A2032" s="1" t="s">
        <v>19</v>
      </c>
      <c r="B2032" s="2">
        <v>201404</v>
      </c>
      <c r="C2032" s="2">
        <v>201503</v>
      </c>
      <c r="D2032" s="10">
        <v>15555.660261327241</v>
      </c>
      <c r="E2032" s="10">
        <v>101826.77108792284</v>
      </c>
      <c r="F2032" s="1">
        <v>193</v>
      </c>
      <c r="G2032" s="1">
        <v>1432</v>
      </c>
      <c r="H2032">
        <f t="shared" si="93"/>
        <v>2014</v>
      </c>
      <c r="I2032">
        <f t="shared" si="94"/>
        <v>2015</v>
      </c>
      <c r="J2032" s="7">
        <f t="shared" si="95"/>
        <v>117382.43134925008</v>
      </c>
      <c r="K2032" s="7"/>
    </row>
    <row r="2033" spans="1:11" x14ac:dyDescent="0.25">
      <c r="A2033" s="1" t="s">
        <v>19</v>
      </c>
      <c r="B2033" s="2">
        <v>201404</v>
      </c>
      <c r="C2033" s="2">
        <v>201504</v>
      </c>
      <c r="D2033" s="10">
        <v>6595.5563924917542</v>
      </c>
      <c r="E2033" s="10">
        <v>86097.856957134311</v>
      </c>
      <c r="F2033" s="1">
        <v>56</v>
      </c>
      <c r="G2033" s="1">
        <v>1109</v>
      </c>
      <c r="H2033">
        <f t="shared" si="93"/>
        <v>2014</v>
      </c>
      <c r="I2033">
        <f t="shared" si="94"/>
        <v>2015</v>
      </c>
      <c r="J2033" s="7">
        <f t="shared" si="95"/>
        <v>92693.413349626062</v>
      </c>
      <c r="K2033" s="7"/>
    </row>
    <row r="2034" spans="1:11" x14ac:dyDescent="0.25">
      <c r="A2034" s="1" t="s">
        <v>19</v>
      </c>
      <c r="B2034" s="2">
        <v>201404</v>
      </c>
      <c r="C2034" s="2">
        <v>201601</v>
      </c>
      <c r="D2034" s="10">
        <v>7133.3043299030296</v>
      </c>
      <c r="E2034" s="10">
        <v>67031.530802674635</v>
      </c>
      <c r="F2034" s="1">
        <v>35</v>
      </c>
      <c r="G2034" s="1">
        <v>923</v>
      </c>
      <c r="H2034">
        <f t="shared" si="93"/>
        <v>2014</v>
      </c>
      <c r="I2034">
        <f t="shared" si="94"/>
        <v>2016</v>
      </c>
      <c r="J2034" s="7">
        <f t="shared" si="95"/>
        <v>74164.83513257766</v>
      </c>
      <c r="K2034" s="7"/>
    </row>
    <row r="2035" spans="1:11" x14ac:dyDescent="0.25">
      <c r="A2035" s="1" t="s">
        <v>19</v>
      </c>
      <c r="B2035" s="2">
        <v>201404</v>
      </c>
      <c r="C2035" s="2">
        <v>201602</v>
      </c>
      <c r="D2035" s="10">
        <v>1866.9925978900371</v>
      </c>
      <c r="E2035" s="10">
        <v>57114.221990971368</v>
      </c>
      <c r="F2035" s="1">
        <v>27</v>
      </c>
      <c r="G2035" s="1">
        <v>822</v>
      </c>
      <c r="H2035">
        <f t="shared" si="93"/>
        <v>2014</v>
      </c>
      <c r="I2035">
        <f t="shared" si="94"/>
        <v>2016</v>
      </c>
      <c r="J2035" s="7">
        <f t="shared" si="95"/>
        <v>58981.214588861403</v>
      </c>
      <c r="K2035" s="7"/>
    </row>
    <row r="2036" spans="1:11" x14ac:dyDescent="0.25">
      <c r="A2036" s="1" t="s">
        <v>19</v>
      </c>
      <c r="B2036" s="2">
        <v>201404</v>
      </c>
      <c r="C2036" s="2">
        <v>201603</v>
      </c>
      <c r="D2036" s="10">
        <v>3667.0785933763791</v>
      </c>
      <c r="E2036" s="10">
        <v>50602.218265770323</v>
      </c>
      <c r="F2036" s="1">
        <v>30</v>
      </c>
      <c r="G2036" s="1">
        <v>727</v>
      </c>
      <c r="H2036">
        <f t="shared" si="93"/>
        <v>2014</v>
      </c>
      <c r="I2036">
        <f t="shared" si="94"/>
        <v>2016</v>
      </c>
      <c r="J2036" s="7">
        <f t="shared" si="95"/>
        <v>54269.2968591467</v>
      </c>
      <c r="K2036" s="7"/>
    </row>
    <row r="2037" spans="1:11" x14ac:dyDescent="0.25">
      <c r="A2037" s="1" t="s">
        <v>19</v>
      </c>
      <c r="B2037" s="2">
        <v>201404</v>
      </c>
      <c r="C2037" s="2">
        <v>201604</v>
      </c>
      <c r="D2037" s="10">
        <v>1854.6257810815314</v>
      </c>
      <c r="E2037" s="10">
        <v>36057.648863132235</v>
      </c>
      <c r="F2037" s="1">
        <v>19</v>
      </c>
      <c r="G2037" s="1">
        <v>537</v>
      </c>
      <c r="H2037">
        <f t="shared" si="93"/>
        <v>2014</v>
      </c>
      <c r="I2037">
        <f t="shared" si="94"/>
        <v>2016</v>
      </c>
      <c r="J2037" s="7">
        <f t="shared" si="95"/>
        <v>37912.274644213765</v>
      </c>
      <c r="K2037" s="7"/>
    </row>
    <row r="2038" spans="1:11" x14ac:dyDescent="0.25">
      <c r="A2038" s="1" t="s">
        <v>19</v>
      </c>
      <c r="B2038" s="2">
        <v>201404</v>
      </c>
      <c r="C2038" s="2">
        <v>201701</v>
      </c>
      <c r="D2038" s="10">
        <v>1046.595977663487</v>
      </c>
      <c r="E2038" s="10">
        <v>26512.631287902281</v>
      </c>
      <c r="F2038" s="1">
        <v>8</v>
      </c>
      <c r="G2038" s="1">
        <v>425</v>
      </c>
      <c r="H2038">
        <f t="shared" si="93"/>
        <v>2014</v>
      </c>
      <c r="I2038">
        <f t="shared" si="94"/>
        <v>2017</v>
      </c>
      <c r="J2038" s="7">
        <f t="shared" si="95"/>
        <v>27559.227265565769</v>
      </c>
      <c r="K2038" s="7"/>
    </row>
    <row r="2039" spans="1:11" x14ac:dyDescent="0.25">
      <c r="A2039" s="1" t="s">
        <v>19</v>
      </c>
      <c r="B2039" s="2">
        <v>201404</v>
      </c>
      <c r="C2039" s="2">
        <v>201702</v>
      </c>
      <c r="D2039" s="10">
        <v>799.33020853544792</v>
      </c>
      <c r="E2039" s="10">
        <v>24412.899242172283</v>
      </c>
      <c r="F2039" s="1">
        <v>7</v>
      </c>
      <c r="G2039" s="1">
        <v>399</v>
      </c>
      <c r="H2039">
        <f t="shared" si="93"/>
        <v>2014</v>
      </c>
      <c r="I2039">
        <f t="shared" si="94"/>
        <v>2017</v>
      </c>
      <c r="J2039" s="7">
        <f t="shared" si="95"/>
        <v>25212.229450707731</v>
      </c>
      <c r="K2039" s="7"/>
    </row>
    <row r="2040" spans="1:11" x14ac:dyDescent="0.25">
      <c r="A2040" s="1" t="s">
        <v>19</v>
      </c>
      <c r="B2040" s="2">
        <v>201404</v>
      </c>
      <c r="C2040" s="2">
        <v>201703</v>
      </c>
      <c r="D2040" s="10">
        <v>295.97204630641636</v>
      </c>
      <c r="E2040" s="10">
        <v>19861.362440447909</v>
      </c>
      <c r="F2040" s="1">
        <v>4</v>
      </c>
      <c r="G2040" s="1">
        <v>336</v>
      </c>
      <c r="H2040">
        <f t="shared" si="93"/>
        <v>2014</v>
      </c>
      <c r="I2040">
        <f t="shared" si="94"/>
        <v>2017</v>
      </c>
      <c r="J2040" s="7">
        <f t="shared" si="95"/>
        <v>20157.334486754324</v>
      </c>
      <c r="K2040" s="7"/>
    </row>
    <row r="2041" spans="1:11" x14ac:dyDescent="0.25">
      <c r="A2041" s="1" t="s">
        <v>19</v>
      </c>
      <c r="B2041" s="2">
        <v>201404</v>
      </c>
      <c r="C2041" s="2">
        <v>201704</v>
      </c>
      <c r="D2041" s="10">
        <v>595.75359019329414</v>
      </c>
      <c r="E2041" s="10">
        <v>16150.342129066805</v>
      </c>
      <c r="F2041" s="1">
        <v>3</v>
      </c>
      <c r="G2041" s="1">
        <v>272</v>
      </c>
      <c r="H2041">
        <f t="shared" si="93"/>
        <v>2014</v>
      </c>
      <c r="I2041">
        <f t="shared" si="94"/>
        <v>2017</v>
      </c>
      <c r="J2041" s="7">
        <f t="shared" si="95"/>
        <v>16746.095719260098</v>
      </c>
      <c r="K2041" s="7"/>
    </row>
    <row r="2042" spans="1:11" x14ac:dyDescent="0.25">
      <c r="A2042" s="1" t="s">
        <v>19</v>
      </c>
      <c r="B2042" s="2">
        <v>201404</v>
      </c>
      <c r="C2042" s="2">
        <v>201801</v>
      </c>
      <c r="D2042" s="10">
        <v>188.16886280570705</v>
      </c>
      <c r="E2042" s="10">
        <v>13474.043306035974</v>
      </c>
      <c r="F2042" s="1">
        <v>3</v>
      </c>
      <c r="G2042" s="1">
        <v>229</v>
      </c>
      <c r="H2042">
        <f t="shared" si="93"/>
        <v>2014</v>
      </c>
      <c r="I2042">
        <f t="shared" si="94"/>
        <v>2018</v>
      </c>
      <c r="J2042" s="7">
        <f t="shared" si="95"/>
        <v>13662.212168841681</v>
      </c>
      <c r="K2042" s="7"/>
    </row>
    <row r="2043" spans="1:11" x14ac:dyDescent="0.25">
      <c r="A2043" s="1" t="s">
        <v>19</v>
      </c>
      <c r="B2043" s="2">
        <v>201404</v>
      </c>
      <c r="C2043" s="2">
        <v>201802</v>
      </c>
      <c r="D2043" s="10">
        <v>360.2275639430714</v>
      </c>
      <c r="E2043" s="10">
        <v>2735.2546776316431</v>
      </c>
      <c r="F2043" s="1">
        <v>1</v>
      </c>
      <c r="G2043" s="1">
        <v>78</v>
      </c>
      <c r="H2043">
        <f t="shared" si="93"/>
        <v>2014</v>
      </c>
      <c r="I2043">
        <f t="shared" si="94"/>
        <v>2018</v>
      </c>
      <c r="J2043" s="7">
        <f t="shared" si="95"/>
        <v>3095.4822415747144</v>
      </c>
      <c r="K2043" s="7"/>
    </row>
    <row r="2044" spans="1:11" x14ac:dyDescent="0.25">
      <c r="A2044" s="1" t="s">
        <v>19</v>
      </c>
      <c r="B2044" s="2">
        <v>201404</v>
      </c>
      <c r="C2044" s="2">
        <v>201803</v>
      </c>
      <c r="D2044" s="10">
        <v>-1229.6964940277965</v>
      </c>
      <c r="E2044" s="10">
        <v>2446.6447546352633</v>
      </c>
      <c r="F2044" s="1">
        <v>0</v>
      </c>
      <c r="G2044" s="1">
        <v>67</v>
      </c>
      <c r="H2044">
        <f t="shared" si="93"/>
        <v>2014</v>
      </c>
      <c r="I2044">
        <f t="shared" si="94"/>
        <v>2018</v>
      </c>
      <c r="J2044" s="7">
        <f t="shared" si="95"/>
        <v>1216.9482606074669</v>
      </c>
      <c r="K2044" s="7"/>
    </row>
    <row r="2045" spans="1:11" x14ac:dyDescent="0.25">
      <c r="A2045" s="1" t="s">
        <v>19</v>
      </c>
      <c r="B2045" s="2">
        <v>201404</v>
      </c>
      <c r="C2045" s="2">
        <v>201804</v>
      </c>
      <c r="D2045" s="10">
        <v>86.260496357484797</v>
      </c>
      <c r="E2045" s="10">
        <v>2408.1471799497981</v>
      </c>
      <c r="F2045" s="1">
        <v>0</v>
      </c>
      <c r="G2045" s="1">
        <v>62</v>
      </c>
      <c r="H2045">
        <f t="shared" si="93"/>
        <v>2014</v>
      </c>
      <c r="I2045">
        <f t="shared" si="94"/>
        <v>2018</v>
      </c>
      <c r="J2045" s="7">
        <f t="shared" si="95"/>
        <v>2494.4076763072831</v>
      </c>
      <c r="K2045" s="7"/>
    </row>
    <row r="2046" spans="1:11" x14ac:dyDescent="0.25">
      <c r="A2046" s="1" t="s">
        <v>19</v>
      </c>
      <c r="B2046" s="2">
        <v>201404</v>
      </c>
      <c r="C2046" s="2">
        <v>201901</v>
      </c>
      <c r="D2046" s="10">
        <v>0</v>
      </c>
      <c r="E2046" s="10">
        <v>2145.1552738951309</v>
      </c>
      <c r="F2046" s="1">
        <v>0</v>
      </c>
      <c r="G2046" s="1">
        <v>55</v>
      </c>
      <c r="H2046">
        <f t="shared" si="93"/>
        <v>2014</v>
      </c>
      <c r="I2046">
        <f t="shared" si="94"/>
        <v>2019</v>
      </c>
      <c r="J2046" s="7">
        <f t="shared" si="95"/>
        <v>2145.1552738951309</v>
      </c>
      <c r="K2046" s="7"/>
    </row>
    <row r="2047" spans="1:11" x14ac:dyDescent="0.25">
      <c r="A2047" s="1" t="s">
        <v>19</v>
      </c>
      <c r="B2047" s="2">
        <v>201404</v>
      </c>
      <c r="C2047" s="2">
        <v>201902</v>
      </c>
      <c r="D2047" s="10">
        <v>-125.58023976757892</v>
      </c>
      <c r="E2047" s="10">
        <v>325.74145765285925</v>
      </c>
      <c r="F2047" s="1">
        <v>0</v>
      </c>
      <c r="G2047" s="1">
        <v>13</v>
      </c>
      <c r="H2047">
        <f t="shared" si="93"/>
        <v>2014</v>
      </c>
      <c r="I2047">
        <f t="shared" si="94"/>
        <v>2019</v>
      </c>
      <c r="J2047" s="7">
        <f t="shared" si="95"/>
        <v>200.16121788528034</v>
      </c>
      <c r="K2047" s="7"/>
    </row>
    <row r="2048" spans="1:11" x14ac:dyDescent="0.25">
      <c r="A2048" s="1" t="s">
        <v>19</v>
      </c>
      <c r="B2048" s="2">
        <v>201404</v>
      </c>
      <c r="C2048" s="2">
        <v>201903</v>
      </c>
      <c r="D2048" s="10">
        <v>-41.893194122084331</v>
      </c>
      <c r="E2048" s="10">
        <v>232.26188895026783</v>
      </c>
      <c r="F2048" s="1">
        <v>0</v>
      </c>
      <c r="G2048" s="1">
        <v>12</v>
      </c>
      <c r="H2048">
        <f t="shared" si="93"/>
        <v>2014</v>
      </c>
      <c r="I2048">
        <f t="shared" si="94"/>
        <v>2019</v>
      </c>
      <c r="J2048" s="7">
        <f t="shared" si="95"/>
        <v>190.36869482818349</v>
      </c>
      <c r="K2048" s="7"/>
    </row>
    <row r="2049" spans="1:11" x14ac:dyDescent="0.25">
      <c r="A2049" s="1" t="s">
        <v>19</v>
      </c>
      <c r="B2049" s="2">
        <v>201404</v>
      </c>
      <c r="C2049" s="2">
        <v>201904</v>
      </c>
      <c r="D2049" s="10">
        <v>-63.709645061058744</v>
      </c>
      <c r="E2049" s="10">
        <v>890.99538669316371</v>
      </c>
      <c r="F2049" s="1">
        <v>1</v>
      </c>
      <c r="G2049" s="1">
        <v>11</v>
      </c>
      <c r="H2049">
        <f t="shared" si="93"/>
        <v>2014</v>
      </c>
      <c r="I2049">
        <f t="shared" si="94"/>
        <v>2019</v>
      </c>
      <c r="J2049" s="7">
        <f t="shared" si="95"/>
        <v>827.28574163210499</v>
      </c>
      <c r="K2049" s="7"/>
    </row>
    <row r="2050" spans="1:11" x14ac:dyDescent="0.25">
      <c r="A2050" s="1" t="s">
        <v>19</v>
      </c>
      <c r="B2050" s="2">
        <v>201404</v>
      </c>
      <c r="C2050" s="2">
        <v>202001</v>
      </c>
      <c r="D2050" s="10">
        <v>542.85814774478297</v>
      </c>
      <c r="E2050" s="10">
        <v>152.97119316555148</v>
      </c>
      <c r="F2050" s="1">
        <v>0</v>
      </c>
      <c r="G2050" s="1">
        <v>10</v>
      </c>
      <c r="H2050">
        <f t="shared" si="93"/>
        <v>2014</v>
      </c>
      <c r="I2050">
        <f t="shared" si="94"/>
        <v>2020</v>
      </c>
      <c r="J2050" s="7">
        <f t="shared" si="95"/>
        <v>695.82934091033439</v>
      </c>
      <c r="K2050" s="7"/>
    </row>
    <row r="2051" spans="1:11" x14ac:dyDescent="0.25">
      <c r="A2051" s="1" t="s">
        <v>19</v>
      </c>
      <c r="B2051" s="2">
        <v>201404</v>
      </c>
      <c r="C2051" s="2">
        <v>202002</v>
      </c>
      <c r="D2051" s="10">
        <v>-14.385545865286726</v>
      </c>
      <c r="E2051" s="10">
        <v>-67.66744460029696</v>
      </c>
      <c r="F2051" s="1">
        <v>0</v>
      </c>
      <c r="G2051" s="1">
        <v>5</v>
      </c>
      <c r="H2051">
        <f t="shared" si="93"/>
        <v>2014</v>
      </c>
      <c r="I2051">
        <f t="shared" si="94"/>
        <v>2020</v>
      </c>
      <c r="J2051" s="7">
        <f t="shared" si="95"/>
        <v>-82.05299046558369</v>
      </c>
      <c r="K2051" s="7"/>
    </row>
    <row r="2052" spans="1:11" x14ac:dyDescent="0.25">
      <c r="A2052" s="1" t="s">
        <v>19</v>
      </c>
      <c r="B2052" s="2">
        <v>201404</v>
      </c>
      <c r="C2052" s="2">
        <v>202003</v>
      </c>
      <c r="D2052" s="10">
        <v>10.47970413988771</v>
      </c>
      <c r="E2052" s="10">
        <v>-70.782332604491984</v>
      </c>
      <c r="F2052" s="1">
        <v>0</v>
      </c>
      <c r="G2052" s="1">
        <v>3</v>
      </c>
      <c r="H2052">
        <f t="shared" ref="H2052:H2115" si="96">VALUE(LEFT(B2052,4))</f>
        <v>2014</v>
      </c>
      <c r="I2052">
        <f t="shared" ref="I2052:I2115" si="97">VALUE(LEFT(C2052,4))</f>
        <v>2020</v>
      </c>
      <c r="J2052" s="7">
        <f t="shared" si="95"/>
        <v>-60.302628464604275</v>
      </c>
      <c r="K2052" s="7"/>
    </row>
    <row r="2053" spans="1:11" x14ac:dyDescent="0.25">
      <c r="A2053" s="1" t="s">
        <v>19</v>
      </c>
      <c r="B2053" s="2">
        <v>201404</v>
      </c>
      <c r="C2053" s="2">
        <v>202004</v>
      </c>
      <c r="D2053" s="10">
        <v>-328.57000432130428</v>
      </c>
      <c r="E2053" s="10">
        <v>-70.848740964920367</v>
      </c>
      <c r="F2053" s="1">
        <v>0</v>
      </c>
      <c r="G2053" s="1">
        <v>3</v>
      </c>
      <c r="H2053">
        <f t="shared" si="96"/>
        <v>2014</v>
      </c>
      <c r="I2053">
        <f t="shared" si="97"/>
        <v>2020</v>
      </c>
      <c r="J2053" s="7">
        <f t="shared" ref="J2053:J2116" si="98">D2053+E2053</f>
        <v>-399.41874528622463</v>
      </c>
      <c r="K2053" s="7"/>
    </row>
    <row r="2054" spans="1:11" x14ac:dyDescent="0.25">
      <c r="A2054" s="1" t="s">
        <v>19</v>
      </c>
      <c r="B2054" s="2">
        <v>201404</v>
      </c>
      <c r="C2054" s="2">
        <v>202101</v>
      </c>
      <c r="D2054" s="10">
        <v>0</v>
      </c>
      <c r="E2054" s="10">
        <v>-71.739795266474587</v>
      </c>
      <c r="F2054" s="1">
        <v>0</v>
      </c>
      <c r="G2054" s="1">
        <v>3</v>
      </c>
      <c r="H2054">
        <f t="shared" si="96"/>
        <v>2014</v>
      </c>
      <c r="I2054">
        <f t="shared" si="97"/>
        <v>2021</v>
      </c>
      <c r="J2054" s="7">
        <f t="shared" si="98"/>
        <v>-71.739795266474587</v>
      </c>
      <c r="K2054" s="7"/>
    </row>
    <row r="2055" spans="1:11" x14ac:dyDescent="0.25">
      <c r="A2055" s="1" t="s">
        <v>19</v>
      </c>
      <c r="B2055" s="2">
        <v>201404</v>
      </c>
      <c r="C2055" s="2">
        <v>202102</v>
      </c>
      <c r="D2055" s="10">
        <v>0</v>
      </c>
      <c r="E2055" s="10">
        <v>-71.813515868959087</v>
      </c>
      <c r="F2055" s="1">
        <v>0</v>
      </c>
      <c r="G2055" s="1">
        <v>3</v>
      </c>
      <c r="H2055">
        <f t="shared" si="96"/>
        <v>2014</v>
      </c>
      <c r="I2055">
        <f t="shared" si="97"/>
        <v>2021</v>
      </c>
      <c r="J2055" s="7">
        <f t="shared" si="98"/>
        <v>-71.813515868959087</v>
      </c>
      <c r="K2055" s="7"/>
    </row>
    <row r="2056" spans="1:11" x14ac:dyDescent="0.25">
      <c r="A2056" s="1" t="s">
        <v>19</v>
      </c>
      <c r="B2056" s="2">
        <v>201404</v>
      </c>
      <c r="C2056" s="2">
        <v>202103</v>
      </c>
      <c r="D2056" s="10">
        <v>0</v>
      </c>
      <c r="E2056" s="10">
        <v>-71.133216547864677</v>
      </c>
      <c r="F2056" s="1">
        <v>0</v>
      </c>
      <c r="G2056" s="1">
        <v>3</v>
      </c>
      <c r="H2056">
        <f t="shared" si="96"/>
        <v>2014</v>
      </c>
      <c r="I2056">
        <f t="shared" si="97"/>
        <v>2021</v>
      </c>
      <c r="J2056" s="7">
        <f t="shared" si="98"/>
        <v>-71.133216547864677</v>
      </c>
      <c r="K2056" s="7"/>
    </row>
    <row r="2057" spans="1:11" x14ac:dyDescent="0.25">
      <c r="A2057" s="1" t="s">
        <v>19</v>
      </c>
      <c r="B2057" s="2">
        <v>201404</v>
      </c>
      <c r="C2057" s="2">
        <v>202104</v>
      </c>
      <c r="D2057" s="10">
        <v>0</v>
      </c>
      <c r="E2057" s="10">
        <v>-71.261034639907251</v>
      </c>
      <c r="F2057" s="1">
        <v>0</v>
      </c>
      <c r="G2057" s="1">
        <v>3</v>
      </c>
      <c r="H2057">
        <f t="shared" si="96"/>
        <v>2014</v>
      </c>
      <c r="I2057">
        <f t="shared" si="97"/>
        <v>2021</v>
      </c>
      <c r="J2057" s="7">
        <f t="shared" si="98"/>
        <v>-71.261034639907251</v>
      </c>
      <c r="K2057" s="7"/>
    </row>
    <row r="2058" spans="1:11" x14ac:dyDescent="0.25">
      <c r="A2058" s="1" t="s">
        <v>19</v>
      </c>
      <c r="B2058" s="2">
        <v>201501</v>
      </c>
      <c r="C2058" s="2">
        <v>201501</v>
      </c>
      <c r="D2058" s="10">
        <v>607285.68080837303</v>
      </c>
      <c r="E2058" s="10">
        <v>466100.40190423542</v>
      </c>
      <c r="F2058" s="1">
        <v>13528</v>
      </c>
      <c r="G2058" s="1">
        <v>4752</v>
      </c>
      <c r="H2058">
        <f t="shared" si="96"/>
        <v>2015</v>
      </c>
      <c r="I2058">
        <f t="shared" si="97"/>
        <v>2015</v>
      </c>
      <c r="J2058" s="7">
        <f t="shared" si="98"/>
        <v>1073386.0827126084</v>
      </c>
      <c r="K2058" s="7"/>
    </row>
    <row r="2059" spans="1:11" x14ac:dyDescent="0.25">
      <c r="A2059" s="1" t="s">
        <v>19</v>
      </c>
      <c r="B2059" s="2">
        <v>201501</v>
      </c>
      <c r="C2059" s="2">
        <v>201502</v>
      </c>
      <c r="D2059" s="10">
        <v>528992.95545061177</v>
      </c>
      <c r="E2059" s="10">
        <v>193598.68385516151</v>
      </c>
      <c r="F2059" s="1">
        <v>3655</v>
      </c>
      <c r="G2059" s="1">
        <v>2527</v>
      </c>
      <c r="H2059">
        <f t="shared" si="96"/>
        <v>2015</v>
      </c>
      <c r="I2059">
        <f t="shared" si="97"/>
        <v>2015</v>
      </c>
      <c r="J2059" s="7">
        <f t="shared" si="98"/>
        <v>722591.63930577331</v>
      </c>
      <c r="K2059" s="7"/>
    </row>
    <row r="2060" spans="1:11" x14ac:dyDescent="0.25">
      <c r="A2060" s="1" t="s">
        <v>19</v>
      </c>
      <c r="B2060" s="2">
        <v>201501</v>
      </c>
      <c r="C2060" s="2">
        <v>201503</v>
      </c>
      <c r="D2060" s="10">
        <v>191662.71927394142</v>
      </c>
      <c r="E2060" s="10">
        <v>136030.72059024169</v>
      </c>
      <c r="F2060" s="1">
        <v>477</v>
      </c>
      <c r="G2060" s="1">
        <v>1890</v>
      </c>
      <c r="H2060">
        <f t="shared" si="96"/>
        <v>2015</v>
      </c>
      <c r="I2060">
        <f t="shared" si="97"/>
        <v>2015</v>
      </c>
      <c r="J2060" s="7">
        <f t="shared" si="98"/>
        <v>327693.43986418308</v>
      </c>
      <c r="K2060" s="7"/>
    </row>
    <row r="2061" spans="1:11" x14ac:dyDescent="0.25">
      <c r="A2061" s="1" t="s">
        <v>19</v>
      </c>
      <c r="B2061" s="2">
        <v>201501</v>
      </c>
      <c r="C2061" s="2">
        <v>201504</v>
      </c>
      <c r="D2061" s="10">
        <v>185285.43518773399</v>
      </c>
      <c r="E2061" s="10">
        <v>111992.38432045133</v>
      </c>
      <c r="F2061" s="1">
        <v>180</v>
      </c>
      <c r="G2061" s="1">
        <v>1555</v>
      </c>
      <c r="H2061">
        <f t="shared" si="96"/>
        <v>2015</v>
      </c>
      <c r="I2061">
        <f t="shared" si="97"/>
        <v>2015</v>
      </c>
      <c r="J2061" s="7">
        <f t="shared" si="98"/>
        <v>297277.81950818532</v>
      </c>
      <c r="K2061" s="7"/>
    </row>
    <row r="2062" spans="1:11" x14ac:dyDescent="0.25">
      <c r="A2062" s="1" t="s">
        <v>19</v>
      </c>
      <c r="B2062" s="2">
        <v>201501</v>
      </c>
      <c r="C2062" s="2">
        <v>201601</v>
      </c>
      <c r="D2062" s="10">
        <v>97527.906589418766</v>
      </c>
      <c r="E2062" s="10">
        <v>87255.651880866848</v>
      </c>
      <c r="F2062" s="1">
        <v>178</v>
      </c>
      <c r="G2062" s="1">
        <v>1268</v>
      </c>
      <c r="H2062">
        <f t="shared" si="96"/>
        <v>2015</v>
      </c>
      <c r="I2062">
        <f t="shared" si="97"/>
        <v>2016</v>
      </c>
      <c r="J2062" s="7">
        <f t="shared" si="98"/>
        <v>184783.55847028561</v>
      </c>
      <c r="K2062" s="7"/>
    </row>
    <row r="2063" spans="1:11" x14ac:dyDescent="0.25">
      <c r="A2063" s="1" t="s">
        <v>19</v>
      </c>
      <c r="B2063" s="2">
        <v>201501</v>
      </c>
      <c r="C2063" s="2">
        <v>201602</v>
      </c>
      <c r="D2063" s="10">
        <v>22646.68351573532</v>
      </c>
      <c r="E2063" s="10">
        <v>74034.308025719118</v>
      </c>
      <c r="F2063" s="1">
        <v>57</v>
      </c>
      <c r="G2063" s="1">
        <v>1089</v>
      </c>
      <c r="H2063">
        <f t="shared" si="96"/>
        <v>2015</v>
      </c>
      <c r="I2063">
        <f t="shared" si="97"/>
        <v>2016</v>
      </c>
      <c r="J2063" s="7">
        <f t="shared" si="98"/>
        <v>96680.991541454438</v>
      </c>
      <c r="K2063" s="7"/>
    </row>
    <row r="2064" spans="1:11" x14ac:dyDescent="0.25">
      <c r="A2064" s="1" t="s">
        <v>19</v>
      </c>
      <c r="B2064" s="2">
        <v>201501</v>
      </c>
      <c r="C2064" s="2">
        <v>201603</v>
      </c>
      <c r="D2064" s="10">
        <v>-711.57792152115974</v>
      </c>
      <c r="E2064" s="10">
        <v>66540.348921345751</v>
      </c>
      <c r="F2064" s="1">
        <v>33</v>
      </c>
      <c r="G2064" s="1">
        <v>946</v>
      </c>
      <c r="H2064">
        <f t="shared" si="96"/>
        <v>2015</v>
      </c>
      <c r="I2064">
        <f t="shared" si="97"/>
        <v>2016</v>
      </c>
      <c r="J2064" s="7">
        <f t="shared" si="98"/>
        <v>65828.770999824585</v>
      </c>
      <c r="K2064" s="7"/>
    </row>
    <row r="2065" spans="1:11" x14ac:dyDescent="0.25">
      <c r="A2065" s="1" t="s">
        <v>19</v>
      </c>
      <c r="B2065" s="2">
        <v>201501</v>
      </c>
      <c r="C2065" s="2">
        <v>201604</v>
      </c>
      <c r="D2065" s="10">
        <v>4744.9163838804398</v>
      </c>
      <c r="E2065" s="10">
        <v>56022.100048344721</v>
      </c>
      <c r="F2065" s="1">
        <v>22</v>
      </c>
      <c r="G2065" s="1">
        <v>754</v>
      </c>
      <c r="H2065">
        <f t="shared" si="96"/>
        <v>2015</v>
      </c>
      <c r="I2065">
        <f t="shared" si="97"/>
        <v>2016</v>
      </c>
      <c r="J2065" s="7">
        <f t="shared" si="98"/>
        <v>60767.016432225158</v>
      </c>
      <c r="K2065" s="7"/>
    </row>
    <row r="2066" spans="1:11" x14ac:dyDescent="0.25">
      <c r="A2066" s="1" t="s">
        <v>19</v>
      </c>
      <c r="B2066" s="2">
        <v>201501</v>
      </c>
      <c r="C2066" s="2">
        <v>201701</v>
      </c>
      <c r="D2066" s="10">
        <v>2851.6898037627861</v>
      </c>
      <c r="E2066" s="10">
        <v>40935.319995832469</v>
      </c>
      <c r="F2066" s="1">
        <v>16</v>
      </c>
      <c r="G2066" s="1">
        <v>606</v>
      </c>
      <c r="H2066">
        <f t="shared" si="96"/>
        <v>2015</v>
      </c>
      <c r="I2066">
        <f t="shared" si="97"/>
        <v>2017</v>
      </c>
      <c r="J2066" s="7">
        <f t="shared" si="98"/>
        <v>43787.009799595253</v>
      </c>
      <c r="K2066" s="7"/>
    </row>
    <row r="2067" spans="1:11" x14ac:dyDescent="0.25">
      <c r="A2067" s="1" t="s">
        <v>19</v>
      </c>
      <c r="B2067" s="2">
        <v>201501</v>
      </c>
      <c r="C2067" s="2">
        <v>201702</v>
      </c>
      <c r="D2067" s="10">
        <v>494.38973913660908</v>
      </c>
      <c r="E2067" s="10">
        <v>39159.892726575934</v>
      </c>
      <c r="F2067" s="1">
        <v>7</v>
      </c>
      <c r="G2067" s="1">
        <v>593</v>
      </c>
      <c r="H2067">
        <f t="shared" si="96"/>
        <v>2015</v>
      </c>
      <c r="I2067">
        <f t="shared" si="97"/>
        <v>2017</v>
      </c>
      <c r="J2067" s="7">
        <f t="shared" si="98"/>
        <v>39654.282465712546</v>
      </c>
      <c r="K2067" s="7"/>
    </row>
    <row r="2068" spans="1:11" x14ac:dyDescent="0.25">
      <c r="A2068" s="1" t="s">
        <v>19</v>
      </c>
      <c r="B2068" s="2">
        <v>201501</v>
      </c>
      <c r="C2068" s="2">
        <v>201703</v>
      </c>
      <c r="D2068" s="10">
        <v>1097.2247819668419</v>
      </c>
      <c r="E2068" s="10">
        <v>35980.889937593223</v>
      </c>
      <c r="F2068" s="1">
        <v>11</v>
      </c>
      <c r="G2068" s="1">
        <v>546</v>
      </c>
      <c r="H2068">
        <f t="shared" si="96"/>
        <v>2015</v>
      </c>
      <c r="I2068">
        <f t="shared" si="97"/>
        <v>2017</v>
      </c>
      <c r="J2068" s="7">
        <f t="shared" si="98"/>
        <v>37078.114719560064</v>
      </c>
      <c r="K2068" s="7"/>
    </row>
    <row r="2069" spans="1:11" x14ac:dyDescent="0.25">
      <c r="A2069" s="1" t="s">
        <v>19</v>
      </c>
      <c r="B2069" s="2">
        <v>201501</v>
      </c>
      <c r="C2069" s="2">
        <v>201704</v>
      </c>
      <c r="D2069" s="10">
        <v>1582.8228871247059</v>
      </c>
      <c r="E2069" s="10">
        <v>32575.970214339144</v>
      </c>
      <c r="F2069" s="1">
        <v>7</v>
      </c>
      <c r="G2069" s="1">
        <v>442</v>
      </c>
      <c r="H2069">
        <f t="shared" si="96"/>
        <v>2015</v>
      </c>
      <c r="I2069">
        <f t="shared" si="97"/>
        <v>2017</v>
      </c>
      <c r="J2069" s="7">
        <f t="shared" si="98"/>
        <v>34158.793101463853</v>
      </c>
      <c r="K2069" s="7"/>
    </row>
    <row r="2070" spans="1:11" x14ac:dyDescent="0.25">
      <c r="A2070" s="1" t="s">
        <v>19</v>
      </c>
      <c r="B2070" s="2">
        <v>201501</v>
      </c>
      <c r="C2070" s="2">
        <v>201801</v>
      </c>
      <c r="D2070" s="10">
        <v>2067.2128121917676</v>
      </c>
      <c r="E2070" s="10">
        <v>26646.614935268219</v>
      </c>
      <c r="F2070" s="1">
        <v>3</v>
      </c>
      <c r="G2070" s="1">
        <v>369</v>
      </c>
      <c r="H2070">
        <f t="shared" si="96"/>
        <v>2015</v>
      </c>
      <c r="I2070">
        <f t="shared" si="97"/>
        <v>2018</v>
      </c>
      <c r="J2070" s="7">
        <f t="shared" si="98"/>
        <v>28713.827747459985</v>
      </c>
      <c r="K2070" s="7"/>
    </row>
    <row r="2071" spans="1:11" x14ac:dyDescent="0.25">
      <c r="A2071" s="1" t="s">
        <v>19</v>
      </c>
      <c r="B2071" s="2">
        <v>201501</v>
      </c>
      <c r="C2071" s="2">
        <v>201802</v>
      </c>
      <c r="D2071" s="10">
        <v>55.691968695486182</v>
      </c>
      <c r="E2071" s="10">
        <v>8970.6123587784987</v>
      </c>
      <c r="F2071" s="1">
        <v>1</v>
      </c>
      <c r="G2071" s="1">
        <v>140</v>
      </c>
      <c r="H2071">
        <f t="shared" si="96"/>
        <v>2015</v>
      </c>
      <c r="I2071">
        <f t="shared" si="97"/>
        <v>2018</v>
      </c>
      <c r="J2071" s="7">
        <f t="shared" si="98"/>
        <v>9026.3043274739848</v>
      </c>
      <c r="K2071" s="7"/>
    </row>
    <row r="2072" spans="1:11" x14ac:dyDescent="0.25">
      <c r="A2072" s="1" t="s">
        <v>19</v>
      </c>
      <c r="B2072" s="2">
        <v>201501</v>
      </c>
      <c r="C2072" s="2">
        <v>201803</v>
      </c>
      <c r="D2072" s="10">
        <v>475.13160441481415</v>
      </c>
      <c r="E2072" s="10">
        <v>8678.1100764252915</v>
      </c>
      <c r="F2072" s="1">
        <v>1</v>
      </c>
      <c r="G2072" s="1">
        <v>127</v>
      </c>
      <c r="H2072">
        <f t="shared" si="96"/>
        <v>2015</v>
      </c>
      <c r="I2072">
        <f t="shared" si="97"/>
        <v>2018</v>
      </c>
      <c r="J2072" s="7">
        <f t="shared" si="98"/>
        <v>9153.2416808401049</v>
      </c>
      <c r="K2072" s="7"/>
    </row>
    <row r="2073" spans="1:11" x14ac:dyDescent="0.25">
      <c r="A2073" s="1" t="s">
        <v>19</v>
      </c>
      <c r="B2073" s="2">
        <v>201501</v>
      </c>
      <c r="C2073" s="2">
        <v>201804</v>
      </c>
      <c r="D2073" s="10">
        <v>50.759944972002103</v>
      </c>
      <c r="E2073" s="10">
        <v>8342.3148699948233</v>
      </c>
      <c r="F2073" s="1">
        <v>0</v>
      </c>
      <c r="G2073" s="1">
        <v>127</v>
      </c>
      <c r="H2073">
        <f t="shared" si="96"/>
        <v>2015</v>
      </c>
      <c r="I2073">
        <f t="shared" si="97"/>
        <v>2018</v>
      </c>
      <c r="J2073" s="7">
        <f t="shared" si="98"/>
        <v>8393.0748149668252</v>
      </c>
      <c r="K2073" s="7"/>
    </row>
    <row r="2074" spans="1:11" x14ac:dyDescent="0.25">
      <c r="A2074" s="1" t="s">
        <v>19</v>
      </c>
      <c r="B2074" s="2">
        <v>201501</v>
      </c>
      <c r="C2074" s="2">
        <v>201901</v>
      </c>
      <c r="D2074" s="10">
        <v>-429.17620563328421</v>
      </c>
      <c r="E2074" s="10">
        <v>5412.6560793055041</v>
      </c>
      <c r="F2074" s="1">
        <v>0</v>
      </c>
      <c r="G2074" s="1">
        <v>98</v>
      </c>
      <c r="H2074">
        <f t="shared" si="96"/>
        <v>2015</v>
      </c>
      <c r="I2074">
        <f t="shared" si="97"/>
        <v>2019</v>
      </c>
      <c r="J2074" s="7">
        <f t="shared" si="98"/>
        <v>4983.4798736722196</v>
      </c>
      <c r="K2074" s="7"/>
    </row>
    <row r="2075" spans="1:11" x14ac:dyDescent="0.25">
      <c r="A2075" s="1" t="s">
        <v>19</v>
      </c>
      <c r="B2075" s="2">
        <v>201501</v>
      </c>
      <c r="C2075" s="2">
        <v>201902</v>
      </c>
      <c r="D2075" s="10">
        <v>105.14628270448934</v>
      </c>
      <c r="E2075" s="10">
        <v>1607.7915529311938</v>
      </c>
      <c r="F2075" s="1">
        <v>0</v>
      </c>
      <c r="G2075" s="1">
        <v>20</v>
      </c>
      <c r="H2075">
        <f t="shared" si="96"/>
        <v>2015</v>
      </c>
      <c r="I2075">
        <f t="shared" si="97"/>
        <v>2019</v>
      </c>
      <c r="J2075" s="7">
        <f t="shared" si="98"/>
        <v>1712.9378356356831</v>
      </c>
      <c r="K2075" s="7"/>
    </row>
    <row r="2076" spans="1:11" x14ac:dyDescent="0.25">
      <c r="A2076" s="1" t="s">
        <v>19</v>
      </c>
      <c r="B2076" s="2">
        <v>201501</v>
      </c>
      <c r="C2076" s="2">
        <v>201903</v>
      </c>
      <c r="D2076" s="10">
        <v>189.14530447330972</v>
      </c>
      <c r="E2076" s="10">
        <v>1627.7289290805275</v>
      </c>
      <c r="F2076" s="1">
        <v>1</v>
      </c>
      <c r="G2076" s="1">
        <v>19</v>
      </c>
      <c r="H2076">
        <f t="shared" si="96"/>
        <v>2015</v>
      </c>
      <c r="I2076">
        <f t="shared" si="97"/>
        <v>2019</v>
      </c>
      <c r="J2076" s="7">
        <f t="shared" si="98"/>
        <v>1816.8742335538373</v>
      </c>
      <c r="K2076" s="7"/>
    </row>
    <row r="2077" spans="1:11" x14ac:dyDescent="0.25">
      <c r="A2077" s="1" t="s">
        <v>19</v>
      </c>
      <c r="B2077" s="2">
        <v>201501</v>
      </c>
      <c r="C2077" s="2">
        <v>201904</v>
      </c>
      <c r="D2077" s="10">
        <v>-57.009575809877305</v>
      </c>
      <c r="E2077" s="10">
        <v>229.12472977539903</v>
      </c>
      <c r="F2077" s="1">
        <v>0</v>
      </c>
      <c r="G2077" s="1">
        <v>12</v>
      </c>
      <c r="H2077">
        <f t="shared" si="96"/>
        <v>2015</v>
      </c>
      <c r="I2077">
        <f t="shared" si="97"/>
        <v>2019</v>
      </c>
      <c r="J2077" s="7">
        <f t="shared" si="98"/>
        <v>172.11515396552173</v>
      </c>
      <c r="K2077" s="7"/>
    </row>
    <row r="2078" spans="1:11" x14ac:dyDescent="0.25">
      <c r="A2078" s="1" t="s">
        <v>19</v>
      </c>
      <c r="B2078" s="2">
        <v>201501</v>
      </c>
      <c r="C2078" s="2">
        <v>202001</v>
      </c>
      <c r="D2078" s="10">
        <v>0.80495454542070688</v>
      </c>
      <c r="E2078" s="10">
        <v>78.352269677091584</v>
      </c>
      <c r="F2078" s="1">
        <v>0</v>
      </c>
      <c r="G2078" s="1">
        <v>9</v>
      </c>
      <c r="H2078">
        <f t="shared" si="96"/>
        <v>2015</v>
      </c>
      <c r="I2078">
        <f t="shared" si="97"/>
        <v>2020</v>
      </c>
      <c r="J2078" s="7">
        <f t="shared" si="98"/>
        <v>79.157224222512298</v>
      </c>
      <c r="K2078" s="7"/>
    </row>
    <row r="2079" spans="1:11" x14ac:dyDescent="0.25">
      <c r="A2079" s="1" t="s">
        <v>19</v>
      </c>
      <c r="B2079" s="2">
        <v>201501</v>
      </c>
      <c r="C2079" s="2">
        <v>202002</v>
      </c>
      <c r="D2079" s="10">
        <v>-218.83845522315161</v>
      </c>
      <c r="E2079" s="10">
        <v>-446.80137477300877</v>
      </c>
      <c r="F2079" s="1">
        <v>0</v>
      </c>
      <c r="G2079" s="1">
        <v>3</v>
      </c>
      <c r="H2079">
        <f t="shared" si="96"/>
        <v>2015</v>
      </c>
      <c r="I2079">
        <f t="shared" si="97"/>
        <v>2020</v>
      </c>
      <c r="J2079" s="7">
        <f t="shared" si="98"/>
        <v>-665.63982999616042</v>
      </c>
      <c r="K2079" s="7"/>
    </row>
    <row r="2080" spans="1:11" x14ac:dyDescent="0.25">
      <c r="A2080" s="1" t="s">
        <v>19</v>
      </c>
      <c r="B2080" s="2">
        <v>201501</v>
      </c>
      <c r="C2080" s="2">
        <v>202003</v>
      </c>
      <c r="D2080" s="10">
        <v>30.919438235877791</v>
      </c>
      <c r="E2080" s="10">
        <v>-463.78831593300345</v>
      </c>
      <c r="F2080" s="1">
        <v>0</v>
      </c>
      <c r="G2080" s="1">
        <v>3</v>
      </c>
      <c r="H2080">
        <f t="shared" si="96"/>
        <v>2015</v>
      </c>
      <c r="I2080">
        <f t="shared" si="97"/>
        <v>2020</v>
      </c>
      <c r="J2080" s="7">
        <f t="shared" si="98"/>
        <v>-432.86887769712564</v>
      </c>
      <c r="K2080" s="7"/>
    </row>
    <row r="2081" spans="1:11" x14ac:dyDescent="0.25">
      <c r="A2081" s="1" t="s">
        <v>19</v>
      </c>
      <c r="B2081" s="2">
        <v>201501</v>
      </c>
      <c r="C2081" s="2">
        <v>202004</v>
      </c>
      <c r="D2081" s="10">
        <v>-3.5076301506180054</v>
      </c>
      <c r="E2081" s="10">
        <v>-463.68828127082492</v>
      </c>
      <c r="F2081" s="1">
        <v>0</v>
      </c>
      <c r="G2081" s="1">
        <v>3</v>
      </c>
      <c r="H2081">
        <f t="shared" si="96"/>
        <v>2015</v>
      </c>
      <c r="I2081">
        <f t="shared" si="97"/>
        <v>2020</v>
      </c>
      <c r="J2081" s="7">
        <f t="shared" si="98"/>
        <v>-467.19591142144293</v>
      </c>
      <c r="K2081" s="7"/>
    </row>
    <row r="2082" spans="1:11" x14ac:dyDescent="0.25">
      <c r="A2082" s="1" t="s">
        <v>19</v>
      </c>
      <c r="B2082" s="2">
        <v>201501</v>
      </c>
      <c r="C2082" s="2">
        <v>202101</v>
      </c>
      <c r="D2082" s="10">
        <v>-211.59560361136604</v>
      </c>
      <c r="E2082" s="10">
        <v>-458.11964262713906</v>
      </c>
      <c r="F2082" s="1">
        <v>0</v>
      </c>
      <c r="G2082" s="1">
        <v>2</v>
      </c>
      <c r="H2082">
        <f t="shared" si="96"/>
        <v>2015</v>
      </c>
      <c r="I2082">
        <f t="shared" si="97"/>
        <v>2021</v>
      </c>
      <c r="J2082" s="7">
        <f t="shared" si="98"/>
        <v>-669.71524623850507</v>
      </c>
      <c r="K2082" s="7"/>
    </row>
    <row r="2083" spans="1:11" x14ac:dyDescent="0.25">
      <c r="A2083" s="1" t="s">
        <v>19</v>
      </c>
      <c r="B2083" s="2">
        <v>201501</v>
      </c>
      <c r="C2083" s="2">
        <v>202102</v>
      </c>
      <c r="D2083" s="10">
        <v>25.130598047572427</v>
      </c>
      <c r="E2083" s="10">
        <v>-464.04256431220915</v>
      </c>
      <c r="F2083" s="1">
        <v>0</v>
      </c>
      <c r="G2083" s="1">
        <v>2</v>
      </c>
      <c r="H2083">
        <f t="shared" si="96"/>
        <v>2015</v>
      </c>
      <c r="I2083">
        <f t="shared" si="97"/>
        <v>2021</v>
      </c>
      <c r="J2083" s="7">
        <f t="shared" si="98"/>
        <v>-438.9119662646367</v>
      </c>
      <c r="K2083" s="7"/>
    </row>
    <row r="2084" spans="1:11" x14ac:dyDescent="0.25">
      <c r="A2084" s="1" t="s">
        <v>19</v>
      </c>
      <c r="B2084" s="2">
        <v>201501</v>
      </c>
      <c r="C2084" s="2">
        <v>202103</v>
      </c>
      <c r="D2084" s="10">
        <v>-4.8745483832090262</v>
      </c>
      <c r="E2084" s="10">
        <v>-465.06744851727831</v>
      </c>
      <c r="F2084" s="1">
        <v>0</v>
      </c>
      <c r="G2084" s="1">
        <v>2</v>
      </c>
      <c r="H2084">
        <f t="shared" si="96"/>
        <v>2015</v>
      </c>
      <c r="I2084">
        <f t="shared" si="97"/>
        <v>2021</v>
      </c>
      <c r="J2084" s="7">
        <f t="shared" si="98"/>
        <v>-469.94199690048731</v>
      </c>
      <c r="K2084" s="7"/>
    </row>
    <row r="2085" spans="1:11" x14ac:dyDescent="0.25">
      <c r="A2085" s="1" t="s">
        <v>19</v>
      </c>
      <c r="B2085" s="2">
        <v>201501</v>
      </c>
      <c r="C2085" s="2">
        <v>202104</v>
      </c>
      <c r="D2085" s="10">
        <v>-21.892884609106911</v>
      </c>
      <c r="E2085" s="10">
        <v>40.394407845065956</v>
      </c>
      <c r="F2085" s="1">
        <v>0</v>
      </c>
      <c r="G2085" s="1">
        <v>2</v>
      </c>
      <c r="H2085">
        <f t="shared" si="96"/>
        <v>2015</v>
      </c>
      <c r="I2085">
        <f t="shared" si="97"/>
        <v>2021</v>
      </c>
      <c r="J2085" s="7">
        <f t="shared" si="98"/>
        <v>18.501523235959045</v>
      </c>
      <c r="K2085" s="7"/>
    </row>
    <row r="2086" spans="1:11" x14ac:dyDescent="0.25">
      <c r="A2086" s="1" t="s">
        <v>19</v>
      </c>
      <c r="B2086" s="2">
        <v>201502</v>
      </c>
      <c r="C2086" s="2">
        <v>201502</v>
      </c>
      <c r="D2086" s="10">
        <v>546215.3192612424</v>
      </c>
      <c r="E2086" s="10">
        <v>606947.68629093154</v>
      </c>
      <c r="F2086" s="1">
        <v>14130</v>
      </c>
      <c r="G2086" s="1">
        <v>5743</v>
      </c>
      <c r="H2086">
        <f t="shared" si="96"/>
        <v>2015</v>
      </c>
      <c r="I2086">
        <f t="shared" si="97"/>
        <v>2015</v>
      </c>
      <c r="J2086" s="7">
        <f t="shared" si="98"/>
        <v>1153163.0055521741</v>
      </c>
      <c r="K2086" s="7"/>
    </row>
    <row r="2087" spans="1:11" x14ac:dyDescent="0.25">
      <c r="A2087" s="1" t="s">
        <v>19</v>
      </c>
      <c r="B2087" s="2">
        <v>201502</v>
      </c>
      <c r="C2087" s="2">
        <v>201503</v>
      </c>
      <c r="D2087" s="10">
        <v>548674.68139049306</v>
      </c>
      <c r="E2087" s="10">
        <v>241452.15645979642</v>
      </c>
      <c r="F2087" s="1">
        <v>3922</v>
      </c>
      <c r="G2087" s="1">
        <v>2936</v>
      </c>
      <c r="H2087">
        <f t="shared" si="96"/>
        <v>2015</v>
      </c>
      <c r="I2087">
        <f t="shared" si="97"/>
        <v>2015</v>
      </c>
      <c r="J2087" s="7">
        <f t="shared" si="98"/>
        <v>790126.83785028942</v>
      </c>
      <c r="K2087" s="7"/>
    </row>
    <row r="2088" spans="1:11" x14ac:dyDescent="0.25">
      <c r="A2088" s="1" t="s">
        <v>19</v>
      </c>
      <c r="B2088" s="2">
        <v>201502</v>
      </c>
      <c r="C2088" s="2">
        <v>201504</v>
      </c>
      <c r="D2088" s="10">
        <v>98065.566505563154</v>
      </c>
      <c r="E2088" s="10">
        <v>165670.99082918317</v>
      </c>
      <c r="F2088" s="1">
        <v>537</v>
      </c>
      <c r="G2088" s="1">
        <v>1990</v>
      </c>
      <c r="H2088">
        <f t="shared" si="96"/>
        <v>2015</v>
      </c>
      <c r="I2088">
        <f t="shared" si="97"/>
        <v>2015</v>
      </c>
      <c r="J2088" s="7">
        <f t="shared" si="98"/>
        <v>263736.55733474635</v>
      </c>
      <c r="K2088" s="7"/>
    </row>
    <row r="2089" spans="1:11" x14ac:dyDescent="0.25">
      <c r="A2089" s="1" t="s">
        <v>19</v>
      </c>
      <c r="B2089" s="2">
        <v>201502</v>
      </c>
      <c r="C2089" s="2">
        <v>201601</v>
      </c>
      <c r="D2089" s="10">
        <v>22521.099827356476</v>
      </c>
      <c r="E2089" s="10">
        <v>122039.02816969178</v>
      </c>
      <c r="F2089" s="1">
        <v>189</v>
      </c>
      <c r="G2089" s="1">
        <v>1651</v>
      </c>
      <c r="H2089">
        <f t="shared" si="96"/>
        <v>2015</v>
      </c>
      <c r="I2089">
        <f t="shared" si="97"/>
        <v>2016</v>
      </c>
      <c r="J2089" s="7">
        <f t="shared" si="98"/>
        <v>144560.12799704826</v>
      </c>
      <c r="K2089" s="7"/>
    </row>
    <row r="2090" spans="1:11" x14ac:dyDescent="0.25">
      <c r="A2090" s="1" t="s">
        <v>19</v>
      </c>
      <c r="B2090" s="2">
        <v>201502</v>
      </c>
      <c r="C2090" s="2">
        <v>201602</v>
      </c>
      <c r="D2090" s="10">
        <v>12790.091837485837</v>
      </c>
      <c r="E2090" s="10">
        <v>105508.89420890227</v>
      </c>
      <c r="F2090" s="1">
        <v>95</v>
      </c>
      <c r="G2090" s="1">
        <v>1395</v>
      </c>
      <c r="H2090">
        <f t="shared" si="96"/>
        <v>2015</v>
      </c>
      <c r="I2090">
        <f t="shared" si="97"/>
        <v>2016</v>
      </c>
      <c r="J2090" s="7">
        <f t="shared" si="98"/>
        <v>118298.98604638811</v>
      </c>
      <c r="K2090" s="7"/>
    </row>
    <row r="2091" spans="1:11" x14ac:dyDescent="0.25">
      <c r="A2091" s="1" t="s">
        <v>19</v>
      </c>
      <c r="B2091" s="2">
        <v>201502</v>
      </c>
      <c r="C2091" s="2">
        <v>201603</v>
      </c>
      <c r="D2091" s="10">
        <v>2615.121760479602</v>
      </c>
      <c r="E2091" s="10">
        <v>91202.923910101206</v>
      </c>
      <c r="F2091" s="1">
        <v>66</v>
      </c>
      <c r="G2091" s="1">
        <v>1248</v>
      </c>
      <c r="H2091">
        <f t="shared" si="96"/>
        <v>2015</v>
      </c>
      <c r="I2091">
        <f t="shared" si="97"/>
        <v>2016</v>
      </c>
      <c r="J2091" s="7">
        <f t="shared" si="98"/>
        <v>93818.045670580803</v>
      </c>
      <c r="K2091" s="7"/>
    </row>
    <row r="2092" spans="1:11" x14ac:dyDescent="0.25">
      <c r="A2092" s="1" t="s">
        <v>19</v>
      </c>
      <c r="B2092" s="2">
        <v>201502</v>
      </c>
      <c r="C2092" s="2">
        <v>201604</v>
      </c>
      <c r="D2092" s="10">
        <v>3355.4281194298928</v>
      </c>
      <c r="E2092" s="10">
        <v>76031.194244070633</v>
      </c>
      <c r="F2092" s="1">
        <v>32</v>
      </c>
      <c r="G2092" s="1">
        <v>951</v>
      </c>
      <c r="H2092">
        <f t="shared" si="96"/>
        <v>2015</v>
      </c>
      <c r="I2092">
        <f t="shared" si="97"/>
        <v>2016</v>
      </c>
      <c r="J2092" s="7">
        <f t="shared" si="98"/>
        <v>79386.62236350053</v>
      </c>
      <c r="K2092" s="7"/>
    </row>
    <row r="2093" spans="1:11" x14ac:dyDescent="0.25">
      <c r="A2093" s="1" t="s">
        <v>19</v>
      </c>
      <c r="B2093" s="2">
        <v>201502</v>
      </c>
      <c r="C2093" s="2">
        <v>201701</v>
      </c>
      <c r="D2093" s="10">
        <v>3067.1209131058927</v>
      </c>
      <c r="E2093" s="10">
        <v>60032.261154580781</v>
      </c>
      <c r="F2093" s="1">
        <v>23</v>
      </c>
      <c r="G2093" s="1">
        <v>821</v>
      </c>
      <c r="H2093">
        <f t="shared" si="96"/>
        <v>2015</v>
      </c>
      <c r="I2093">
        <f t="shared" si="97"/>
        <v>2017</v>
      </c>
      <c r="J2093" s="7">
        <f t="shared" si="98"/>
        <v>63099.382067686674</v>
      </c>
      <c r="K2093" s="7"/>
    </row>
    <row r="2094" spans="1:11" x14ac:dyDescent="0.25">
      <c r="A2094" s="1" t="s">
        <v>19</v>
      </c>
      <c r="B2094" s="2">
        <v>201502</v>
      </c>
      <c r="C2094" s="2">
        <v>201702</v>
      </c>
      <c r="D2094" s="10">
        <v>2541.0137887270539</v>
      </c>
      <c r="E2094" s="10">
        <v>55765.584517722375</v>
      </c>
      <c r="F2094" s="1">
        <v>15</v>
      </c>
      <c r="G2094" s="1">
        <v>750</v>
      </c>
      <c r="H2094">
        <f t="shared" si="96"/>
        <v>2015</v>
      </c>
      <c r="I2094">
        <f t="shared" si="97"/>
        <v>2017</v>
      </c>
      <c r="J2094" s="7">
        <f t="shared" si="98"/>
        <v>58306.598306449428</v>
      </c>
      <c r="K2094" s="7"/>
    </row>
    <row r="2095" spans="1:11" x14ac:dyDescent="0.25">
      <c r="A2095" s="1" t="s">
        <v>19</v>
      </c>
      <c r="B2095" s="2">
        <v>201502</v>
      </c>
      <c r="C2095" s="2">
        <v>201703</v>
      </c>
      <c r="D2095" s="10">
        <v>1360.798370879374</v>
      </c>
      <c r="E2095" s="10">
        <v>51255.680952573224</v>
      </c>
      <c r="F2095" s="1">
        <v>11</v>
      </c>
      <c r="G2095" s="1">
        <v>699</v>
      </c>
      <c r="H2095">
        <f t="shared" si="96"/>
        <v>2015</v>
      </c>
      <c r="I2095">
        <f t="shared" si="97"/>
        <v>2017</v>
      </c>
      <c r="J2095" s="7">
        <f t="shared" si="98"/>
        <v>52616.479323452601</v>
      </c>
      <c r="K2095" s="7"/>
    </row>
    <row r="2096" spans="1:11" x14ac:dyDescent="0.25">
      <c r="A2096" s="1" t="s">
        <v>19</v>
      </c>
      <c r="B2096" s="2">
        <v>201502</v>
      </c>
      <c r="C2096" s="2">
        <v>201704</v>
      </c>
      <c r="D2096" s="10">
        <v>1992.0726255332215</v>
      </c>
      <c r="E2096" s="10">
        <v>44792.092557163356</v>
      </c>
      <c r="F2096" s="1">
        <v>8</v>
      </c>
      <c r="G2096" s="1">
        <v>553</v>
      </c>
      <c r="H2096">
        <f t="shared" si="96"/>
        <v>2015</v>
      </c>
      <c r="I2096">
        <f t="shared" si="97"/>
        <v>2017</v>
      </c>
      <c r="J2096" s="7">
        <f t="shared" si="98"/>
        <v>46784.165182696575</v>
      </c>
      <c r="K2096" s="7"/>
    </row>
    <row r="2097" spans="1:11" x14ac:dyDescent="0.25">
      <c r="A2097" s="1" t="s">
        <v>19</v>
      </c>
      <c r="B2097" s="2">
        <v>201502</v>
      </c>
      <c r="C2097" s="2">
        <v>201801</v>
      </c>
      <c r="D2097" s="10">
        <v>2376.5491576454856</v>
      </c>
      <c r="E2097" s="10">
        <v>34469.888994359309</v>
      </c>
      <c r="F2097" s="1">
        <v>9</v>
      </c>
      <c r="G2097" s="1">
        <v>446</v>
      </c>
      <c r="H2097">
        <f t="shared" si="96"/>
        <v>2015</v>
      </c>
      <c r="I2097">
        <f t="shared" si="97"/>
        <v>2018</v>
      </c>
      <c r="J2097" s="7">
        <f t="shared" si="98"/>
        <v>36846.438152004797</v>
      </c>
      <c r="K2097" s="7"/>
    </row>
    <row r="2098" spans="1:11" x14ac:dyDescent="0.25">
      <c r="A2098" s="1" t="s">
        <v>19</v>
      </c>
      <c r="B2098" s="2">
        <v>201502</v>
      </c>
      <c r="C2098" s="2">
        <v>201802</v>
      </c>
      <c r="D2098" s="10">
        <v>480.47185338784169</v>
      </c>
      <c r="E2098" s="10">
        <v>9393.3167634016099</v>
      </c>
      <c r="F2098" s="1">
        <v>2</v>
      </c>
      <c r="G2098" s="1">
        <v>150</v>
      </c>
      <c r="H2098">
        <f t="shared" si="96"/>
        <v>2015</v>
      </c>
      <c r="I2098">
        <f t="shared" si="97"/>
        <v>2018</v>
      </c>
      <c r="J2098" s="7">
        <f t="shared" si="98"/>
        <v>9873.7886167894521</v>
      </c>
      <c r="K2098" s="7"/>
    </row>
    <row r="2099" spans="1:11" x14ac:dyDescent="0.25">
      <c r="A2099" s="1" t="s">
        <v>19</v>
      </c>
      <c r="B2099" s="2">
        <v>201502</v>
      </c>
      <c r="C2099" s="2">
        <v>201803</v>
      </c>
      <c r="D2099" s="10">
        <v>190.16487324417483</v>
      </c>
      <c r="E2099" s="10">
        <v>8885.7260185278883</v>
      </c>
      <c r="F2099" s="1">
        <v>3</v>
      </c>
      <c r="G2099" s="1">
        <v>129</v>
      </c>
      <c r="H2099">
        <f t="shared" si="96"/>
        <v>2015</v>
      </c>
      <c r="I2099">
        <f t="shared" si="97"/>
        <v>2018</v>
      </c>
      <c r="J2099" s="7">
        <f t="shared" si="98"/>
        <v>9075.8908917720637</v>
      </c>
      <c r="K2099" s="7"/>
    </row>
    <row r="2100" spans="1:11" x14ac:dyDescent="0.25">
      <c r="A2100" s="1" t="s">
        <v>19</v>
      </c>
      <c r="B2100" s="2">
        <v>201502</v>
      </c>
      <c r="C2100" s="2">
        <v>201804</v>
      </c>
      <c r="D2100" s="10">
        <v>317.68467981054681</v>
      </c>
      <c r="E2100" s="10">
        <v>8253.1679672349419</v>
      </c>
      <c r="F2100" s="1">
        <v>0</v>
      </c>
      <c r="G2100" s="1">
        <v>118</v>
      </c>
      <c r="H2100">
        <f t="shared" si="96"/>
        <v>2015</v>
      </c>
      <c r="I2100">
        <f t="shared" si="97"/>
        <v>2018</v>
      </c>
      <c r="J2100" s="7">
        <f t="shared" si="98"/>
        <v>8570.852647045489</v>
      </c>
      <c r="K2100" s="7"/>
    </row>
    <row r="2101" spans="1:11" x14ac:dyDescent="0.25">
      <c r="A2101" s="1" t="s">
        <v>19</v>
      </c>
      <c r="B2101" s="2">
        <v>201502</v>
      </c>
      <c r="C2101" s="2">
        <v>201901</v>
      </c>
      <c r="D2101" s="10">
        <v>644.82324088109669</v>
      </c>
      <c r="E2101" s="10">
        <v>6343.702837498432</v>
      </c>
      <c r="F2101" s="1">
        <v>0</v>
      </c>
      <c r="G2101" s="1">
        <v>96</v>
      </c>
      <c r="H2101">
        <f t="shared" si="96"/>
        <v>2015</v>
      </c>
      <c r="I2101">
        <f t="shared" si="97"/>
        <v>2019</v>
      </c>
      <c r="J2101" s="7">
        <f t="shared" si="98"/>
        <v>6988.5260783795284</v>
      </c>
      <c r="K2101" s="7"/>
    </row>
    <row r="2102" spans="1:11" x14ac:dyDescent="0.25">
      <c r="A2102" s="1" t="s">
        <v>19</v>
      </c>
      <c r="B2102" s="2">
        <v>201502</v>
      </c>
      <c r="C2102" s="2">
        <v>201902</v>
      </c>
      <c r="D2102" s="10">
        <v>48.332037706485401</v>
      </c>
      <c r="E2102" s="10">
        <v>672.41343284141442</v>
      </c>
      <c r="F2102" s="1">
        <v>0</v>
      </c>
      <c r="G2102" s="1">
        <v>25</v>
      </c>
      <c r="H2102">
        <f t="shared" si="96"/>
        <v>2015</v>
      </c>
      <c r="I2102">
        <f t="shared" si="97"/>
        <v>2019</v>
      </c>
      <c r="J2102" s="7">
        <f t="shared" si="98"/>
        <v>720.7454705478998</v>
      </c>
      <c r="K2102" s="7"/>
    </row>
    <row r="2103" spans="1:11" x14ac:dyDescent="0.25">
      <c r="A2103" s="1" t="s">
        <v>19</v>
      </c>
      <c r="B2103" s="2">
        <v>201502</v>
      </c>
      <c r="C2103" s="2">
        <v>201903</v>
      </c>
      <c r="D2103" s="10">
        <v>77.766625323688004</v>
      </c>
      <c r="E2103" s="10">
        <v>394.78749138317022</v>
      </c>
      <c r="F2103" s="1">
        <v>1</v>
      </c>
      <c r="G2103" s="1">
        <v>19</v>
      </c>
      <c r="H2103">
        <f t="shared" si="96"/>
        <v>2015</v>
      </c>
      <c r="I2103">
        <f t="shared" si="97"/>
        <v>2019</v>
      </c>
      <c r="J2103" s="7">
        <f t="shared" si="98"/>
        <v>472.55411670685822</v>
      </c>
      <c r="K2103" s="7"/>
    </row>
    <row r="2104" spans="1:11" x14ac:dyDescent="0.25">
      <c r="A2104" s="1" t="s">
        <v>19</v>
      </c>
      <c r="B2104" s="2">
        <v>201502</v>
      </c>
      <c r="C2104" s="2">
        <v>201904</v>
      </c>
      <c r="D2104" s="10">
        <v>0</v>
      </c>
      <c r="E2104" s="10">
        <v>546.69261461068754</v>
      </c>
      <c r="F2104" s="1">
        <v>0</v>
      </c>
      <c r="G2104" s="1">
        <v>16</v>
      </c>
      <c r="H2104">
        <f t="shared" si="96"/>
        <v>2015</v>
      </c>
      <c r="I2104">
        <f t="shared" si="97"/>
        <v>2019</v>
      </c>
      <c r="J2104" s="7">
        <f t="shared" si="98"/>
        <v>546.69261461068754</v>
      </c>
      <c r="K2104" s="7"/>
    </row>
    <row r="2105" spans="1:11" x14ac:dyDescent="0.25">
      <c r="A2105" s="1" t="s">
        <v>19</v>
      </c>
      <c r="B2105" s="2">
        <v>201502</v>
      </c>
      <c r="C2105" s="2">
        <v>202001</v>
      </c>
      <c r="D2105" s="10">
        <v>0</v>
      </c>
      <c r="E2105" s="10">
        <v>478.97464017078244</v>
      </c>
      <c r="F2105" s="1">
        <v>0</v>
      </c>
      <c r="G2105" s="1">
        <v>16</v>
      </c>
      <c r="H2105">
        <f t="shared" si="96"/>
        <v>2015</v>
      </c>
      <c r="I2105">
        <f t="shared" si="97"/>
        <v>2020</v>
      </c>
      <c r="J2105" s="7">
        <f t="shared" si="98"/>
        <v>478.97464017078244</v>
      </c>
      <c r="K2105" s="7"/>
    </row>
    <row r="2106" spans="1:11" x14ac:dyDescent="0.25">
      <c r="A2106" s="1" t="s">
        <v>19</v>
      </c>
      <c r="B2106" s="2">
        <v>201502</v>
      </c>
      <c r="C2106" s="2">
        <v>202002</v>
      </c>
      <c r="D2106" s="10">
        <v>-393.12817188637729</v>
      </c>
      <c r="E2106" s="10">
        <v>30.841713951653141</v>
      </c>
      <c r="F2106" s="1">
        <v>0</v>
      </c>
      <c r="G2106" s="1">
        <v>6</v>
      </c>
      <c r="H2106">
        <f t="shared" si="96"/>
        <v>2015</v>
      </c>
      <c r="I2106">
        <f t="shared" si="97"/>
        <v>2020</v>
      </c>
      <c r="J2106" s="7">
        <f t="shared" si="98"/>
        <v>-362.28645793472413</v>
      </c>
      <c r="K2106" s="7"/>
    </row>
    <row r="2107" spans="1:11" x14ac:dyDescent="0.25">
      <c r="A2107" s="1" t="s">
        <v>19</v>
      </c>
      <c r="B2107" s="2">
        <v>201502</v>
      </c>
      <c r="C2107" s="2">
        <v>202003</v>
      </c>
      <c r="D2107" s="10">
        <v>17.361995259284225</v>
      </c>
      <c r="E2107" s="10">
        <v>10.771977704840479</v>
      </c>
      <c r="F2107" s="1">
        <v>0</v>
      </c>
      <c r="G2107" s="1">
        <v>5</v>
      </c>
      <c r="H2107">
        <f t="shared" si="96"/>
        <v>2015</v>
      </c>
      <c r="I2107">
        <f t="shared" si="97"/>
        <v>2020</v>
      </c>
      <c r="J2107" s="7">
        <f t="shared" si="98"/>
        <v>28.133972964124702</v>
      </c>
      <c r="K2107" s="7"/>
    </row>
    <row r="2108" spans="1:11" x14ac:dyDescent="0.25">
      <c r="A2108" s="1" t="s">
        <v>19</v>
      </c>
      <c r="B2108" s="2">
        <v>201502</v>
      </c>
      <c r="C2108" s="2">
        <v>202004</v>
      </c>
      <c r="D2108" s="10">
        <v>0.53523532591578205</v>
      </c>
      <c r="E2108" s="10">
        <v>4.0231400385107765</v>
      </c>
      <c r="F2108" s="1">
        <v>0</v>
      </c>
      <c r="G2108" s="1">
        <v>4</v>
      </c>
      <c r="H2108">
        <f t="shared" si="96"/>
        <v>2015</v>
      </c>
      <c r="I2108">
        <f t="shared" si="97"/>
        <v>2020</v>
      </c>
      <c r="J2108" s="7">
        <f t="shared" si="98"/>
        <v>4.5583753644265581</v>
      </c>
      <c r="K2108" s="7"/>
    </row>
    <row r="2109" spans="1:11" x14ac:dyDescent="0.25">
      <c r="A2109" s="1" t="s">
        <v>19</v>
      </c>
      <c r="B2109" s="2">
        <v>201502</v>
      </c>
      <c r="C2109" s="2">
        <v>202101</v>
      </c>
      <c r="D2109" s="10">
        <v>-26.903012649867012</v>
      </c>
      <c r="E2109" s="10">
        <v>3.969193006645606</v>
      </c>
      <c r="F2109" s="1">
        <v>0</v>
      </c>
      <c r="G2109" s="1">
        <v>4</v>
      </c>
      <c r="H2109">
        <f t="shared" si="96"/>
        <v>2015</v>
      </c>
      <c r="I2109">
        <f t="shared" si="97"/>
        <v>2021</v>
      </c>
      <c r="J2109" s="7">
        <f t="shared" si="98"/>
        <v>-22.933819643221405</v>
      </c>
      <c r="K2109" s="7"/>
    </row>
    <row r="2110" spans="1:11" x14ac:dyDescent="0.25">
      <c r="A2110" s="1" t="s">
        <v>19</v>
      </c>
      <c r="B2110" s="2">
        <v>201502</v>
      </c>
      <c r="C2110" s="2">
        <v>202102</v>
      </c>
      <c r="D2110" s="10">
        <v>-6.6319166287774172</v>
      </c>
      <c r="E2110" s="10">
        <v>3.9649050191813173</v>
      </c>
      <c r="F2110" s="1">
        <v>0</v>
      </c>
      <c r="G2110" s="1">
        <v>4</v>
      </c>
      <c r="H2110">
        <f t="shared" si="96"/>
        <v>2015</v>
      </c>
      <c r="I2110">
        <f t="shared" si="97"/>
        <v>2021</v>
      </c>
      <c r="J2110" s="7">
        <f t="shared" si="98"/>
        <v>-2.6670116095960998</v>
      </c>
      <c r="K2110" s="7"/>
    </row>
    <row r="2111" spans="1:11" x14ac:dyDescent="0.25">
      <c r="A2111" s="1" t="s">
        <v>19</v>
      </c>
      <c r="B2111" s="2">
        <v>201502</v>
      </c>
      <c r="C2111" s="2">
        <v>202103</v>
      </c>
      <c r="D2111" s="10">
        <v>-20.084384993400196</v>
      </c>
      <c r="E2111" s="10">
        <v>3.9709413064871986</v>
      </c>
      <c r="F2111" s="1">
        <v>0</v>
      </c>
      <c r="G2111" s="1">
        <v>4</v>
      </c>
      <c r="H2111">
        <f t="shared" si="96"/>
        <v>2015</v>
      </c>
      <c r="I2111">
        <f t="shared" si="97"/>
        <v>2021</v>
      </c>
      <c r="J2111" s="7">
        <f t="shared" si="98"/>
        <v>-16.113443686912998</v>
      </c>
      <c r="K2111" s="7"/>
    </row>
    <row r="2112" spans="1:11" x14ac:dyDescent="0.25">
      <c r="A2112" s="1" t="s">
        <v>19</v>
      </c>
      <c r="B2112" s="2">
        <v>201502</v>
      </c>
      <c r="C2112" s="2">
        <v>202104</v>
      </c>
      <c r="D2112" s="10">
        <v>-20.199583778721983</v>
      </c>
      <c r="E2112" s="10">
        <v>3.9735010203617698</v>
      </c>
      <c r="F2112" s="1">
        <v>0</v>
      </c>
      <c r="G2112" s="1">
        <v>4</v>
      </c>
      <c r="H2112">
        <f t="shared" si="96"/>
        <v>2015</v>
      </c>
      <c r="I2112">
        <f t="shared" si="97"/>
        <v>2021</v>
      </c>
      <c r="J2112" s="7">
        <f t="shared" si="98"/>
        <v>-16.226082758360214</v>
      </c>
      <c r="K2112" s="7"/>
    </row>
    <row r="2113" spans="1:11" x14ac:dyDescent="0.25">
      <c r="A2113" s="1" t="s">
        <v>19</v>
      </c>
      <c r="B2113" s="2">
        <v>201503</v>
      </c>
      <c r="C2113" s="2">
        <v>201503</v>
      </c>
      <c r="D2113" s="10">
        <v>566759.599377329</v>
      </c>
      <c r="E2113" s="10">
        <v>554045.66336797306</v>
      </c>
      <c r="F2113" s="1">
        <v>13038</v>
      </c>
      <c r="G2113" s="1">
        <v>5330</v>
      </c>
      <c r="H2113">
        <f t="shared" si="96"/>
        <v>2015</v>
      </c>
      <c r="I2113">
        <f t="shared" si="97"/>
        <v>2015</v>
      </c>
      <c r="J2113" s="7">
        <f t="shared" si="98"/>
        <v>1120805.2627453022</v>
      </c>
      <c r="K2113" s="7"/>
    </row>
    <row r="2114" spans="1:11" x14ac:dyDescent="0.25">
      <c r="A2114" s="1" t="s">
        <v>19</v>
      </c>
      <c r="B2114" s="2">
        <v>201503</v>
      </c>
      <c r="C2114" s="2">
        <v>201504</v>
      </c>
      <c r="D2114" s="10">
        <v>515802.5323418699</v>
      </c>
      <c r="E2114" s="10">
        <v>226093.13208935148</v>
      </c>
      <c r="F2114" s="1">
        <v>3157</v>
      </c>
      <c r="G2114" s="1">
        <v>2670</v>
      </c>
      <c r="H2114">
        <f t="shared" si="96"/>
        <v>2015</v>
      </c>
      <c r="I2114">
        <f t="shared" si="97"/>
        <v>2015</v>
      </c>
      <c r="J2114" s="7">
        <f t="shared" si="98"/>
        <v>741895.66443122132</v>
      </c>
      <c r="K2114" s="7"/>
    </row>
    <row r="2115" spans="1:11" x14ac:dyDescent="0.25">
      <c r="A2115" s="1" t="s">
        <v>19</v>
      </c>
      <c r="B2115" s="2">
        <v>201503</v>
      </c>
      <c r="C2115" s="2">
        <v>201601</v>
      </c>
      <c r="D2115" s="10">
        <v>78551.561134553471</v>
      </c>
      <c r="E2115" s="10">
        <v>141514.50988684956</v>
      </c>
      <c r="F2115" s="1">
        <v>443</v>
      </c>
      <c r="G2115" s="1">
        <v>1837</v>
      </c>
      <c r="H2115">
        <f t="shared" si="96"/>
        <v>2015</v>
      </c>
      <c r="I2115">
        <f t="shared" si="97"/>
        <v>2016</v>
      </c>
      <c r="J2115" s="7">
        <f t="shared" si="98"/>
        <v>220066.07102140301</v>
      </c>
      <c r="K2115" s="7"/>
    </row>
    <row r="2116" spans="1:11" x14ac:dyDescent="0.25">
      <c r="A2116" s="1" t="s">
        <v>19</v>
      </c>
      <c r="B2116" s="2">
        <v>201503</v>
      </c>
      <c r="C2116" s="2">
        <v>201602</v>
      </c>
      <c r="D2116" s="10">
        <v>26931.619083040739</v>
      </c>
      <c r="E2116" s="10">
        <v>107969.19160182084</v>
      </c>
      <c r="F2116" s="1">
        <v>165</v>
      </c>
      <c r="G2116" s="1">
        <v>1527</v>
      </c>
      <c r="H2116">
        <f t="shared" ref="H2116:H2179" si="99">VALUE(LEFT(B2116,4))</f>
        <v>2015</v>
      </c>
      <c r="I2116">
        <f t="shared" ref="I2116:I2179" si="100">VALUE(LEFT(C2116,4))</f>
        <v>2016</v>
      </c>
      <c r="J2116" s="7">
        <f t="shared" si="98"/>
        <v>134900.81068486159</v>
      </c>
      <c r="K2116" s="7"/>
    </row>
    <row r="2117" spans="1:11" x14ac:dyDescent="0.25">
      <c r="A2117" s="1" t="s">
        <v>19</v>
      </c>
      <c r="B2117" s="2">
        <v>201503</v>
      </c>
      <c r="C2117" s="2">
        <v>201603</v>
      </c>
      <c r="D2117" s="10">
        <v>13667.924278660836</v>
      </c>
      <c r="E2117" s="10">
        <v>91646.974747485176</v>
      </c>
      <c r="F2117" s="1">
        <v>101</v>
      </c>
      <c r="G2117" s="1">
        <v>1248</v>
      </c>
      <c r="H2117">
        <f t="shared" si="99"/>
        <v>2015</v>
      </c>
      <c r="I2117">
        <f t="shared" si="100"/>
        <v>2016</v>
      </c>
      <c r="J2117" s="7">
        <f t="shared" ref="J2117:J2180" si="101">D2117+E2117</f>
        <v>105314.89902614601</v>
      </c>
      <c r="K2117" s="7"/>
    </row>
    <row r="2118" spans="1:11" x14ac:dyDescent="0.25">
      <c r="A2118" s="1" t="s">
        <v>19</v>
      </c>
      <c r="B2118" s="2">
        <v>201503</v>
      </c>
      <c r="C2118" s="2">
        <v>201604</v>
      </c>
      <c r="D2118" s="10">
        <v>7654.1122439410719</v>
      </c>
      <c r="E2118" s="10">
        <v>70555.110708711625</v>
      </c>
      <c r="F2118" s="1">
        <v>45</v>
      </c>
      <c r="G2118" s="1">
        <v>922</v>
      </c>
      <c r="H2118">
        <f t="shared" si="99"/>
        <v>2015</v>
      </c>
      <c r="I2118">
        <f t="shared" si="100"/>
        <v>2016</v>
      </c>
      <c r="J2118" s="7">
        <f t="shared" si="101"/>
        <v>78209.222952652693</v>
      </c>
      <c r="K2118" s="7"/>
    </row>
    <row r="2119" spans="1:11" x14ac:dyDescent="0.25">
      <c r="A2119" s="1" t="s">
        <v>19</v>
      </c>
      <c r="B2119" s="2">
        <v>201503</v>
      </c>
      <c r="C2119" s="2">
        <v>201701</v>
      </c>
      <c r="D2119" s="10">
        <v>5286.8644508881662</v>
      </c>
      <c r="E2119" s="10">
        <v>47306.081039695608</v>
      </c>
      <c r="F2119" s="1">
        <v>27</v>
      </c>
      <c r="G2119" s="1">
        <v>763</v>
      </c>
      <c r="H2119">
        <f t="shared" si="99"/>
        <v>2015</v>
      </c>
      <c r="I2119">
        <f t="shared" si="100"/>
        <v>2017</v>
      </c>
      <c r="J2119" s="7">
        <f t="shared" si="101"/>
        <v>52592.945490583777</v>
      </c>
      <c r="K2119" s="7"/>
    </row>
    <row r="2120" spans="1:11" x14ac:dyDescent="0.25">
      <c r="A2120" s="1" t="s">
        <v>19</v>
      </c>
      <c r="B2120" s="2">
        <v>201503</v>
      </c>
      <c r="C2120" s="2">
        <v>201702</v>
      </c>
      <c r="D2120" s="10">
        <v>1912.2492361786904</v>
      </c>
      <c r="E2120" s="10">
        <v>45828.643098399814</v>
      </c>
      <c r="F2120" s="1">
        <v>23</v>
      </c>
      <c r="G2120" s="1">
        <v>699</v>
      </c>
      <c r="H2120">
        <f t="shared" si="99"/>
        <v>2015</v>
      </c>
      <c r="I2120">
        <f t="shared" si="100"/>
        <v>2017</v>
      </c>
      <c r="J2120" s="7">
        <f t="shared" si="101"/>
        <v>47740.892334578508</v>
      </c>
      <c r="K2120" s="7"/>
    </row>
    <row r="2121" spans="1:11" x14ac:dyDescent="0.25">
      <c r="A2121" s="1" t="s">
        <v>19</v>
      </c>
      <c r="B2121" s="2">
        <v>201503</v>
      </c>
      <c r="C2121" s="2">
        <v>201703</v>
      </c>
      <c r="D2121" s="10">
        <v>934.55812870218313</v>
      </c>
      <c r="E2121" s="10">
        <v>39506.704336297902</v>
      </c>
      <c r="F2121" s="1">
        <v>6</v>
      </c>
      <c r="G2121" s="1">
        <v>611</v>
      </c>
      <c r="H2121">
        <f t="shared" si="99"/>
        <v>2015</v>
      </c>
      <c r="I2121">
        <f t="shared" si="100"/>
        <v>2017</v>
      </c>
      <c r="J2121" s="7">
        <f t="shared" si="101"/>
        <v>40441.262465000087</v>
      </c>
      <c r="K2121" s="7"/>
    </row>
    <row r="2122" spans="1:11" x14ac:dyDescent="0.25">
      <c r="A2122" s="1" t="s">
        <v>19</v>
      </c>
      <c r="B2122" s="2">
        <v>201503</v>
      </c>
      <c r="C2122" s="2">
        <v>201704</v>
      </c>
      <c r="D2122" s="10">
        <v>1948.4493444501111</v>
      </c>
      <c r="E2122" s="10">
        <v>37772.07303533324</v>
      </c>
      <c r="F2122" s="1">
        <v>9</v>
      </c>
      <c r="G2122" s="1">
        <v>569</v>
      </c>
      <c r="H2122">
        <f t="shared" si="99"/>
        <v>2015</v>
      </c>
      <c r="I2122">
        <f t="shared" si="100"/>
        <v>2017</v>
      </c>
      <c r="J2122" s="7">
        <f t="shared" si="101"/>
        <v>39720.522379783353</v>
      </c>
      <c r="K2122" s="7"/>
    </row>
    <row r="2123" spans="1:11" x14ac:dyDescent="0.25">
      <c r="A2123" s="1" t="s">
        <v>19</v>
      </c>
      <c r="B2123" s="2">
        <v>201503</v>
      </c>
      <c r="C2123" s="2">
        <v>201801</v>
      </c>
      <c r="D2123" s="10">
        <v>-153.66263381449846</v>
      </c>
      <c r="E2123" s="10">
        <v>29210.013610317448</v>
      </c>
      <c r="F2123" s="1">
        <v>6</v>
      </c>
      <c r="G2123" s="1">
        <v>449</v>
      </c>
      <c r="H2123">
        <f t="shared" si="99"/>
        <v>2015</v>
      </c>
      <c r="I2123">
        <f t="shared" si="100"/>
        <v>2018</v>
      </c>
      <c r="J2123" s="7">
        <f t="shared" si="101"/>
        <v>29056.350976502948</v>
      </c>
      <c r="K2123" s="7"/>
    </row>
    <row r="2124" spans="1:11" x14ac:dyDescent="0.25">
      <c r="A2124" s="1" t="s">
        <v>19</v>
      </c>
      <c r="B2124" s="2">
        <v>201503</v>
      </c>
      <c r="C2124" s="2">
        <v>201802</v>
      </c>
      <c r="D2124" s="10">
        <v>366.63328203072359</v>
      </c>
      <c r="E2124" s="10">
        <v>10569.968068416249</v>
      </c>
      <c r="F2124" s="1">
        <v>5</v>
      </c>
      <c r="G2124" s="1">
        <v>175</v>
      </c>
      <c r="H2124">
        <f t="shared" si="99"/>
        <v>2015</v>
      </c>
      <c r="I2124">
        <f t="shared" si="100"/>
        <v>2018</v>
      </c>
      <c r="J2124" s="7">
        <f t="shared" si="101"/>
        <v>10936.601350446972</v>
      </c>
      <c r="K2124" s="7"/>
    </row>
    <row r="2125" spans="1:11" x14ac:dyDescent="0.25">
      <c r="A2125" s="1" t="s">
        <v>19</v>
      </c>
      <c r="B2125" s="2">
        <v>201503</v>
      </c>
      <c r="C2125" s="2">
        <v>201803</v>
      </c>
      <c r="D2125" s="10">
        <v>6.5872667694411291</v>
      </c>
      <c r="E2125" s="10">
        <v>9255.4105089111254</v>
      </c>
      <c r="F2125" s="1">
        <v>1</v>
      </c>
      <c r="G2125" s="1">
        <v>148</v>
      </c>
      <c r="H2125">
        <f t="shared" si="99"/>
        <v>2015</v>
      </c>
      <c r="I2125">
        <f t="shared" si="100"/>
        <v>2018</v>
      </c>
      <c r="J2125" s="7">
        <f t="shared" si="101"/>
        <v>9261.9977756805656</v>
      </c>
      <c r="K2125" s="7"/>
    </row>
    <row r="2126" spans="1:11" x14ac:dyDescent="0.25">
      <c r="A2126" s="1" t="s">
        <v>19</v>
      </c>
      <c r="B2126" s="2">
        <v>201503</v>
      </c>
      <c r="C2126" s="2">
        <v>201804</v>
      </c>
      <c r="D2126" s="10">
        <v>297.91320847551987</v>
      </c>
      <c r="E2126" s="10">
        <v>8947.6938664596819</v>
      </c>
      <c r="F2126" s="1">
        <v>2</v>
      </c>
      <c r="G2126" s="1">
        <v>135</v>
      </c>
      <c r="H2126">
        <f t="shared" si="99"/>
        <v>2015</v>
      </c>
      <c r="I2126">
        <f t="shared" si="100"/>
        <v>2018</v>
      </c>
      <c r="J2126" s="7">
        <f t="shared" si="101"/>
        <v>9245.607074935202</v>
      </c>
      <c r="K2126" s="7"/>
    </row>
    <row r="2127" spans="1:11" x14ac:dyDescent="0.25">
      <c r="A2127" s="1" t="s">
        <v>19</v>
      </c>
      <c r="B2127" s="2">
        <v>201503</v>
      </c>
      <c r="C2127" s="2">
        <v>201901</v>
      </c>
      <c r="D2127" s="10">
        <v>42.825981632009778</v>
      </c>
      <c r="E2127" s="10">
        <v>7255.3092454812004</v>
      </c>
      <c r="F2127" s="1">
        <v>1</v>
      </c>
      <c r="G2127" s="1">
        <v>108</v>
      </c>
      <c r="H2127">
        <f t="shared" si="99"/>
        <v>2015</v>
      </c>
      <c r="I2127">
        <f t="shared" si="100"/>
        <v>2019</v>
      </c>
      <c r="J2127" s="7">
        <f t="shared" si="101"/>
        <v>7298.13522711321</v>
      </c>
      <c r="K2127" s="7"/>
    </row>
    <row r="2128" spans="1:11" x14ac:dyDescent="0.25">
      <c r="A2128" s="1" t="s">
        <v>19</v>
      </c>
      <c r="B2128" s="2">
        <v>201503</v>
      </c>
      <c r="C2128" s="2">
        <v>201902</v>
      </c>
      <c r="D2128" s="10">
        <v>13.138634008177917</v>
      </c>
      <c r="E2128" s="10">
        <v>1918.8787575411702</v>
      </c>
      <c r="F2128" s="1">
        <v>0</v>
      </c>
      <c r="G2128" s="1">
        <v>28</v>
      </c>
      <c r="H2128">
        <f t="shared" si="99"/>
        <v>2015</v>
      </c>
      <c r="I2128">
        <f t="shared" si="100"/>
        <v>2019</v>
      </c>
      <c r="J2128" s="7">
        <f t="shared" si="101"/>
        <v>1932.0173915493481</v>
      </c>
      <c r="K2128" s="7"/>
    </row>
    <row r="2129" spans="1:11" x14ac:dyDescent="0.25">
      <c r="A2129" s="1" t="s">
        <v>19</v>
      </c>
      <c r="B2129" s="2">
        <v>201503</v>
      </c>
      <c r="C2129" s="2">
        <v>201903</v>
      </c>
      <c r="D2129" s="10">
        <v>179.02354302260821</v>
      </c>
      <c r="E2129" s="10">
        <v>2066.1180107684941</v>
      </c>
      <c r="F2129" s="1">
        <v>1</v>
      </c>
      <c r="G2129" s="1">
        <v>27</v>
      </c>
      <c r="H2129">
        <f t="shared" si="99"/>
        <v>2015</v>
      </c>
      <c r="I2129">
        <f t="shared" si="100"/>
        <v>2019</v>
      </c>
      <c r="J2129" s="7">
        <f t="shared" si="101"/>
        <v>2245.1415537911021</v>
      </c>
      <c r="K2129" s="7"/>
    </row>
    <row r="2130" spans="1:11" x14ac:dyDescent="0.25">
      <c r="A2130" s="1" t="s">
        <v>19</v>
      </c>
      <c r="B2130" s="2">
        <v>201503</v>
      </c>
      <c r="C2130" s="2">
        <v>201904</v>
      </c>
      <c r="D2130" s="10">
        <v>-87.098954797891224</v>
      </c>
      <c r="E2130" s="10">
        <v>1587.6064845297494</v>
      </c>
      <c r="F2130" s="1">
        <v>0</v>
      </c>
      <c r="G2130" s="1">
        <v>17</v>
      </c>
      <c r="H2130">
        <f t="shared" si="99"/>
        <v>2015</v>
      </c>
      <c r="I2130">
        <f t="shared" si="100"/>
        <v>2019</v>
      </c>
      <c r="J2130" s="7">
        <f t="shared" si="101"/>
        <v>1500.5075297318581</v>
      </c>
      <c r="K2130" s="7"/>
    </row>
    <row r="2131" spans="1:11" x14ac:dyDescent="0.25">
      <c r="A2131" s="1" t="s">
        <v>19</v>
      </c>
      <c r="B2131" s="2">
        <v>201503</v>
      </c>
      <c r="C2131" s="2">
        <v>202001</v>
      </c>
      <c r="D2131" s="10">
        <v>26.872514828238597</v>
      </c>
      <c r="E2131" s="10">
        <v>1229.1580431383936</v>
      </c>
      <c r="F2131" s="1">
        <v>0</v>
      </c>
      <c r="G2131" s="1">
        <v>13</v>
      </c>
      <c r="H2131">
        <f t="shared" si="99"/>
        <v>2015</v>
      </c>
      <c r="I2131">
        <f t="shared" si="100"/>
        <v>2020</v>
      </c>
      <c r="J2131" s="7">
        <f t="shared" si="101"/>
        <v>1256.0305579666322</v>
      </c>
      <c r="K2131" s="7"/>
    </row>
    <row r="2132" spans="1:11" x14ac:dyDescent="0.25">
      <c r="A2132" s="1" t="s">
        <v>19</v>
      </c>
      <c r="B2132" s="2">
        <v>201503</v>
      </c>
      <c r="C2132" s="2">
        <v>202002</v>
      </c>
      <c r="D2132" s="10">
        <v>-90.931048218161649</v>
      </c>
      <c r="E2132" s="10">
        <v>1040.7330144037405</v>
      </c>
      <c r="F2132" s="1">
        <v>0</v>
      </c>
      <c r="G2132" s="1">
        <v>10</v>
      </c>
      <c r="H2132">
        <f t="shared" si="99"/>
        <v>2015</v>
      </c>
      <c r="I2132">
        <f t="shared" si="100"/>
        <v>2020</v>
      </c>
      <c r="J2132" s="7">
        <f t="shared" si="101"/>
        <v>949.80196618557886</v>
      </c>
      <c r="K2132" s="7"/>
    </row>
    <row r="2133" spans="1:11" x14ac:dyDescent="0.25">
      <c r="A2133" s="1" t="s">
        <v>19</v>
      </c>
      <c r="B2133" s="2">
        <v>201503</v>
      </c>
      <c r="C2133" s="2">
        <v>202003</v>
      </c>
      <c r="D2133" s="10">
        <v>-9.9272367999996352</v>
      </c>
      <c r="E2133" s="10">
        <v>1169.1726270477163</v>
      </c>
      <c r="F2133" s="1">
        <v>0</v>
      </c>
      <c r="G2133" s="1">
        <v>9</v>
      </c>
      <c r="H2133">
        <f t="shared" si="99"/>
        <v>2015</v>
      </c>
      <c r="I2133">
        <f t="shared" si="100"/>
        <v>2020</v>
      </c>
      <c r="J2133" s="7">
        <f t="shared" si="101"/>
        <v>1159.2453902477166</v>
      </c>
      <c r="K2133" s="7"/>
    </row>
    <row r="2134" spans="1:11" x14ac:dyDescent="0.25">
      <c r="A2134" s="1" t="s">
        <v>19</v>
      </c>
      <c r="B2134" s="2">
        <v>201503</v>
      </c>
      <c r="C2134" s="2">
        <v>202004</v>
      </c>
      <c r="D2134" s="10">
        <v>-9.8104221550804453</v>
      </c>
      <c r="E2134" s="10">
        <v>380.82128118971394</v>
      </c>
      <c r="F2134" s="1">
        <v>0</v>
      </c>
      <c r="G2134" s="1">
        <v>8</v>
      </c>
      <c r="H2134">
        <f t="shared" si="99"/>
        <v>2015</v>
      </c>
      <c r="I2134">
        <f t="shared" si="100"/>
        <v>2020</v>
      </c>
      <c r="J2134" s="7">
        <f t="shared" si="101"/>
        <v>371.01085903463348</v>
      </c>
      <c r="K2134" s="7"/>
    </row>
    <row r="2135" spans="1:11" x14ac:dyDescent="0.25">
      <c r="A2135" s="1" t="s">
        <v>19</v>
      </c>
      <c r="B2135" s="2">
        <v>201503</v>
      </c>
      <c r="C2135" s="2">
        <v>202101</v>
      </c>
      <c r="D2135" s="10">
        <v>-55.746731035355161</v>
      </c>
      <c r="E2135" s="10">
        <v>378.58009336026021</v>
      </c>
      <c r="F2135" s="1">
        <v>0</v>
      </c>
      <c r="G2135" s="1">
        <v>7</v>
      </c>
      <c r="H2135">
        <f t="shared" si="99"/>
        <v>2015</v>
      </c>
      <c r="I2135">
        <f t="shared" si="100"/>
        <v>2021</v>
      </c>
      <c r="J2135" s="7">
        <f t="shared" si="101"/>
        <v>322.83336232490507</v>
      </c>
      <c r="K2135" s="7"/>
    </row>
    <row r="2136" spans="1:11" x14ac:dyDescent="0.25">
      <c r="A2136" s="1" t="s">
        <v>19</v>
      </c>
      <c r="B2136" s="2">
        <v>201503</v>
      </c>
      <c r="C2136" s="2">
        <v>202102</v>
      </c>
      <c r="D2136" s="10">
        <v>-63.597722379182038</v>
      </c>
      <c r="E2136" s="10">
        <v>375.18012300510583</v>
      </c>
      <c r="F2136" s="1">
        <v>0</v>
      </c>
      <c r="G2136" s="1">
        <v>7</v>
      </c>
      <c r="H2136">
        <f t="shared" si="99"/>
        <v>2015</v>
      </c>
      <c r="I2136">
        <f t="shared" si="100"/>
        <v>2021</v>
      </c>
      <c r="J2136" s="7">
        <f t="shared" si="101"/>
        <v>311.58240062592381</v>
      </c>
      <c r="K2136" s="7"/>
    </row>
    <row r="2137" spans="1:11" x14ac:dyDescent="0.25">
      <c r="A2137" s="1" t="s">
        <v>19</v>
      </c>
      <c r="B2137" s="2">
        <v>201503</v>
      </c>
      <c r="C2137" s="2">
        <v>202103</v>
      </c>
      <c r="D2137" s="10">
        <v>-17.74368271161735</v>
      </c>
      <c r="E2137" s="10">
        <v>371.40116292957288</v>
      </c>
      <c r="F2137" s="1">
        <v>0</v>
      </c>
      <c r="G2137" s="1">
        <v>7</v>
      </c>
      <c r="H2137">
        <f t="shared" si="99"/>
        <v>2015</v>
      </c>
      <c r="I2137">
        <f t="shared" si="100"/>
        <v>2021</v>
      </c>
      <c r="J2137" s="7">
        <f t="shared" si="101"/>
        <v>353.65748021795554</v>
      </c>
      <c r="K2137" s="7"/>
    </row>
    <row r="2138" spans="1:11" x14ac:dyDescent="0.25">
      <c r="A2138" s="1" t="s">
        <v>19</v>
      </c>
      <c r="B2138" s="2">
        <v>201503</v>
      </c>
      <c r="C2138" s="2">
        <v>202104</v>
      </c>
      <c r="D2138" s="10">
        <v>-10.237886388490365</v>
      </c>
      <c r="E2138" s="10">
        <v>254.56693409412529</v>
      </c>
      <c r="F2138" s="1">
        <v>0</v>
      </c>
      <c r="G2138" s="1">
        <v>8</v>
      </c>
      <c r="H2138">
        <f t="shared" si="99"/>
        <v>2015</v>
      </c>
      <c r="I2138">
        <f t="shared" si="100"/>
        <v>2021</v>
      </c>
      <c r="J2138" s="7">
        <f t="shared" si="101"/>
        <v>244.32904770563493</v>
      </c>
      <c r="K2138" s="7"/>
    </row>
    <row r="2139" spans="1:11" x14ac:dyDescent="0.25">
      <c r="A2139" s="1" t="s">
        <v>19</v>
      </c>
      <c r="B2139" s="2">
        <v>201504</v>
      </c>
      <c r="C2139" s="2">
        <v>201504</v>
      </c>
      <c r="D2139" s="10">
        <v>508888.35834921175</v>
      </c>
      <c r="E2139" s="10">
        <v>540510.96813841362</v>
      </c>
      <c r="F2139" s="1">
        <v>12082</v>
      </c>
      <c r="G2139" s="1">
        <v>5079</v>
      </c>
      <c r="H2139">
        <f t="shared" si="99"/>
        <v>2015</v>
      </c>
      <c r="I2139">
        <f t="shared" si="100"/>
        <v>2015</v>
      </c>
      <c r="J2139" s="7">
        <f t="shared" si="101"/>
        <v>1049399.3264876255</v>
      </c>
      <c r="K2139" s="7"/>
    </row>
    <row r="2140" spans="1:11" x14ac:dyDescent="0.25">
      <c r="A2140" s="1" t="s">
        <v>19</v>
      </c>
      <c r="B2140" s="2">
        <v>201504</v>
      </c>
      <c r="C2140" s="2">
        <v>201601</v>
      </c>
      <c r="D2140" s="10">
        <v>502584.4618455568</v>
      </c>
      <c r="E2140" s="10">
        <v>207964.09862559816</v>
      </c>
      <c r="F2140" s="1">
        <v>3722</v>
      </c>
      <c r="G2140" s="1">
        <v>2528</v>
      </c>
      <c r="H2140">
        <f t="shared" si="99"/>
        <v>2015</v>
      </c>
      <c r="I2140">
        <f t="shared" si="100"/>
        <v>2016</v>
      </c>
      <c r="J2140" s="7">
        <f t="shared" si="101"/>
        <v>710548.56047115498</v>
      </c>
      <c r="K2140" s="7"/>
    </row>
    <row r="2141" spans="1:11" x14ac:dyDescent="0.25">
      <c r="A2141" s="1" t="s">
        <v>19</v>
      </c>
      <c r="B2141" s="2">
        <v>201504</v>
      </c>
      <c r="C2141" s="2">
        <v>201602</v>
      </c>
      <c r="D2141" s="10">
        <v>71062.175603916083</v>
      </c>
      <c r="E2141" s="10">
        <v>132239.05931878614</v>
      </c>
      <c r="F2141" s="1">
        <v>525</v>
      </c>
      <c r="G2141" s="1">
        <v>1833</v>
      </c>
      <c r="H2141">
        <f t="shared" si="99"/>
        <v>2015</v>
      </c>
      <c r="I2141">
        <f t="shared" si="100"/>
        <v>2016</v>
      </c>
      <c r="J2141" s="7">
        <f t="shared" si="101"/>
        <v>203301.23492270222</v>
      </c>
      <c r="K2141" s="7"/>
    </row>
    <row r="2142" spans="1:11" x14ac:dyDescent="0.25">
      <c r="A2142" s="1" t="s">
        <v>19</v>
      </c>
      <c r="B2142" s="2">
        <v>201504</v>
      </c>
      <c r="C2142" s="2">
        <v>201603</v>
      </c>
      <c r="D2142" s="10">
        <v>19978.642011398322</v>
      </c>
      <c r="E2142" s="10">
        <v>110067.22596689942</v>
      </c>
      <c r="F2142" s="1">
        <v>170</v>
      </c>
      <c r="G2142" s="1">
        <v>1476</v>
      </c>
      <c r="H2142">
        <f t="shared" si="99"/>
        <v>2015</v>
      </c>
      <c r="I2142">
        <f t="shared" si="100"/>
        <v>2016</v>
      </c>
      <c r="J2142" s="7">
        <f t="shared" si="101"/>
        <v>130045.86797829774</v>
      </c>
      <c r="K2142" s="7"/>
    </row>
    <row r="2143" spans="1:11" x14ac:dyDescent="0.25">
      <c r="A2143" s="1" t="s">
        <v>19</v>
      </c>
      <c r="B2143" s="2">
        <v>201504</v>
      </c>
      <c r="C2143" s="2">
        <v>201604</v>
      </c>
      <c r="D2143" s="10">
        <v>8089.8953690135659</v>
      </c>
      <c r="E2143" s="10">
        <v>89696.11430553165</v>
      </c>
      <c r="F2143" s="1">
        <v>93</v>
      </c>
      <c r="G2143" s="1">
        <v>1146</v>
      </c>
      <c r="H2143">
        <f t="shared" si="99"/>
        <v>2015</v>
      </c>
      <c r="I2143">
        <f t="shared" si="100"/>
        <v>2016</v>
      </c>
      <c r="J2143" s="7">
        <f t="shared" si="101"/>
        <v>97786.009674545217</v>
      </c>
      <c r="K2143" s="7"/>
    </row>
    <row r="2144" spans="1:11" x14ac:dyDescent="0.25">
      <c r="A2144" s="1" t="s">
        <v>19</v>
      </c>
      <c r="B2144" s="2">
        <v>201504</v>
      </c>
      <c r="C2144" s="2">
        <v>201701</v>
      </c>
      <c r="D2144" s="10">
        <v>5711.3483571460483</v>
      </c>
      <c r="E2144" s="10">
        <v>72282.050588487167</v>
      </c>
      <c r="F2144" s="1">
        <v>32</v>
      </c>
      <c r="G2144" s="1">
        <v>953</v>
      </c>
      <c r="H2144">
        <f t="shared" si="99"/>
        <v>2015</v>
      </c>
      <c r="I2144">
        <f t="shared" si="100"/>
        <v>2017</v>
      </c>
      <c r="J2144" s="7">
        <f t="shared" si="101"/>
        <v>77993.39894563322</v>
      </c>
      <c r="K2144" s="7"/>
    </row>
    <row r="2145" spans="1:11" x14ac:dyDescent="0.25">
      <c r="A2145" s="1" t="s">
        <v>19</v>
      </c>
      <c r="B2145" s="2">
        <v>201504</v>
      </c>
      <c r="C2145" s="2">
        <v>201702</v>
      </c>
      <c r="D2145" s="10">
        <v>2167.5432375368946</v>
      </c>
      <c r="E2145" s="10">
        <v>62056.813182375328</v>
      </c>
      <c r="F2145" s="1">
        <v>23</v>
      </c>
      <c r="G2145" s="1">
        <v>870</v>
      </c>
      <c r="H2145">
        <f t="shared" si="99"/>
        <v>2015</v>
      </c>
      <c r="I2145">
        <f t="shared" si="100"/>
        <v>2017</v>
      </c>
      <c r="J2145" s="7">
        <f t="shared" si="101"/>
        <v>64224.356419912219</v>
      </c>
      <c r="K2145" s="7"/>
    </row>
    <row r="2146" spans="1:11" x14ac:dyDescent="0.25">
      <c r="A2146" s="1" t="s">
        <v>19</v>
      </c>
      <c r="B2146" s="2">
        <v>201504</v>
      </c>
      <c r="C2146" s="2">
        <v>201703</v>
      </c>
      <c r="D2146" s="10">
        <v>2268.2014573438223</v>
      </c>
      <c r="E2146" s="10">
        <v>57933.893961425609</v>
      </c>
      <c r="F2146" s="1">
        <v>16</v>
      </c>
      <c r="G2146" s="1">
        <v>805</v>
      </c>
      <c r="H2146">
        <f t="shared" si="99"/>
        <v>2015</v>
      </c>
      <c r="I2146">
        <f t="shared" si="100"/>
        <v>2017</v>
      </c>
      <c r="J2146" s="7">
        <f t="shared" si="101"/>
        <v>60202.09541876943</v>
      </c>
      <c r="K2146" s="7"/>
    </row>
    <row r="2147" spans="1:11" x14ac:dyDescent="0.25">
      <c r="A2147" s="1" t="s">
        <v>19</v>
      </c>
      <c r="B2147" s="2">
        <v>201504</v>
      </c>
      <c r="C2147" s="2">
        <v>201704</v>
      </c>
      <c r="D2147" s="10">
        <v>1204.2266961055318</v>
      </c>
      <c r="E2147" s="10">
        <v>54334.368799150914</v>
      </c>
      <c r="F2147" s="1">
        <v>12</v>
      </c>
      <c r="G2147" s="1">
        <v>727</v>
      </c>
      <c r="H2147">
        <f t="shared" si="99"/>
        <v>2015</v>
      </c>
      <c r="I2147">
        <f t="shared" si="100"/>
        <v>2017</v>
      </c>
      <c r="J2147" s="7">
        <f t="shared" si="101"/>
        <v>55538.595495256443</v>
      </c>
      <c r="K2147" s="7"/>
    </row>
    <row r="2148" spans="1:11" x14ac:dyDescent="0.25">
      <c r="A2148" s="1" t="s">
        <v>19</v>
      </c>
      <c r="B2148" s="2">
        <v>201504</v>
      </c>
      <c r="C2148" s="2">
        <v>201801</v>
      </c>
      <c r="D2148" s="10">
        <v>215.36193588459093</v>
      </c>
      <c r="E2148" s="10">
        <v>44437.949390088026</v>
      </c>
      <c r="F2148" s="1">
        <v>5</v>
      </c>
      <c r="G2148" s="1">
        <v>618</v>
      </c>
      <c r="H2148">
        <f t="shared" si="99"/>
        <v>2015</v>
      </c>
      <c r="I2148">
        <f t="shared" si="100"/>
        <v>2018</v>
      </c>
      <c r="J2148" s="7">
        <f t="shared" si="101"/>
        <v>44653.311325972616</v>
      </c>
      <c r="K2148" s="7"/>
    </row>
    <row r="2149" spans="1:11" x14ac:dyDescent="0.25">
      <c r="A2149" s="1" t="s">
        <v>19</v>
      </c>
      <c r="B2149" s="2">
        <v>201504</v>
      </c>
      <c r="C2149" s="2">
        <v>201802</v>
      </c>
      <c r="D2149" s="10">
        <v>-320.07468830163293</v>
      </c>
      <c r="E2149" s="10">
        <v>16424.048085240243</v>
      </c>
      <c r="F2149" s="1">
        <v>3</v>
      </c>
      <c r="G2149" s="1">
        <v>278</v>
      </c>
      <c r="H2149">
        <f t="shared" si="99"/>
        <v>2015</v>
      </c>
      <c r="I2149">
        <f t="shared" si="100"/>
        <v>2018</v>
      </c>
      <c r="J2149" s="7">
        <f t="shared" si="101"/>
        <v>16103.973396938611</v>
      </c>
      <c r="K2149" s="7"/>
    </row>
    <row r="2150" spans="1:11" x14ac:dyDescent="0.25">
      <c r="A2150" s="1" t="s">
        <v>19</v>
      </c>
      <c r="B2150" s="2">
        <v>201504</v>
      </c>
      <c r="C2150" s="2">
        <v>201803</v>
      </c>
      <c r="D2150" s="10">
        <v>57.601217296485352</v>
      </c>
      <c r="E2150" s="10">
        <v>14061.032954973311</v>
      </c>
      <c r="F2150" s="1">
        <v>6</v>
      </c>
      <c r="G2150" s="1">
        <v>234</v>
      </c>
      <c r="H2150">
        <f t="shared" si="99"/>
        <v>2015</v>
      </c>
      <c r="I2150">
        <f t="shared" si="100"/>
        <v>2018</v>
      </c>
      <c r="J2150" s="7">
        <f t="shared" si="101"/>
        <v>14118.634172269796</v>
      </c>
      <c r="K2150" s="7"/>
    </row>
    <row r="2151" spans="1:11" x14ac:dyDescent="0.25">
      <c r="A2151" s="1" t="s">
        <v>19</v>
      </c>
      <c r="B2151" s="2">
        <v>201504</v>
      </c>
      <c r="C2151" s="2">
        <v>201804</v>
      </c>
      <c r="D2151" s="10">
        <v>-82.764544841376591</v>
      </c>
      <c r="E2151" s="10">
        <v>12898.434980704727</v>
      </c>
      <c r="F2151" s="1">
        <v>2</v>
      </c>
      <c r="G2151" s="1">
        <v>211</v>
      </c>
      <c r="H2151">
        <f t="shared" si="99"/>
        <v>2015</v>
      </c>
      <c r="I2151">
        <f t="shared" si="100"/>
        <v>2018</v>
      </c>
      <c r="J2151" s="7">
        <f t="shared" si="101"/>
        <v>12815.670435863351</v>
      </c>
      <c r="K2151" s="7"/>
    </row>
    <row r="2152" spans="1:11" x14ac:dyDescent="0.25">
      <c r="A2152" s="1" t="s">
        <v>19</v>
      </c>
      <c r="B2152" s="2">
        <v>201504</v>
      </c>
      <c r="C2152" s="2">
        <v>201901</v>
      </c>
      <c r="D2152" s="10">
        <v>220.45513536184981</v>
      </c>
      <c r="E2152" s="10">
        <v>9656.1921243400629</v>
      </c>
      <c r="F2152" s="1">
        <v>1</v>
      </c>
      <c r="G2152" s="1">
        <v>178</v>
      </c>
      <c r="H2152">
        <f t="shared" si="99"/>
        <v>2015</v>
      </c>
      <c r="I2152">
        <f t="shared" si="100"/>
        <v>2019</v>
      </c>
      <c r="J2152" s="7">
        <f t="shared" si="101"/>
        <v>9876.6472597019128</v>
      </c>
      <c r="K2152" s="7"/>
    </row>
    <row r="2153" spans="1:11" x14ac:dyDescent="0.25">
      <c r="A2153" s="1" t="s">
        <v>19</v>
      </c>
      <c r="B2153" s="2">
        <v>201504</v>
      </c>
      <c r="C2153" s="2">
        <v>201902</v>
      </c>
      <c r="D2153" s="10">
        <v>-77.462638522000773</v>
      </c>
      <c r="E2153" s="10">
        <v>2770.682812794214</v>
      </c>
      <c r="F2153" s="1">
        <v>0</v>
      </c>
      <c r="G2153" s="1">
        <v>54</v>
      </c>
      <c r="H2153">
        <f t="shared" si="99"/>
        <v>2015</v>
      </c>
      <c r="I2153">
        <f t="shared" si="100"/>
        <v>2019</v>
      </c>
      <c r="J2153" s="7">
        <f t="shared" si="101"/>
        <v>2693.2201742722132</v>
      </c>
      <c r="K2153" s="7"/>
    </row>
    <row r="2154" spans="1:11" x14ac:dyDescent="0.25">
      <c r="A2154" s="1" t="s">
        <v>19</v>
      </c>
      <c r="B2154" s="2">
        <v>201504</v>
      </c>
      <c r="C2154" s="2">
        <v>201903</v>
      </c>
      <c r="D2154" s="10">
        <v>-777.96086076494964</v>
      </c>
      <c r="E2154" s="10">
        <v>2613.03170848225</v>
      </c>
      <c r="F2154" s="1">
        <v>1</v>
      </c>
      <c r="G2154" s="1">
        <v>48</v>
      </c>
      <c r="H2154">
        <f t="shared" si="99"/>
        <v>2015</v>
      </c>
      <c r="I2154">
        <f t="shared" si="100"/>
        <v>2019</v>
      </c>
      <c r="J2154" s="7">
        <f t="shared" si="101"/>
        <v>1835.0708477173002</v>
      </c>
      <c r="K2154" s="7"/>
    </row>
    <row r="2155" spans="1:11" x14ac:dyDescent="0.25">
      <c r="A2155" s="1" t="s">
        <v>19</v>
      </c>
      <c r="B2155" s="2">
        <v>201504</v>
      </c>
      <c r="C2155" s="2">
        <v>201904</v>
      </c>
      <c r="D2155" s="10">
        <v>121.61816309262755</v>
      </c>
      <c r="E2155" s="10">
        <v>1486.2325111724022</v>
      </c>
      <c r="F2155" s="1">
        <v>0</v>
      </c>
      <c r="G2155" s="1">
        <v>26</v>
      </c>
      <c r="H2155">
        <f t="shared" si="99"/>
        <v>2015</v>
      </c>
      <c r="I2155">
        <f t="shared" si="100"/>
        <v>2019</v>
      </c>
      <c r="J2155" s="7">
        <f t="shared" si="101"/>
        <v>1607.8506742650297</v>
      </c>
      <c r="K2155" s="7"/>
    </row>
    <row r="2156" spans="1:11" x14ac:dyDescent="0.25">
      <c r="A2156" s="1" t="s">
        <v>19</v>
      </c>
      <c r="B2156" s="2">
        <v>201504</v>
      </c>
      <c r="C2156" s="2">
        <v>202001</v>
      </c>
      <c r="D2156" s="10">
        <v>-196.84754731259798</v>
      </c>
      <c r="E2156" s="10">
        <v>815.66549930484996</v>
      </c>
      <c r="F2156" s="1">
        <v>0</v>
      </c>
      <c r="G2156" s="1">
        <v>19</v>
      </c>
      <c r="H2156">
        <f t="shared" si="99"/>
        <v>2015</v>
      </c>
      <c r="I2156">
        <f t="shared" si="100"/>
        <v>2020</v>
      </c>
      <c r="J2156" s="7">
        <f t="shared" si="101"/>
        <v>618.81795199225201</v>
      </c>
      <c r="K2156" s="7"/>
    </row>
    <row r="2157" spans="1:11" x14ac:dyDescent="0.25">
      <c r="A2157" s="1" t="s">
        <v>19</v>
      </c>
      <c r="B2157" s="2">
        <v>201504</v>
      </c>
      <c r="C2157" s="2">
        <v>202002</v>
      </c>
      <c r="D2157" s="10">
        <v>64.358199627695441</v>
      </c>
      <c r="E2157" s="10">
        <v>529.1749661998748</v>
      </c>
      <c r="F2157" s="1">
        <v>1</v>
      </c>
      <c r="G2157" s="1">
        <v>12</v>
      </c>
      <c r="H2157">
        <f t="shared" si="99"/>
        <v>2015</v>
      </c>
      <c r="I2157">
        <f t="shared" si="100"/>
        <v>2020</v>
      </c>
      <c r="J2157" s="7">
        <f t="shared" si="101"/>
        <v>593.5331658275702</v>
      </c>
      <c r="K2157" s="7"/>
    </row>
    <row r="2158" spans="1:11" x14ac:dyDescent="0.25">
      <c r="A2158" s="1" t="s">
        <v>19</v>
      </c>
      <c r="B2158" s="2">
        <v>201504</v>
      </c>
      <c r="C2158" s="2">
        <v>202003</v>
      </c>
      <c r="D2158" s="10">
        <v>-33.809580948615029</v>
      </c>
      <c r="E2158" s="10">
        <v>529.63578769733056</v>
      </c>
      <c r="F2158" s="1">
        <v>0</v>
      </c>
      <c r="G2158" s="1">
        <v>12</v>
      </c>
      <c r="H2158">
        <f t="shared" si="99"/>
        <v>2015</v>
      </c>
      <c r="I2158">
        <f t="shared" si="100"/>
        <v>2020</v>
      </c>
      <c r="J2158" s="7">
        <f t="shared" si="101"/>
        <v>495.82620674871555</v>
      </c>
      <c r="K2158" s="7"/>
    </row>
    <row r="2159" spans="1:11" x14ac:dyDescent="0.25">
      <c r="A2159" s="1" t="s">
        <v>19</v>
      </c>
      <c r="B2159" s="2">
        <v>201504</v>
      </c>
      <c r="C2159" s="2">
        <v>202004</v>
      </c>
      <c r="D2159" s="10">
        <v>-6.708455016318478</v>
      </c>
      <c r="E2159" s="10">
        <v>518.91856711655441</v>
      </c>
      <c r="F2159" s="1">
        <v>0</v>
      </c>
      <c r="G2159" s="1">
        <v>11</v>
      </c>
      <c r="H2159">
        <f t="shared" si="99"/>
        <v>2015</v>
      </c>
      <c r="I2159">
        <f t="shared" si="100"/>
        <v>2020</v>
      </c>
      <c r="J2159" s="7">
        <f t="shared" si="101"/>
        <v>512.21011210023596</v>
      </c>
      <c r="K2159" s="7"/>
    </row>
    <row r="2160" spans="1:11" x14ac:dyDescent="0.25">
      <c r="A2160" s="1" t="s">
        <v>19</v>
      </c>
      <c r="B2160" s="2">
        <v>201504</v>
      </c>
      <c r="C2160" s="2">
        <v>202101</v>
      </c>
      <c r="D2160" s="10">
        <v>0</v>
      </c>
      <c r="E2160" s="10">
        <v>518.17604626920081</v>
      </c>
      <c r="F2160" s="1">
        <v>0</v>
      </c>
      <c r="G2160" s="1">
        <v>6</v>
      </c>
      <c r="H2160">
        <f t="shared" si="99"/>
        <v>2015</v>
      </c>
      <c r="I2160">
        <f t="shared" si="100"/>
        <v>2021</v>
      </c>
      <c r="J2160" s="7">
        <f t="shared" si="101"/>
        <v>518.17604626920081</v>
      </c>
      <c r="K2160" s="7"/>
    </row>
    <row r="2161" spans="1:11" x14ac:dyDescent="0.25">
      <c r="A2161" s="1" t="s">
        <v>19</v>
      </c>
      <c r="B2161" s="2">
        <v>201504</v>
      </c>
      <c r="C2161" s="2">
        <v>202102</v>
      </c>
      <c r="D2161" s="10">
        <v>-14.104142881118721</v>
      </c>
      <c r="E2161" s="10">
        <v>506.77614208377861</v>
      </c>
      <c r="F2161" s="1">
        <v>0</v>
      </c>
      <c r="G2161" s="1">
        <v>6</v>
      </c>
      <c r="H2161">
        <f t="shared" si="99"/>
        <v>2015</v>
      </c>
      <c r="I2161">
        <f t="shared" si="100"/>
        <v>2021</v>
      </c>
      <c r="J2161" s="7">
        <f t="shared" si="101"/>
        <v>492.67199920265989</v>
      </c>
      <c r="K2161" s="7"/>
    </row>
    <row r="2162" spans="1:11" x14ac:dyDescent="0.25">
      <c r="A2162" s="1" t="s">
        <v>19</v>
      </c>
      <c r="B2162" s="2">
        <v>201504</v>
      </c>
      <c r="C2162" s="2">
        <v>202103</v>
      </c>
      <c r="D2162" s="10">
        <v>0</v>
      </c>
      <c r="E2162" s="10">
        <v>504.09530303050377</v>
      </c>
      <c r="F2162" s="1">
        <v>0</v>
      </c>
      <c r="G2162" s="1">
        <v>6</v>
      </c>
      <c r="H2162">
        <f t="shared" si="99"/>
        <v>2015</v>
      </c>
      <c r="I2162">
        <f t="shared" si="100"/>
        <v>2021</v>
      </c>
      <c r="J2162" s="7">
        <f t="shared" si="101"/>
        <v>504.09530303050377</v>
      </c>
      <c r="K2162" s="7"/>
    </row>
    <row r="2163" spans="1:11" x14ac:dyDescent="0.25">
      <c r="A2163" s="1" t="s">
        <v>19</v>
      </c>
      <c r="B2163" s="2">
        <v>201504</v>
      </c>
      <c r="C2163" s="2">
        <v>202104</v>
      </c>
      <c r="D2163" s="10">
        <v>-14.490370452136659</v>
      </c>
      <c r="E2163" s="10">
        <v>275.01794226040897</v>
      </c>
      <c r="F2163" s="1">
        <v>0</v>
      </c>
      <c r="G2163" s="1">
        <v>5</v>
      </c>
      <c r="H2163">
        <f t="shared" si="99"/>
        <v>2015</v>
      </c>
      <c r="I2163">
        <f t="shared" si="100"/>
        <v>2021</v>
      </c>
      <c r="J2163" s="7">
        <f t="shared" si="101"/>
        <v>260.52757180827234</v>
      </c>
      <c r="K2163" s="7"/>
    </row>
    <row r="2164" spans="1:11" x14ac:dyDescent="0.25">
      <c r="A2164" s="1" t="s">
        <v>19</v>
      </c>
      <c r="B2164" s="2">
        <v>201601</v>
      </c>
      <c r="C2164" s="2">
        <v>201601</v>
      </c>
      <c r="D2164" s="10">
        <v>678332.0061737299</v>
      </c>
      <c r="E2164" s="10">
        <v>498497.01222362171</v>
      </c>
      <c r="F2164" s="1">
        <v>14284</v>
      </c>
      <c r="G2164" s="1">
        <v>5247</v>
      </c>
      <c r="H2164">
        <f t="shared" si="99"/>
        <v>2016</v>
      </c>
      <c r="I2164">
        <f t="shared" si="100"/>
        <v>2016</v>
      </c>
      <c r="J2164" s="7">
        <f t="shared" si="101"/>
        <v>1176829.0183973517</v>
      </c>
      <c r="K2164" s="7"/>
    </row>
    <row r="2165" spans="1:11" x14ac:dyDescent="0.25">
      <c r="A2165" s="1" t="s">
        <v>19</v>
      </c>
      <c r="B2165" s="2">
        <v>201601</v>
      </c>
      <c r="C2165" s="2">
        <v>201602</v>
      </c>
      <c r="D2165" s="10">
        <v>570360.26054426073</v>
      </c>
      <c r="E2165" s="10">
        <v>221370.93656107676</v>
      </c>
      <c r="F2165" s="1">
        <v>3810</v>
      </c>
      <c r="G2165" s="1">
        <v>2777</v>
      </c>
      <c r="H2165">
        <f t="shared" si="99"/>
        <v>2016</v>
      </c>
      <c r="I2165">
        <f t="shared" si="100"/>
        <v>2016</v>
      </c>
      <c r="J2165" s="7">
        <f t="shared" si="101"/>
        <v>791731.19710533752</v>
      </c>
      <c r="K2165" s="7"/>
    </row>
    <row r="2166" spans="1:11" x14ac:dyDescent="0.25">
      <c r="A2166" s="1" t="s">
        <v>19</v>
      </c>
      <c r="B2166" s="2">
        <v>201601</v>
      </c>
      <c r="C2166" s="2">
        <v>201603</v>
      </c>
      <c r="D2166" s="10">
        <v>217654.98698880267</v>
      </c>
      <c r="E2166" s="10">
        <v>155698.25621611957</v>
      </c>
      <c r="F2166" s="1">
        <v>617</v>
      </c>
      <c r="G2166" s="1">
        <v>2011</v>
      </c>
      <c r="H2166">
        <f t="shared" si="99"/>
        <v>2016</v>
      </c>
      <c r="I2166">
        <f t="shared" si="100"/>
        <v>2016</v>
      </c>
      <c r="J2166" s="7">
        <f t="shared" si="101"/>
        <v>373353.24320492224</v>
      </c>
      <c r="K2166" s="7"/>
    </row>
    <row r="2167" spans="1:11" x14ac:dyDescent="0.25">
      <c r="A2167" s="1" t="s">
        <v>19</v>
      </c>
      <c r="B2167" s="2">
        <v>201601</v>
      </c>
      <c r="C2167" s="2">
        <v>201604</v>
      </c>
      <c r="D2167" s="10">
        <v>182095.52668027938</v>
      </c>
      <c r="E2167" s="10">
        <v>120306.07541928424</v>
      </c>
      <c r="F2167" s="1">
        <v>211</v>
      </c>
      <c r="G2167" s="1">
        <v>1543</v>
      </c>
      <c r="H2167">
        <f t="shared" si="99"/>
        <v>2016</v>
      </c>
      <c r="I2167">
        <f t="shared" si="100"/>
        <v>2016</v>
      </c>
      <c r="J2167" s="7">
        <f t="shared" si="101"/>
        <v>302401.60209956364</v>
      </c>
      <c r="K2167" s="7"/>
    </row>
    <row r="2168" spans="1:11" x14ac:dyDescent="0.25">
      <c r="A2168" s="1" t="s">
        <v>19</v>
      </c>
      <c r="B2168" s="2">
        <v>201601</v>
      </c>
      <c r="C2168" s="2">
        <v>201701</v>
      </c>
      <c r="D2168" s="10">
        <v>140782.43696472593</v>
      </c>
      <c r="E2168" s="10">
        <v>97237.812823431421</v>
      </c>
      <c r="F2168" s="1">
        <v>181</v>
      </c>
      <c r="G2168" s="1">
        <v>1343</v>
      </c>
      <c r="H2168">
        <f t="shared" si="99"/>
        <v>2016</v>
      </c>
      <c r="I2168">
        <f t="shared" si="100"/>
        <v>2017</v>
      </c>
      <c r="J2168" s="7">
        <f t="shared" si="101"/>
        <v>238020.24978815735</v>
      </c>
      <c r="K2168" s="7"/>
    </row>
    <row r="2169" spans="1:11" x14ac:dyDescent="0.25">
      <c r="A2169" s="1" t="s">
        <v>19</v>
      </c>
      <c r="B2169" s="2">
        <v>201601</v>
      </c>
      <c r="C2169" s="2">
        <v>201702</v>
      </c>
      <c r="D2169" s="10">
        <v>26613.236023274454</v>
      </c>
      <c r="E2169" s="10">
        <v>83655.379134202682</v>
      </c>
      <c r="F2169" s="1">
        <v>53</v>
      </c>
      <c r="G2169" s="1">
        <v>1109</v>
      </c>
      <c r="H2169">
        <f t="shared" si="99"/>
        <v>2016</v>
      </c>
      <c r="I2169">
        <f t="shared" si="100"/>
        <v>2017</v>
      </c>
      <c r="J2169" s="7">
        <f t="shared" si="101"/>
        <v>110268.61515747714</v>
      </c>
      <c r="K2169" s="7"/>
    </row>
    <row r="2170" spans="1:11" x14ac:dyDescent="0.25">
      <c r="A2170" s="1" t="s">
        <v>19</v>
      </c>
      <c r="B2170" s="2">
        <v>201601</v>
      </c>
      <c r="C2170" s="2">
        <v>201703</v>
      </c>
      <c r="D2170" s="10">
        <v>12186.372014280647</v>
      </c>
      <c r="E2170" s="10">
        <v>74360.388285695197</v>
      </c>
      <c r="F2170" s="1">
        <v>36</v>
      </c>
      <c r="G2170" s="1">
        <v>1037</v>
      </c>
      <c r="H2170">
        <f t="shared" si="99"/>
        <v>2016</v>
      </c>
      <c r="I2170">
        <f t="shared" si="100"/>
        <v>2017</v>
      </c>
      <c r="J2170" s="7">
        <f t="shared" si="101"/>
        <v>86546.760299975838</v>
      </c>
      <c r="K2170" s="7"/>
    </row>
    <row r="2171" spans="1:11" x14ac:dyDescent="0.25">
      <c r="A2171" s="1" t="s">
        <v>19</v>
      </c>
      <c r="B2171" s="2">
        <v>201601</v>
      </c>
      <c r="C2171" s="2">
        <v>201704</v>
      </c>
      <c r="D2171" s="10">
        <v>5742.71662250598</v>
      </c>
      <c r="E2171" s="10">
        <v>71025.064134390515</v>
      </c>
      <c r="F2171" s="1">
        <v>20</v>
      </c>
      <c r="G2171" s="1">
        <v>935</v>
      </c>
      <c r="H2171">
        <f t="shared" si="99"/>
        <v>2016</v>
      </c>
      <c r="I2171">
        <f t="shared" si="100"/>
        <v>2017</v>
      </c>
      <c r="J2171" s="7">
        <f t="shared" si="101"/>
        <v>76767.780756896493</v>
      </c>
      <c r="K2171" s="7"/>
    </row>
    <row r="2172" spans="1:11" x14ac:dyDescent="0.25">
      <c r="A2172" s="1" t="s">
        <v>19</v>
      </c>
      <c r="B2172" s="2">
        <v>201601</v>
      </c>
      <c r="C2172" s="2">
        <v>201801</v>
      </c>
      <c r="D2172" s="10">
        <v>5928.5083378962345</v>
      </c>
      <c r="E2172" s="10">
        <v>58892.783494835967</v>
      </c>
      <c r="F2172" s="1">
        <v>18</v>
      </c>
      <c r="G2172" s="1">
        <v>784</v>
      </c>
      <c r="H2172">
        <f t="shared" si="99"/>
        <v>2016</v>
      </c>
      <c r="I2172">
        <f t="shared" si="100"/>
        <v>2018</v>
      </c>
      <c r="J2172" s="7">
        <f t="shared" si="101"/>
        <v>64821.291832732204</v>
      </c>
      <c r="K2172" s="7"/>
    </row>
    <row r="2173" spans="1:11" x14ac:dyDescent="0.25">
      <c r="A2173" s="1" t="s">
        <v>19</v>
      </c>
      <c r="B2173" s="2">
        <v>201601</v>
      </c>
      <c r="C2173" s="2">
        <v>201802</v>
      </c>
      <c r="D2173" s="10">
        <v>737.44339938955329</v>
      </c>
      <c r="E2173" s="10">
        <v>24787.39561791479</v>
      </c>
      <c r="F2173" s="1">
        <v>8</v>
      </c>
      <c r="G2173" s="1">
        <v>349</v>
      </c>
      <c r="H2173">
        <f t="shared" si="99"/>
        <v>2016</v>
      </c>
      <c r="I2173">
        <f t="shared" si="100"/>
        <v>2018</v>
      </c>
      <c r="J2173" s="7">
        <f t="shared" si="101"/>
        <v>25524.839017304344</v>
      </c>
      <c r="K2173" s="7"/>
    </row>
    <row r="2174" spans="1:11" x14ac:dyDescent="0.25">
      <c r="A2174" s="1" t="s">
        <v>19</v>
      </c>
      <c r="B2174" s="2">
        <v>201601</v>
      </c>
      <c r="C2174" s="2">
        <v>201803</v>
      </c>
      <c r="D2174" s="10">
        <v>1099.720327558269</v>
      </c>
      <c r="E2174" s="10">
        <v>22117.256749347747</v>
      </c>
      <c r="F2174" s="1">
        <v>5</v>
      </c>
      <c r="G2174" s="1">
        <v>306</v>
      </c>
      <c r="H2174">
        <f t="shared" si="99"/>
        <v>2016</v>
      </c>
      <c r="I2174">
        <f t="shared" si="100"/>
        <v>2018</v>
      </c>
      <c r="J2174" s="7">
        <f t="shared" si="101"/>
        <v>23216.977076906016</v>
      </c>
      <c r="K2174" s="7"/>
    </row>
    <row r="2175" spans="1:11" x14ac:dyDescent="0.25">
      <c r="A2175" s="1" t="s">
        <v>19</v>
      </c>
      <c r="B2175" s="2">
        <v>201601</v>
      </c>
      <c r="C2175" s="2">
        <v>201804</v>
      </c>
      <c r="D2175" s="10">
        <v>704.01901031007901</v>
      </c>
      <c r="E2175" s="10">
        <v>18517.95214917864</v>
      </c>
      <c r="F2175" s="1">
        <v>5</v>
      </c>
      <c r="G2175" s="1">
        <v>249</v>
      </c>
      <c r="H2175">
        <f t="shared" si="99"/>
        <v>2016</v>
      </c>
      <c r="I2175">
        <f t="shared" si="100"/>
        <v>2018</v>
      </c>
      <c r="J2175" s="7">
        <f t="shared" si="101"/>
        <v>19221.971159488719</v>
      </c>
      <c r="K2175" s="7"/>
    </row>
    <row r="2176" spans="1:11" x14ac:dyDescent="0.25">
      <c r="A2176" s="1" t="s">
        <v>19</v>
      </c>
      <c r="B2176" s="2">
        <v>201601</v>
      </c>
      <c r="C2176" s="2">
        <v>201901</v>
      </c>
      <c r="D2176" s="10">
        <v>-255.84959514901968</v>
      </c>
      <c r="E2176" s="10">
        <v>15372.429549029726</v>
      </c>
      <c r="F2176" s="1">
        <v>3</v>
      </c>
      <c r="G2176" s="1">
        <v>199</v>
      </c>
      <c r="H2176">
        <f t="shared" si="99"/>
        <v>2016</v>
      </c>
      <c r="I2176">
        <f t="shared" si="100"/>
        <v>2019</v>
      </c>
      <c r="J2176" s="7">
        <f t="shared" si="101"/>
        <v>15116.579953880706</v>
      </c>
      <c r="K2176" s="7"/>
    </row>
    <row r="2177" spans="1:11" x14ac:dyDescent="0.25">
      <c r="A2177" s="1" t="s">
        <v>19</v>
      </c>
      <c r="B2177" s="2">
        <v>201601</v>
      </c>
      <c r="C2177" s="2">
        <v>201902</v>
      </c>
      <c r="D2177" s="10">
        <v>232.57671642081627</v>
      </c>
      <c r="E2177" s="10">
        <v>5884.3889101954228</v>
      </c>
      <c r="F2177" s="1">
        <v>1</v>
      </c>
      <c r="G2177" s="1">
        <v>72</v>
      </c>
      <c r="H2177">
        <f t="shared" si="99"/>
        <v>2016</v>
      </c>
      <c r="I2177">
        <f t="shared" si="100"/>
        <v>2019</v>
      </c>
      <c r="J2177" s="7">
        <f t="shared" si="101"/>
        <v>6116.9656266162392</v>
      </c>
      <c r="K2177" s="7"/>
    </row>
    <row r="2178" spans="1:11" x14ac:dyDescent="0.25">
      <c r="A2178" s="1" t="s">
        <v>19</v>
      </c>
      <c r="B2178" s="2">
        <v>201601</v>
      </c>
      <c r="C2178" s="2">
        <v>201903</v>
      </c>
      <c r="D2178" s="10">
        <v>-278.12573349799169</v>
      </c>
      <c r="E2178" s="10">
        <v>5561.7241079282257</v>
      </c>
      <c r="F2178" s="1">
        <v>2</v>
      </c>
      <c r="G2178" s="1">
        <v>67</v>
      </c>
      <c r="H2178">
        <f t="shared" si="99"/>
        <v>2016</v>
      </c>
      <c r="I2178">
        <f t="shared" si="100"/>
        <v>2019</v>
      </c>
      <c r="J2178" s="7">
        <f t="shared" si="101"/>
        <v>5283.5983744302339</v>
      </c>
      <c r="K2178" s="7"/>
    </row>
    <row r="2179" spans="1:11" x14ac:dyDescent="0.25">
      <c r="A2179" s="1" t="s">
        <v>19</v>
      </c>
      <c r="B2179" s="2">
        <v>201601</v>
      </c>
      <c r="C2179" s="2">
        <v>201904</v>
      </c>
      <c r="D2179" s="10">
        <v>56.332235180662146</v>
      </c>
      <c r="E2179" s="10">
        <v>5050.6485077824718</v>
      </c>
      <c r="F2179" s="1">
        <v>0</v>
      </c>
      <c r="G2179" s="1">
        <v>50</v>
      </c>
      <c r="H2179">
        <f t="shared" si="99"/>
        <v>2016</v>
      </c>
      <c r="I2179">
        <f t="shared" si="100"/>
        <v>2019</v>
      </c>
      <c r="J2179" s="7">
        <f t="shared" si="101"/>
        <v>5106.9807429631337</v>
      </c>
      <c r="K2179" s="7"/>
    </row>
    <row r="2180" spans="1:11" x14ac:dyDescent="0.25">
      <c r="A2180" s="1" t="s">
        <v>19</v>
      </c>
      <c r="B2180" s="2">
        <v>201601</v>
      </c>
      <c r="C2180" s="2">
        <v>202001</v>
      </c>
      <c r="D2180" s="10">
        <v>18.985307776150023</v>
      </c>
      <c r="E2180" s="10">
        <v>4575.5894368930485</v>
      </c>
      <c r="F2180" s="1">
        <v>1</v>
      </c>
      <c r="G2180" s="1">
        <v>40</v>
      </c>
      <c r="H2180">
        <f t="shared" ref="H2180:H2243" si="102">VALUE(LEFT(B2180,4))</f>
        <v>2016</v>
      </c>
      <c r="I2180">
        <f t="shared" ref="I2180:I2243" si="103">VALUE(LEFT(C2180,4))</f>
        <v>2020</v>
      </c>
      <c r="J2180" s="7">
        <f t="shared" si="101"/>
        <v>4594.5747446691985</v>
      </c>
      <c r="K2180" s="7"/>
    </row>
    <row r="2181" spans="1:11" x14ac:dyDescent="0.25">
      <c r="A2181" s="1" t="s">
        <v>19</v>
      </c>
      <c r="B2181" s="2">
        <v>201601</v>
      </c>
      <c r="C2181" s="2">
        <v>202002</v>
      </c>
      <c r="D2181" s="10">
        <v>671.2313713348708</v>
      </c>
      <c r="E2181" s="10">
        <v>449.70883724558371</v>
      </c>
      <c r="F2181" s="1">
        <v>0</v>
      </c>
      <c r="G2181" s="1">
        <v>10</v>
      </c>
      <c r="H2181">
        <f t="shared" si="102"/>
        <v>2016</v>
      </c>
      <c r="I2181">
        <f t="shared" si="103"/>
        <v>2020</v>
      </c>
      <c r="J2181" s="7">
        <f t="shared" ref="J2181:J2244" si="104">D2181+E2181</f>
        <v>1120.9402085804545</v>
      </c>
      <c r="K2181" s="7"/>
    </row>
    <row r="2182" spans="1:11" x14ac:dyDescent="0.25">
      <c r="A2182" s="1" t="s">
        <v>19</v>
      </c>
      <c r="B2182" s="2">
        <v>201601</v>
      </c>
      <c r="C2182" s="2">
        <v>202003</v>
      </c>
      <c r="D2182" s="10">
        <v>61.979974376803554</v>
      </c>
      <c r="E2182" s="10">
        <v>378.50518161000798</v>
      </c>
      <c r="F2182" s="1">
        <v>0</v>
      </c>
      <c r="G2182" s="1">
        <v>9</v>
      </c>
      <c r="H2182">
        <f t="shared" si="102"/>
        <v>2016</v>
      </c>
      <c r="I2182">
        <f t="shared" si="103"/>
        <v>2020</v>
      </c>
      <c r="J2182" s="7">
        <f t="shared" si="104"/>
        <v>440.48515598681155</v>
      </c>
      <c r="K2182" s="7"/>
    </row>
    <row r="2183" spans="1:11" x14ac:dyDescent="0.25">
      <c r="A2183" s="1" t="s">
        <v>19</v>
      </c>
      <c r="B2183" s="2">
        <v>201601</v>
      </c>
      <c r="C2183" s="2">
        <v>202004</v>
      </c>
      <c r="D2183" s="10">
        <v>-5.296971570905546</v>
      </c>
      <c r="E2183" s="10">
        <v>378.66350129792062</v>
      </c>
      <c r="F2183" s="1">
        <v>0</v>
      </c>
      <c r="G2183" s="1">
        <v>8</v>
      </c>
      <c r="H2183">
        <f t="shared" si="102"/>
        <v>2016</v>
      </c>
      <c r="I2183">
        <f t="shared" si="103"/>
        <v>2020</v>
      </c>
      <c r="J2183" s="7">
        <f t="shared" si="104"/>
        <v>373.36652972701506</v>
      </c>
      <c r="K2183" s="7"/>
    </row>
    <row r="2184" spans="1:11" x14ac:dyDescent="0.25">
      <c r="A2184" s="1" t="s">
        <v>19</v>
      </c>
      <c r="B2184" s="2">
        <v>201601</v>
      </c>
      <c r="C2184" s="2">
        <v>202101</v>
      </c>
      <c r="D2184" s="10">
        <v>-22.834271484573861</v>
      </c>
      <c r="E2184" s="10">
        <v>390.59796449414318</v>
      </c>
      <c r="F2184" s="1">
        <v>0</v>
      </c>
      <c r="G2184" s="1">
        <v>8</v>
      </c>
      <c r="H2184">
        <f t="shared" si="102"/>
        <v>2016</v>
      </c>
      <c r="I2184">
        <f t="shared" si="103"/>
        <v>2021</v>
      </c>
      <c r="J2184" s="7">
        <f t="shared" si="104"/>
        <v>367.76369300956935</v>
      </c>
      <c r="K2184" s="7"/>
    </row>
    <row r="2185" spans="1:11" x14ac:dyDescent="0.25">
      <c r="A2185" s="1" t="s">
        <v>19</v>
      </c>
      <c r="B2185" s="2">
        <v>201601</v>
      </c>
      <c r="C2185" s="2">
        <v>202102</v>
      </c>
      <c r="D2185" s="10">
        <v>54.252943384519696</v>
      </c>
      <c r="E2185" s="10">
        <v>376.78571458893703</v>
      </c>
      <c r="F2185" s="1">
        <v>0</v>
      </c>
      <c r="G2185" s="1">
        <v>6</v>
      </c>
      <c r="H2185">
        <f t="shared" si="102"/>
        <v>2016</v>
      </c>
      <c r="I2185">
        <f t="shared" si="103"/>
        <v>2021</v>
      </c>
      <c r="J2185" s="7">
        <f t="shared" si="104"/>
        <v>431.03865797345674</v>
      </c>
      <c r="K2185" s="7"/>
    </row>
    <row r="2186" spans="1:11" x14ac:dyDescent="0.25">
      <c r="A2186" s="1" t="s">
        <v>19</v>
      </c>
      <c r="B2186" s="2">
        <v>201601</v>
      </c>
      <c r="C2186" s="2">
        <v>202103</v>
      </c>
      <c r="D2186" s="10">
        <v>-55.111025930077815</v>
      </c>
      <c r="E2186" s="10">
        <v>386.06305769813139</v>
      </c>
      <c r="F2186" s="1">
        <v>0</v>
      </c>
      <c r="G2186" s="1">
        <v>5</v>
      </c>
      <c r="H2186">
        <f t="shared" si="102"/>
        <v>2016</v>
      </c>
      <c r="I2186">
        <f t="shared" si="103"/>
        <v>2021</v>
      </c>
      <c r="J2186" s="7">
        <f t="shared" si="104"/>
        <v>330.95203176805359</v>
      </c>
      <c r="K2186" s="7"/>
    </row>
    <row r="2187" spans="1:11" x14ac:dyDescent="0.25">
      <c r="A2187" s="1" t="s">
        <v>19</v>
      </c>
      <c r="B2187" s="2">
        <v>201601</v>
      </c>
      <c r="C2187" s="2">
        <v>202104</v>
      </c>
      <c r="D2187" s="10">
        <v>25.72649395822523</v>
      </c>
      <c r="E2187" s="10">
        <v>160.8450359435964</v>
      </c>
      <c r="F2187" s="1">
        <v>0</v>
      </c>
      <c r="G2187" s="1">
        <v>4</v>
      </c>
      <c r="H2187">
        <f t="shared" si="102"/>
        <v>2016</v>
      </c>
      <c r="I2187">
        <f t="shared" si="103"/>
        <v>2021</v>
      </c>
      <c r="J2187" s="7">
        <f t="shared" si="104"/>
        <v>186.57152990182163</v>
      </c>
      <c r="K2187" s="7"/>
    </row>
    <row r="2188" spans="1:11" x14ac:dyDescent="0.25">
      <c r="A2188" s="1" t="s">
        <v>19</v>
      </c>
      <c r="B2188" s="2">
        <v>201602</v>
      </c>
      <c r="C2188" s="2">
        <v>201602</v>
      </c>
      <c r="D2188" s="10">
        <v>570108.87511364406</v>
      </c>
      <c r="E2188" s="10">
        <v>628965.73580923094</v>
      </c>
      <c r="F2188" s="1">
        <v>14459</v>
      </c>
      <c r="G2188" s="1">
        <v>5916</v>
      </c>
      <c r="H2188">
        <f t="shared" si="102"/>
        <v>2016</v>
      </c>
      <c r="I2188">
        <f t="shared" si="103"/>
        <v>2016</v>
      </c>
      <c r="J2188" s="7">
        <f t="shared" si="104"/>
        <v>1199074.6109228749</v>
      </c>
      <c r="K2188" s="7"/>
    </row>
    <row r="2189" spans="1:11" x14ac:dyDescent="0.25">
      <c r="A2189" s="1" t="s">
        <v>19</v>
      </c>
      <c r="B2189" s="2">
        <v>201602</v>
      </c>
      <c r="C2189" s="2">
        <v>201603</v>
      </c>
      <c r="D2189" s="10">
        <v>632723.83735216642</v>
      </c>
      <c r="E2189" s="10">
        <v>305379.81321895414</v>
      </c>
      <c r="F2189" s="1">
        <v>4453</v>
      </c>
      <c r="G2189" s="1">
        <v>3331</v>
      </c>
      <c r="H2189">
        <f t="shared" si="102"/>
        <v>2016</v>
      </c>
      <c r="I2189">
        <f t="shared" si="103"/>
        <v>2016</v>
      </c>
      <c r="J2189" s="7">
        <f t="shared" si="104"/>
        <v>938103.65057112055</v>
      </c>
      <c r="K2189" s="7"/>
    </row>
    <row r="2190" spans="1:11" x14ac:dyDescent="0.25">
      <c r="A2190" s="1" t="s">
        <v>19</v>
      </c>
      <c r="B2190" s="2">
        <v>201602</v>
      </c>
      <c r="C2190" s="2">
        <v>201604</v>
      </c>
      <c r="D2190" s="10">
        <v>134288.92103341123</v>
      </c>
      <c r="E2190" s="10">
        <v>184714.76174052805</v>
      </c>
      <c r="F2190" s="1">
        <v>624</v>
      </c>
      <c r="G2190" s="1">
        <v>2261</v>
      </c>
      <c r="H2190">
        <f t="shared" si="102"/>
        <v>2016</v>
      </c>
      <c r="I2190">
        <f t="shared" si="103"/>
        <v>2016</v>
      </c>
      <c r="J2190" s="7">
        <f t="shared" si="104"/>
        <v>319003.68277393928</v>
      </c>
      <c r="K2190" s="7"/>
    </row>
    <row r="2191" spans="1:11" x14ac:dyDescent="0.25">
      <c r="A2191" s="1" t="s">
        <v>19</v>
      </c>
      <c r="B2191" s="2">
        <v>201602</v>
      </c>
      <c r="C2191" s="2">
        <v>201701</v>
      </c>
      <c r="D2191" s="10">
        <v>39489.951848148616</v>
      </c>
      <c r="E2191" s="10">
        <v>142780.98472033383</v>
      </c>
      <c r="F2191" s="1">
        <v>180</v>
      </c>
      <c r="G2191" s="1">
        <v>1791</v>
      </c>
      <c r="H2191">
        <f t="shared" si="102"/>
        <v>2016</v>
      </c>
      <c r="I2191">
        <f t="shared" si="103"/>
        <v>2017</v>
      </c>
      <c r="J2191" s="7">
        <f t="shared" si="104"/>
        <v>182270.93656848243</v>
      </c>
      <c r="K2191" s="7"/>
    </row>
    <row r="2192" spans="1:11" x14ac:dyDescent="0.25">
      <c r="A2192" s="1" t="s">
        <v>19</v>
      </c>
      <c r="B2192" s="2">
        <v>201602</v>
      </c>
      <c r="C2192" s="2">
        <v>201702</v>
      </c>
      <c r="D2192" s="10">
        <v>22025.87876183882</v>
      </c>
      <c r="E2192" s="10">
        <v>114244.61144128221</v>
      </c>
      <c r="F2192" s="1">
        <v>116</v>
      </c>
      <c r="G2192" s="1">
        <v>1558</v>
      </c>
      <c r="H2192">
        <f t="shared" si="102"/>
        <v>2016</v>
      </c>
      <c r="I2192">
        <f t="shared" si="103"/>
        <v>2017</v>
      </c>
      <c r="J2192" s="7">
        <f t="shared" si="104"/>
        <v>136270.49020312104</v>
      </c>
      <c r="K2192" s="7"/>
    </row>
    <row r="2193" spans="1:11" x14ac:dyDescent="0.25">
      <c r="A2193" s="1" t="s">
        <v>19</v>
      </c>
      <c r="B2193" s="2">
        <v>201602</v>
      </c>
      <c r="C2193" s="2">
        <v>201703</v>
      </c>
      <c r="D2193" s="10">
        <v>9520.4913411289508</v>
      </c>
      <c r="E2193" s="10">
        <v>98248.426918843528</v>
      </c>
      <c r="F2193" s="1">
        <v>49</v>
      </c>
      <c r="G2193" s="1">
        <v>1357</v>
      </c>
      <c r="H2193">
        <f t="shared" si="102"/>
        <v>2016</v>
      </c>
      <c r="I2193">
        <f t="shared" si="103"/>
        <v>2017</v>
      </c>
      <c r="J2193" s="7">
        <f t="shared" si="104"/>
        <v>107768.91825997247</v>
      </c>
      <c r="K2193" s="7"/>
    </row>
    <row r="2194" spans="1:11" x14ac:dyDescent="0.25">
      <c r="A2194" s="1" t="s">
        <v>19</v>
      </c>
      <c r="B2194" s="2">
        <v>201602</v>
      </c>
      <c r="C2194" s="2">
        <v>201704</v>
      </c>
      <c r="D2194" s="10">
        <v>2799.8783599303838</v>
      </c>
      <c r="E2194" s="10">
        <v>90751.05694679718</v>
      </c>
      <c r="F2194" s="1">
        <v>25</v>
      </c>
      <c r="G2194" s="1">
        <v>1202</v>
      </c>
      <c r="H2194">
        <f t="shared" si="102"/>
        <v>2016</v>
      </c>
      <c r="I2194">
        <f t="shared" si="103"/>
        <v>2017</v>
      </c>
      <c r="J2194" s="7">
        <f t="shared" si="104"/>
        <v>93550.935306727566</v>
      </c>
      <c r="K2194" s="7"/>
    </row>
    <row r="2195" spans="1:11" x14ac:dyDescent="0.25">
      <c r="A2195" s="1" t="s">
        <v>19</v>
      </c>
      <c r="B2195" s="2">
        <v>201602</v>
      </c>
      <c r="C2195" s="2">
        <v>201801</v>
      </c>
      <c r="D2195" s="10">
        <v>2268.0556283927372</v>
      </c>
      <c r="E2195" s="10">
        <v>75558.963291811306</v>
      </c>
      <c r="F2195" s="1">
        <v>14</v>
      </c>
      <c r="G2195" s="1">
        <v>1046</v>
      </c>
      <c r="H2195">
        <f t="shared" si="102"/>
        <v>2016</v>
      </c>
      <c r="I2195">
        <f t="shared" si="103"/>
        <v>2018</v>
      </c>
      <c r="J2195" s="7">
        <f t="shared" si="104"/>
        <v>77827.018920204049</v>
      </c>
      <c r="K2195" s="7"/>
    </row>
    <row r="2196" spans="1:11" x14ac:dyDescent="0.25">
      <c r="A2196" s="1" t="s">
        <v>19</v>
      </c>
      <c r="B2196" s="2">
        <v>201602</v>
      </c>
      <c r="C2196" s="2">
        <v>201802</v>
      </c>
      <c r="D2196" s="10">
        <v>1446.7091977923913</v>
      </c>
      <c r="E2196" s="10">
        <v>42922.288757341434</v>
      </c>
      <c r="F2196" s="1">
        <v>15</v>
      </c>
      <c r="G2196" s="1">
        <v>592</v>
      </c>
      <c r="H2196">
        <f t="shared" si="102"/>
        <v>2016</v>
      </c>
      <c r="I2196">
        <f t="shared" si="103"/>
        <v>2018</v>
      </c>
      <c r="J2196" s="7">
        <f t="shared" si="104"/>
        <v>44368.997955133826</v>
      </c>
      <c r="K2196" s="7"/>
    </row>
    <row r="2197" spans="1:11" x14ac:dyDescent="0.25">
      <c r="A2197" s="1" t="s">
        <v>19</v>
      </c>
      <c r="B2197" s="2">
        <v>201602</v>
      </c>
      <c r="C2197" s="2">
        <v>201803</v>
      </c>
      <c r="D2197" s="10">
        <v>-658.48134106228326</v>
      </c>
      <c r="E2197" s="10">
        <v>39044.156760208381</v>
      </c>
      <c r="F2197" s="1">
        <v>9</v>
      </c>
      <c r="G2197" s="1">
        <v>532</v>
      </c>
      <c r="H2197">
        <f t="shared" si="102"/>
        <v>2016</v>
      </c>
      <c r="I2197">
        <f t="shared" si="103"/>
        <v>2018</v>
      </c>
      <c r="J2197" s="7">
        <f t="shared" si="104"/>
        <v>38385.6754191461</v>
      </c>
      <c r="K2197" s="7"/>
    </row>
    <row r="2198" spans="1:11" x14ac:dyDescent="0.25">
      <c r="A2198" s="1" t="s">
        <v>19</v>
      </c>
      <c r="B2198" s="2">
        <v>201602</v>
      </c>
      <c r="C2198" s="2">
        <v>201804</v>
      </c>
      <c r="D2198" s="10">
        <v>1605.9009417676143</v>
      </c>
      <c r="E2198" s="10">
        <v>32019.784743887936</v>
      </c>
      <c r="F2198" s="1">
        <v>7</v>
      </c>
      <c r="G2198" s="1">
        <v>458</v>
      </c>
      <c r="H2198">
        <f t="shared" si="102"/>
        <v>2016</v>
      </c>
      <c r="I2198">
        <f t="shared" si="103"/>
        <v>2018</v>
      </c>
      <c r="J2198" s="7">
        <f t="shared" si="104"/>
        <v>33625.685685655553</v>
      </c>
      <c r="K2198" s="7"/>
    </row>
    <row r="2199" spans="1:11" x14ac:dyDescent="0.25">
      <c r="A2199" s="1" t="s">
        <v>19</v>
      </c>
      <c r="B2199" s="2">
        <v>201602</v>
      </c>
      <c r="C2199" s="2">
        <v>201901</v>
      </c>
      <c r="D2199" s="10">
        <v>1216.701693803331</v>
      </c>
      <c r="E2199" s="10">
        <v>23526.032261619337</v>
      </c>
      <c r="F2199" s="1">
        <v>8</v>
      </c>
      <c r="G2199" s="1">
        <v>319</v>
      </c>
      <c r="H2199">
        <f t="shared" si="102"/>
        <v>2016</v>
      </c>
      <c r="I2199">
        <f t="shared" si="103"/>
        <v>2019</v>
      </c>
      <c r="J2199" s="7">
        <f t="shared" si="104"/>
        <v>24742.733955422667</v>
      </c>
      <c r="K2199" s="7"/>
    </row>
    <row r="2200" spans="1:11" x14ac:dyDescent="0.25">
      <c r="A2200" s="1" t="s">
        <v>19</v>
      </c>
      <c r="B2200" s="2">
        <v>201602</v>
      </c>
      <c r="C2200" s="2">
        <v>201902</v>
      </c>
      <c r="D2200" s="10">
        <v>1037.0707106050197</v>
      </c>
      <c r="E2200" s="10">
        <v>9142.2629259615915</v>
      </c>
      <c r="F2200" s="1">
        <v>7</v>
      </c>
      <c r="G2200" s="1">
        <v>116</v>
      </c>
      <c r="H2200">
        <f t="shared" si="102"/>
        <v>2016</v>
      </c>
      <c r="I2200">
        <f t="shared" si="103"/>
        <v>2019</v>
      </c>
      <c r="J2200" s="7">
        <f t="shared" si="104"/>
        <v>10179.333636566611</v>
      </c>
      <c r="K2200" s="7"/>
    </row>
    <row r="2201" spans="1:11" x14ac:dyDescent="0.25">
      <c r="A2201" s="1" t="s">
        <v>19</v>
      </c>
      <c r="B2201" s="2">
        <v>201602</v>
      </c>
      <c r="C2201" s="2">
        <v>201903</v>
      </c>
      <c r="D2201" s="10">
        <v>-151.93043569518107</v>
      </c>
      <c r="E2201" s="10">
        <v>8378.9379849962806</v>
      </c>
      <c r="F2201" s="1">
        <v>0</v>
      </c>
      <c r="G2201" s="1">
        <v>106</v>
      </c>
      <c r="H2201">
        <f t="shared" si="102"/>
        <v>2016</v>
      </c>
      <c r="I2201">
        <f t="shared" si="103"/>
        <v>2019</v>
      </c>
      <c r="J2201" s="7">
        <f t="shared" si="104"/>
        <v>8227.0075493010991</v>
      </c>
      <c r="K2201" s="7"/>
    </row>
    <row r="2202" spans="1:11" x14ac:dyDescent="0.25">
      <c r="A2202" s="1" t="s">
        <v>19</v>
      </c>
      <c r="B2202" s="2">
        <v>201602</v>
      </c>
      <c r="C2202" s="2">
        <v>201904</v>
      </c>
      <c r="D2202" s="10">
        <v>112.9774631448888</v>
      </c>
      <c r="E2202" s="10">
        <v>6113.2102532683857</v>
      </c>
      <c r="F2202" s="1">
        <v>1</v>
      </c>
      <c r="G2202" s="1">
        <v>75</v>
      </c>
      <c r="H2202">
        <f t="shared" si="102"/>
        <v>2016</v>
      </c>
      <c r="I2202">
        <f t="shared" si="103"/>
        <v>2019</v>
      </c>
      <c r="J2202" s="7">
        <f t="shared" si="104"/>
        <v>6226.1877164132748</v>
      </c>
      <c r="K2202" s="7"/>
    </row>
    <row r="2203" spans="1:11" x14ac:dyDescent="0.25">
      <c r="A2203" s="1" t="s">
        <v>19</v>
      </c>
      <c r="B2203" s="2">
        <v>201602</v>
      </c>
      <c r="C2203" s="2">
        <v>202001</v>
      </c>
      <c r="D2203" s="10">
        <v>58.840911258783834</v>
      </c>
      <c r="E2203" s="10">
        <v>4832.6767518606566</v>
      </c>
      <c r="F2203" s="1">
        <v>4</v>
      </c>
      <c r="G2203" s="1">
        <v>60</v>
      </c>
      <c r="H2203">
        <f t="shared" si="102"/>
        <v>2016</v>
      </c>
      <c r="I2203">
        <f t="shared" si="103"/>
        <v>2020</v>
      </c>
      <c r="J2203" s="7">
        <f t="shared" si="104"/>
        <v>4891.5176631194408</v>
      </c>
      <c r="K2203" s="7"/>
    </row>
    <row r="2204" spans="1:11" x14ac:dyDescent="0.25">
      <c r="A2204" s="1" t="s">
        <v>19</v>
      </c>
      <c r="B2204" s="2">
        <v>201602</v>
      </c>
      <c r="C2204" s="2">
        <v>202002</v>
      </c>
      <c r="D2204" s="10">
        <v>-218.03626025822965</v>
      </c>
      <c r="E2204" s="10">
        <v>398.97223464319984</v>
      </c>
      <c r="F2204" s="1">
        <v>0</v>
      </c>
      <c r="G2204" s="1">
        <v>13</v>
      </c>
      <c r="H2204">
        <f t="shared" si="102"/>
        <v>2016</v>
      </c>
      <c r="I2204">
        <f t="shared" si="103"/>
        <v>2020</v>
      </c>
      <c r="J2204" s="7">
        <f t="shared" si="104"/>
        <v>180.93597438497019</v>
      </c>
      <c r="K2204" s="7"/>
    </row>
    <row r="2205" spans="1:11" x14ac:dyDescent="0.25">
      <c r="A2205" s="1" t="s">
        <v>19</v>
      </c>
      <c r="B2205" s="2">
        <v>201602</v>
      </c>
      <c r="C2205" s="2">
        <v>202003</v>
      </c>
      <c r="D2205" s="10">
        <v>264.47181276040533</v>
      </c>
      <c r="E2205" s="10">
        <v>109.87284862334337</v>
      </c>
      <c r="F2205" s="1">
        <v>0</v>
      </c>
      <c r="G2205" s="1">
        <v>12</v>
      </c>
      <c r="H2205">
        <f t="shared" si="102"/>
        <v>2016</v>
      </c>
      <c r="I2205">
        <f t="shared" si="103"/>
        <v>2020</v>
      </c>
      <c r="J2205" s="7">
        <f t="shared" si="104"/>
        <v>374.3446613837487</v>
      </c>
      <c r="K2205" s="7"/>
    </row>
    <row r="2206" spans="1:11" x14ac:dyDescent="0.25">
      <c r="A2206" s="1" t="s">
        <v>19</v>
      </c>
      <c r="B2206" s="2">
        <v>201602</v>
      </c>
      <c r="C2206" s="2">
        <v>202004</v>
      </c>
      <c r="D2206" s="10">
        <v>-3.3414416494260899</v>
      </c>
      <c r="E2206" s="10">
        <v>90.374906213091108</v>
      </c>
      <c r="F2206" s="1">
        <v>0</v>
      </c>
      <c r="G2206" s="1">
        <v>10</v>
      </c>
      <c r="H2206">
        <f t="shared" si="102"/>
        <v>2016</v>
      </c>
      <c r="I2206">
        <f t="shared" si="103"/>
        <v>2020</v>
      </c>
      <c r="J2206" s="7">
        <f t="shared" si="104"/>
        <v>87.033464563665021</v>
      </c>
      <c r="K2206" s="7"/>
    </row>
    <row r="2207" spans="1:11" x14ac:dyDescent="0.25">
      <c r="A2207" s="1" t="s">
        <v>19</v>
      </c>
      <c r="B2207" s="2">
        <v>201602</v>
      </c>
      <c r="C2207" s="2">
        <v>202101</v>
      </c>
      <c r="D2207" s="10">
        <v>587.57109797832027</v>
      </c>
      <c r="E2207" s="10">
        <v>88.411922939253401</v>
      </c>
      <c r="F2207" s="1">
        <v>0</v>
      </c>
      <c r="G2207" s="1">
        <v>10</v>
      </c>
      <c r="H2207">
        <f t="shared" si="102"/>
        <v>2016</v>
      </c>
      <c r="I2207">
        <f t="shared" si="103"/>
        <v>2021</v>
      </c>
      <c r="J2207" s="7">
        <f t="shared" si="104"/>
        <v>675.98302091757364</v>
      </c>
      <c r="K2207" s="7"/>
    </row>
    <row r="2208" spans="1:11" x14ac:dyDescent="0.25">
      <c r="A2208" s="1" t="s">
        <v>19</v>
      </c>
      <c r="B2208" s="2">
        <v>201602</v>
      </c>
      <c r="C2208" s="2">
        <v>202102</v>
      </c>
      <c r="D2208" s="10">
        <v>245.84097087114318</v>
      </c>
      <c r="E2208" s="10">
        <v>87.269686173403343</v>
      </c>
      <c r="F2208" s="1">
        <v>1</v>
      </c>
      <c r="G2208" s="1">
        <v>9</v>
      </c>
      <c r="H2208">
        <f t="shared" si="102"/>
        <v>2016</v>
      </c>
      <c r="I2208">
        <f t="shared" si="103"/>
        <v>2021</v>
      </c>
      <c r="J2208" s="7">
        <f t="shared" si="104"/>
        <v>333.11065704454654</v>
      </c>
      <c r="K2208" s="7"/>
    </row>
    <row r="2209" spans="1:11" x14ac:dyDescent="0.25">
      <c r="A2209" s="1" t="s">
        <v>19</v>
      </c>
      <c r="B2209" s="2">
        <v>201602</v>
      </c>
      <c r="C2209" s="2">
        <v>202103</v>
      </c>
      <c r="D2209" s="10">
        <v>7.5713631902218195</v>
      </c>
      <c r="E2209" s="10">
        <v>88.948501941634731</v>
      </c>
      <c r="F2209" s="1">
        <v>0</v>
      </c>
      <c r="G2209" s="1">
        <v>8</v>
      </c>
      <c r="H2209">
        <f t="shared" si="102"/>
        <v>2016</v>
      </c>
      <c r="I2209">
        <f t="shared" si="103"/>
        <v>2021</v>
      </c>
      <c r="J2209" s="7">
        <f t="shared" si="104"/>
        <v>96.519865131856548</v>
      </c>
      <c r="K2209" s="7"/>
    </row>
    <row r="2210" spans="1:11" x14ac:dyDescent="0.25">
      <c r="A2210" s="1" t="s">
        <v>19</v>
      </c>
      <c r="B2210" s="2">
        <v>201602</v>
      </c>
      <c r="C2210" s="2">
        <v>202104</v>
      </c>
      <c r="D2210" s="10">
        <v>-205.76756489072082</v>
      </c>
      <c r="E2210" s="10">
        <v>124.04689358196026</v>
      </c>
      <c r="F2210" s="1">
        <v>0</v>
      </c>
      <c r="G2210" s="1">
        <v>6</v>
      </c>
      <c r="H2210">
        <f t="shared" si="102"/>
        <v>2016</v>
      </c>
      <c r="I2210">
        <f t="shared" si="103"/>
        <v>2021</v>
      </c>
      <c r="J2210" s="7">
        <f t="shared" si="104"/>
        <v>-81.720671308760558</v>
      </c>
      <c r="K2210" s="7"/>
    </row>
    <row r="2211" spans="1:11" x14ac:dyDescent="0.25">
      <c r="A2211" s="1" t="s">
        <v>19</v>
      </c>
      <c r="B2211" s="2">
        <v>201603</v>
      </c>
      <c r="C2211" s="2">
        <v>201603</v>
      </c>
      <c r="D2211" s="10">
        <v>639488.3206413869</v>
      </c>
      <c r="E2211" s="10">
        <v>770530.66405003704</v>
      </c>
      <c r="F2211" s="1">
        <v>14142</v>
      </c>
      <c r="G2211" s="1">
        <v>6203</v>
      </c>
      <c r="H2211">
        <f t="shared" si="102"/>
        <v>2016</v>
      </c>
      <c r="I2211">
        <f t="shared" si="103"/>
        <v>2016</v>
      </c>
      <c r="J2211" s="7">
        <f t="shared" si="104"/>
        <v>1410018.9846914238</v>
      </c>
      <c r="K2211" s="7"/>
    </row>
    <row r="2212" spans="1:11" x14ac:dyDescent="0.25">
      <c r="A2212" s="1" t="s">
        <v>19</v>
      </c>
      <c r="B2212" s="2">
        <v>201603</v>
      </c>
      <c r="C2212" s="2">
        <v>201604</v>
      </c>
      <c r="D2212" s="10">
        <v>618498.12030902854</v>
      </c>
      <c r="E2212" s="10">
        <v>301411.39259414794</v>
      </c>
      <c r="F2212" s="1">
        <v>3121</v>
      </c>
      <c r="G2212" s="1">
        <v>3027</v>
      </c>
      <c r="H2212">
        <f t="shared" si="102"/>
        <v>2016</v>
      </c>
      <c r="I2212">
        <f t="shared" si="103"/>
        <v>2016</v>
      </c>
      <c r="J2212" s="7">
        <f t="shared" si="104"/>
        <v>919909.51290317648</v>
      </c>
      <c r="K2212" s="7"/>
    </row>
    <row r="2213" spans="1:11" x14ac:dyDescent="0.25">
      <c r="A2213" s="1" t="s">
        <v>19</v>
      </c>
      <c r="B2213" s="2">
        <v>201603</v>
      </c>
      <c r="C2213" s="2">
        <v>201701</v>
      </c>
      <c r="D2213" s="10">
        <v>96706.634732902006</v>
      </c>
      <c r="E2213" s="10">
        <v>184343.70854099953</v>
      </c>
      <c r="F2213" s="1">
        <v>391</v>
      </c>
      <c r="G2213" s="1">
        <v>2145</v>
      </c>
      <c r="H2213">
        <f t="shared" si="102"/>
        <v>2016</v>
      </c>
      <c r="I2213">
        <f t="shared" si="103"/>
        <v>2017</v>
      </c>
      <c r="J2213" s="7">
        <f t="shared" si="104"/>
        <v>281050.34327390156</v>
      </c>
      <c r="K2213" s="7"/>
    </row>
    <row r="2214" spans="1:11" x14ac:dyDescent="0.25">
      <c r="A2214" s="1" t="s">
        <v>19</v>
      </c>
      <c r="B2214" s="2">
        <v>201603</v>
      </c>
      <c r="C2214" s="2">
        <v>201702</v>
      </c>
      <c r="D2214" s="10">
        <v>30139.890818009018</v>
      </c>
      <c r="E2214" s="10">
        <v>153336.70026823599</v>
      </c>
      <c r="F2214" s="1">
        <v>200</v>
      </c>
      <c r="G2214" s="1">
        <v>1827</v>
      </c>
      <c r="H2214">
        <f t="shared" si="102"/>
        <v>2016</v>
      </c>
      <c r="I2214">
        <f t="shared" si="103"/>
        <v>2017</v>
      </c>
      <c r="J2214" s="7">
        <f t="shared" si="104"/>
        <v>183476.591086245</v>
      </c>
      <c r="K2214" s="7"/>
    </row>
    <row r="2215" spans="1:11" x14ac:dyDescent="0.25">
      <c r="A2215" s="1" t="s">
        <v>19</v>
      </c>
      <c r="B2215" s="2">
        <v>201603</v>
      </c>
      <c r="C2215" s="2">
        <v>201703</v>
      </c>
      <c r="D2215" s="10">
        <v>26355.984294233211</v>
      </c>
      <c r="E2215" s="10">
        <v>128953.18446070359</v>
      </c>
      <c r="F2215" s="1">
        <v>97</v>
      </c>
      <c r="G2215" s="1">
        <v>1614</v>
      </c>
      <c r="H2215">
        <f t="shared" si="102"/>
        <v>2016</v>
      </c>
      <c r="I2215">
        <f t="shared" si="103"/>
        <v>2017</v>
      </c>
      <c r="J2215" s="7">
        <f t="shared" si="104"/>
        <v>155309.16875493681</v>
      </c>
      <c r="K2215" s="7"/>
    </row>
    <row r="2216" spans="1:11" x14ac:dyDescent="0.25">
      <c r="A2216" s="1" t="s">
        <v>19</v>
      </c>
      <c r="B2216" s="2">
        <v>201603</v>
      </c>
      <c r="C2216" s="2">
        <v>201704</v>
      </c>
      <c r="D2216" s="10">
        <v>10956.780738754787</v>
      </c>
      <c r="E2216" s="10">
        <v>112292.44955403812</v>
      </c>
      <c r="F2216" s="1">
        <v>37</v>
      </c>
      <c r="G2216" s="1">
        <v>1405</v>
      </c>
      <c r="H2216">
        <f t="shared" si="102"/>
        <v>2016</v>
      </c>
      <c r="I2216">
        <f t="shared" si="103"/>
        <v>2017</v>
      </c>
      <c r="J2216" s="7">
        <f t="shared" si="104"/>
        <v>123249.2302927929</v>
      </c>
      <c r="K2216" s="7"/>
    </row>
    <row r="2217" spans="1:11" x14ac:dyDescent="0.25">
      <c r="A2217" s="1" t="s">
        <v>19</v>
      </c>
      <c r="B2217" s="2">
        <v>201603</v>
      </c>
      <c r="C2217" s="2">
        <v>201801</v>
      </c>
      <c r="D2217" s="10">
        <v>5117.236007944738</v>
      </c>
      <c r="E2217" s="10">
        <v>85562.2971277162</v>
      </c>
      <c r="F2217" s="1">
        <v>27</v>
      </c>
      <c r="G2217" s="1">
        <v>1155</v>
      </c>
      <c r="H2217">
        <f t="shared" si="102"/>
        <v>2016</v>
      </c>
      <c r="I2217">
        <f t="shared" si="103"/>
        <v>2018</v>
      </c>
      <c r="J2217" s="7">
        <f t="shared" si="104"/>
        <v>90679.533135660939</v>
      </c>
      <c r="K2217" s="7"/>
    </row>
    <row r="2218" spans="1:11" x14ac:dyDescent="0.25">
      <c r="A2218" s="1" t="s">
        <v>19</v>
      </c>
      <c r="B2218" s="2">
        <v>201603</v>
      </c>
      <c r="C2218" s="2">
        <v>201802</v>
      </c>
      <c r="D2218" s="10">
        <v>3095.4861801360844</v>
      </c>
      <c r="E2218" s="10">
        <v>70667.13462852157</v>
      </c>
      <c r="F2218" s="1">
        <v>26</v>
      </c>
      <c r="G2218" s="1">
        <v>930</v>
      </c>
      <c r="H2218">
        <f t="shared" si="102"/>
        <v>2016</v>
      </c>
      <c r="I2218">
        <f t="shared" si="103"/>
        <v>2018</v>
      </c>
      <c r="J2218" s="7">
        <f t="shared" si="104"/>
        <v>73762.620808657652</v>
      </c>
      <c r="K2218" s="7"/>
    </row>
    <row r="2219" spans="1:11" x14ac:dyDescent="0.25">
      <c r="A2219" s="1" t="s">
        <v>19</v>
      </c>
      <c r="B2219" s="2">
        <v>201603</v>
      </c>
      <c r="C2219" s="2">
        <v>201803</v>
      </c>
      <c r="D2219" s="10">
        <v>2774.5027391025196</v>
      </c>
      <c r="E2219" s="10">
        <v>61275.213874347341</v>
      </c>
      <c r="F2219" s="1">
        <v>18</v>
      </c>
      <c r="G2219" s="1">
        <v>804</v>
      </c>
      <c r="H2219">
        <f t="shared" si="102"/>
        <v>2016</v>
      </c>
      <c r="I2219">
        <f t="shared" si="103"/>
        <v>2018</v>
      </c>
      <c r="J2219" s="7">
        <f t="shared" si="104"/>
        <v>64049.716613449862</v>
      </c>
      <c r="K2219" s="7"/>
    </row>
    <row r="2220" spans="1:11" x14ac:dyDescent="0.25">
      <c r="A2220" s="1" t="s">
        <v>19</v>
      </c>
      <c r="B2220" s="2">
        <v>201603</v>
      </c>
      <c r="C2220" s="2">
        <v>201804</v>
      </c>
      <c r="D2220" s="10">
        <v>2702.2556737992713</v>
      </c>
      <c r="E2220" s="10">
        <v>56096.862395516742</v>
      </c>
      <c r="F2220" s="1">
        <v>6</v>
      </c>
      <c r="G2220" s="1">
        <v>747</v>
      </c>
      <c r="H2220">
        <f t="shared" si="102"/>
        <v>2016</v>
      </c>
      <c r="I2220">
        <f t="shared" si="103"/>
        <v>2018</v>
      </c>
      <c r="J2220" s="7">
        <f t="shared" si="104"/>
        <v>58799.118069316013</v>
      </c>
      <c r="K2220" s="7"/>
    </row>
    <row r="2221" spans="1:11" x14ac:dyDescent="0.25">
      <c r="A2221" s="1" t="s">
        <v>19</v>
      </c>
      <c r="B2221" s="2">
        <v>201603</v>
      </c>
      <c r="C2221" s="2">
        <v>201901</v>
      </c>
      <c r="D2221" s="10">
        <v>333.5749987448811</v>
      </c>
      <c r="E2221" s="10">
        <v>47232.475052540671</v>
      </c>
      <c r="F2221" s="1">
        <v>9</v>
      </c>
      <c r="G2221" s="1">
        <v>626</v>
      </c>
      <c r="H2221">
        <f t="shared" si="102"/>
        <v>2016</v>
      </c>
      <c r="I2221">
        <f t="shared" si="103"/>
        <v>2019</v>
      </c>
      <c r="J2221" s="7">
        <f t="shared" si="104"/>
        <v>47566.050051285551</v>
      </c>
      <c r="K2221" s="7"/>
    </row>
    <row r="2222" spans="1:11" x14ac:dyDescent="0.25">
      <c r="A2222" s="1" t="s">
        <v>19</v>
      </c>
      <c r="B2222" s="2">
        <v>201603</v>
      </c>
      <c r="C2222" s="2">
        <v>201902</v>
      </c>
      <c r="D2222" s="10">
        <v>-125.3821848396238</v>
      </c>
      <c r="E2222" s="10">
        <v>12074.594063411716</v>
      </c>
      <c r="F2222" s="1">
        <v>7</v>
      </c>
      <c r="G2222" s="1">
        <v>168</v>
      </c>
      <c r="H2222">
        <f t="shared" si="102"/>
        <v>2016</v>
      </c>
      <c r="I2222">
        <f t="shared" si="103"/>
        <v>2019</v>
      </c>
      <c r="J2222" s="7">
        <f t="shared" si="104"/>
        <v>11949.211878572092</v>
      </c>
      <c r="K2222" s="7"/>
    </row>
    <row r="2223" spans="1:11" x14ac:dyDescent="0.25">
      <c r="A2223" s="1" t="s">
        <v>19</v>
      </c>
      <c r="B2223" s="2">
        <v>201603</v>
      </c>
      <c r="C2223" s="2">
        <v>201903</v>
      </c>
      <c r="D2223" s="10">
        <v>2958.2286639060553</v>
      </c>
      <c r="E2223" s="10">
        <v>11691.989801056787</v>
      </c>
      <c r="F2223" s="1">
        <v>1</v>
      </c>
      <c r="G2223" s="1">
        <v>147</v>
      </c>
      <c r="H2223">
        <f t="shared" si="102"/>
        <v>2016</v>
      </c>
      <c r="I2223">
        <f t="shared" si="103"/>
        <v>2019</v>
      </c>
      <c r="J2223" s="7">
        <f t="shared" si="104"/>
        <v>14650.218464962842</v>
      </c>
      <c r="K2223" s="7"/>
    </row>
    <row r="2224" spans="1:11" x14ac:dyDescent="0.25">
      <c r="A2224" s="1" t="s">
        <v>19</v>
      </c>
      <c r="B2224" s="2">
        <v>201603</v>
      </c>
      <c r="C2224" s="2">
        <v>201904</v>
      </c>
      <c r="D2224" s="10">
        <v>-85.886316887784702</v>
      </c>
      <c r="E2224" s="10">
        <v>9666.7439777067666</v>
      </c>
      <c r="F2224" s="1">
        <v>0</v>
      </c>
      <c r="G2224" s="1">
        <v>112</v>
      </c>
      <c r="H2224">
        <f t="shared" si="102"/>
        <v>2016</v>
      </c>
      <c r="I2224">
        <f t="shared" si="103"/>
        <v>2019</v>
      </c>
      <c r="J2224" s="7">
        <f t="shared" si="104"/>
        <v>9580.8576608189815</v>
      </c>
      <c r="K2224" s="7"/>
    </row>
    <row r="2225" spans="1:11" x14ac:dyDescent="0.25">
      <c r="A2225" s="1" t="s">
        <v>19</v>
      </c>
      <c r="B2225" s="2">
        <v>201603</v>
      </c>
      <c r="C2225" s="2">
        <v>202001</v>
      </c>
      <c r="D2225" s="10">
        <v>698.25581891872423</v>
      </c>
      <c r="E2225" s="10">
        <v>6106.1928982918089</v>
      </c>
      <c r="F2225" s="1">
        <v>1</v>
      </c>
      <c r="G2225" s="1">
        <v>77</v>
      </c>
      <c r="H2225">
        <f t="shared" si="102"/>
        <v>2016</v>
      </c>
      <c r="I2225">
        <f t="shared" si="103"/>
        <v>2020</v>
      </c>
      <c r="J2225" s="7">
        <f t="shared" si="104"/>
        <v>6804.4487172105328</v>
      </c>
      <c r="K2225" s="7"/>
    </row>
    <row r="2226" spans="1:11" x14ac:dyDescent="0.25">
      <c r="A2226" s="1" t="s">
        <v>19</v>
      </c>
      <c r="B2226" s="2">
        <v>201603</v>
      </c>
      <c r="C2226" s="2">
        <v>202002</v>
      </c>
      <c r="D2226" s="10">
        <v>-69.927437058825717</v>
      </c>
      <c r="E2226" s="10">
        <v>1785.6118781745827</v>
      </c>
      <c r="F2226" s="1">
        <v>1</v>
      </c>
      <c r="G2226" s="1">
        <v>26</v>
      </c>
      <c r="H2226">
        <f t="shared" si="102"/>
        <v>2016</v>
      </c>
      <c r="I2226">
        <f t="shared" si="103"/>
        <v>2020</v>
      </c>
      <c r="J2226" s="7">
        <f t="shared" si="104"/>
        <v>1715.684441115757</v>
      </c>
      <c r="K2226" s="7"/>
    </row>
    <row r="2227" spans="1:11" x14ac:dyDescent="0.25">
      <c r="A2227" s="1" t="s">
        <v>19</v>
      </c>
      <c r="B2227" s="2">
        <v>201603</v>
      </c>
      <c r="C2227" s="2">
        <v>202003</v>
      </c>
      <c r="D2227" s="10">
        <v>90.650450224670365</v>
      </c>
      <c r="E2227" s="10">
        <v>1739.5624469711988</v>
      </c>
      <c r="F2227" s="1">
        <v>2</v>
      </c>
      <c r="G2227" s="1">
        <v>25</v>
      </c>
      <c r="H2227">
        <f t="shared" si="102"/>
        <v>2016</v>
      </c>
      <c r="I2227">
        <f t="shared" si="103"/>
        <v>2020</v>
      </c>
      <c r="J2227" s="7">
        <f t="shared" si="104"/>
        <v>1830.2128971958691</v>
      </c>
      <c r="K2227" s="7"/>
    </row>
    <row r="2228" spans="1:11" x14ac:dyDescent="0.25">
      <c r="A2228" s="1" t="s">
        <v>19</v>
      </c>
      <c r="B2228" s="2">
        <v>201603</v>
      </c>
      <c r="C2228" s="2">
        <v>202004</v>
      </c>
      <c r="D2228" s="10">
        <v>-59.547955509978998</v>
      </c>
      <c r="E2228" s="10">
        <v>1316.9977866153604</v>
      </c>
      <c r="F2228" s="1">
        <v>0</v>
      </c>
      <c r="G2228" s="1">
        <v>21</v>
      </c>
      <c r="H2228">
        <f t="shared" si="102"/>
        <v>2016</v>
      </c>
      <c r="I2228">
        <f t="shared" si="103"/>
        <v>2020</v>
      </c>
      <c r="J2228" s="7">
        <f t="shared" si="104"/>
        <v>1257.4498311053815</v>
      </c>
      <c r="K2228" s="7"/>
    </row>
    <row r="2229" spans="1:11" x14ac:dyDescent="0.25">
      <c r="A2229" s="1" t="s">
        <v>19</v>
      </c>
      <c r="B2229" s="2">
        <v>201603</v>
      </c>
      <c r="C2229" s="2">
        <v>202101</v>
      </c>
      <c r="D2229" s="10">
        <v>182.02366071348061</v>
      </c>
      <c r="E2229" s="10">
        <v>1255.799076991708</v>
      </c>
      <c r="F2229" s="1">
        <v>0</v>
      </c>
      <c r="G2229" s="1">
        <v>21</v>
      </c>
      <c r="H2229">
        <f t="shared" si="102"/>
        <v>2016</v>
      </c>
      <c r="I2229">
        <f t="shared" si="103"/>
        <v>2021</v>
      </c>
      <c r="J2229" s="7">
        <f t="shared" si="104"/>
        <v>1437.8227377051887</v>
      </c>
      <c r="K2229" s="7"/>
    </row>
    <row r="2230" spans="1:11" x14ac:dyDescent="0.25">
      <c r="A2230" s="1" t="s">
        <v>19</v>
      </c>
      <c r="B2230" s="2">
        <v>201603</v>
      </c>
      <c r="C2230" s="2">
        <v>202102</v>
      </c>
      <c r="D2230" s="10">
        <v>0</v>
      </c>
      <c r="E2230" s="10">
        <v>1258.9093959837817</v>
      </c>
      <c r="F2230" s="1">
        <v>0</v>
      </c>
      <c r="G2230" s="1">
        <v>21</v>
      </c>
      <c r="H2230">
        <f t="shared" si="102"/>
        <v>2016</v>
      </c>
      <c r="I2230">
        <f t="shared" si="103"/>
        <v>2021</v>
      </c>
      <c r="J2230" s="7">
        <f t="shared" si="104"/>
        <v>1258.9093959837817</v>
      </c>
      <c r="K2230" s="7"/>
    </row>
    <row r="2231" spans="1:11" x14ac:dyDescent="0.25">
      <c r="A2231" s="1" t="s">
        <v>19</v>
      </c>
      <c r="B2231" s="2">
        <v>201603</v>
      </c>
      <c r="C2231" s="2">
        <v>202103</v>
      </c>
      <c r="D2231" s="10">
        <v>519.17635100628979</v>
      </c>
      <c r="E2231" s="10">
        <v>1246.2644230326002</v>
      </c>
      <c r="F2231" s="1">
        <v>2</v>
      </c>
      <c r="G2231" s="1">
        <v>19</v>
      </c>
      <c r="H2231">
        <f t="shared" si="102"/>
        <v>2016</v>
      </c>
      <c r="I2231">
        <f t="shared" si="103"/>
        <v>2021</v>
      </c>
      <c r="J2231" s="7">
        <f t="shared" si="104"/>
        <v>1765.4407740388901</v>
      </c>
      <c r="K2231" s="7"/>
    </row>
    <row r="2232" spans="1:11" x14ac:dyDescent="0.25">
      <c r="A2232" s="1" t="s">
        <v>19</v>
      </c>
      <c r="B2232" s="2">
        <v>201603</v>
      </c>
      <c r="C2232" s="2">
        <v>202104</v>
      </c>
      <c r="D2232" s="10">
        <v>221.97888452186237</v>
      </c>
      <c r="E2232" s="10">
        <v>1112.4680743714857</v>
      </c>
      <c r="F2232" s="1">
        <v>0</v>
      </c>
      <c r="G2232" s="1">
        <v>17</v>
      </c>
      <c r="H2232">
        <f t="shared" si="102"/>
        <v>2016</v>
      </c>
      <c r="I2232">
        <f t="shared" si="103"/>
        <v>2021</v>
      </c>
      <c r="J2232" s="7">
        <f t="shared" si="104"/>
        <v>1334.446958893348</v>
      </c>
      <c r="K2232" s="7"/>
    </row>
    <row r="2233" spans="1:11" x14ac:dyDescent="0.25">
      <c r="A2233" s="1" t="s">
        <v>19</v>
      </c>
      <c r="B2233" s="2">
        <v>201604</v>
      </c>
      <c r="C2233" s="2">
        <v>201604</v>
      </c>
      <c r="D2233" s="10">
        <v>481572.23135062132</v>
      </c>
      <c r="E2233" s="10">
        <v>640968.34396020789</v>
      </c>
      <c r="F2233" s="1">
        <v>12151</v>
      </c>
      <c r="G2233" s="1">
        <v>5603</v>
      </c>
      <c r="H2233">
        <f t="shared" si="102"/>
        <v>2016</v>
      </c>
      <c r="I2233">
        <f t="shared" si="103"/>
        <v>2016</v>
      </c>
      <c r="J2233" s="7">
        <f t="shared" si="104"/>
        <v>1122540.5753108291</v>
      </c>
      <c r="K2233" s="7"/>
    </row>
    <row r="2234" spans="1:11" x14ac:dyDescent="0.25">
      <c r="A2234" s="1" t="s">
        <v>19</v>
      </c>
      <c r="B2234" s="2">
        <v>201604</v>
      </c>
      <c r="C2234" s="2">
        <v>201701</v>
      </c>
      <c r="D2234" s="10">
        <v>570529.31058109622</v>
      </c>
      <c r="E2234" s="10">
        <v>229561.94125085342</v>
      </c>
      <c r="F2234" s="1">
        <v>3488</v>
      </c>
      <c r="G2234" s="1">
        <v>2685</v>
      </c>
      <c r="H2234">
        <f t="shared" si="102"/>
        <v>2016</v>
      </c>
      <c r="I2234">
        <f t="shared" si="103"/>
        <v>2017</v>
      </c>
      <c r="J2234" s="7">
        <f t="shared" si="104"/>
        <v>800091.25183194969</v>
      </c>
      <c r="K2234" s="7"/>
    </row>
    <row r="2235" spans="1:11" x14ac:dyDescent="0.25">
      <c r="A2235" s="1" t="s">
        <v>19</v>
      </c>
      <c r="B2235" s="2">
        <v>201604</v>
      </c>
      <c r="C2235" s="2">
        <v>201702</v>
      </c>
      <c r="D2235" s="10">
        <v>80550.376303637167</v>
      </c>
      <c r="E2235" s="10">
        <v>150529.31389869278</v>
      </c>
      <c r="F2235" s="1">
        <v>563</v>
      </c>
      <c r="G2235" s="1">
        <v>1968</v>
      </c>
      <c r="H2235">
        <f t="shared" si="102"/>
        <v>2016</v>
      </c>
      <c r="I2235">
        <f t="shared" si="103"/>
        <v>2017</v>
      </c>
      <c r="J2235" s="7">
        <f t="shared" si="104"/>
        <v>231079.69020232995</v>
      </c>
      <c r="K2235" s="7"/>
    </row>
    <row r="2236" spans="1:11" x14ac:dyDescent="0.25">
      <c r="A2236" s="1" t="s">
        <v>19</v>
      </c>
      <c r="B2236" s="2">
        <v>201604</v>
      </c>
      <c r="C2236" s="2">
        <v>201703</v>
      </c>
      <c r="D2236" s="10">
        <v>25192.963729669831</v>
      </c>
      <c r="E2236" s="10">
        <v>128372.2992621336</v>
      </c>
      <c r="F2236" s="1">
        <v>159</v>
      </c>
      <c r="G2236" s="1">
        <v>1642</v>
      </c>
      <c r="H2236">
        <f t="shared" si="102"/>
        <v>2016</v>
      </c>
      <c r="I2236">
        <f t="shared" si="103"/>
        <v>2017</v>
      </c>
      <c r="J2236" s="7">
        <f t="shared" si="104"/>
        <v>153565.26299180344</v>
      </c>
      <c r="K2236" s="7"/>
    </row>
    <row r="2237" spans="1:11" x14ac:dyDescent="0.25">
      <c r="A2237" s="1" t="s">
        <v>19</v>
      </c>
      <c r="B2237" s="2">
        <v>201604</v>
      </c>
      <c r="C2237" s="2">
        <v>201704</v>
      </c>
      <c r="D2237" s="10">
        <v>12267.509245069718</v>
      </c>
      <c r="E2237" s="10">
        <v>110409.80701778723</v>
      </c>
      <c r="F2237" s="1">
        <v>70</v>
      </c>
      <c r="G2237" s="1">
        <v>1429</v>
      </c>
      <c r="H2237">
        <f t="shared" si="102"/>
        <v>2016</v>
      </c>
      <c r="I2237">
        <f t="shared" si="103"/>
        <v>2017</v>
      </c>
      <c r="J2237" s="7">
        <f t="shared" si="104"/>
        <v>122677.31626285694</v>
      </c>
      <c r="K2237" s="7"/>
    </row>
    <row r="2238" spans="1:11" x14ac:dyDescent="0.25">
      <c r="A2238" s="1" t="s">
        <v>19</v>
      </c>
      <c r="B2238" s="2">
        <v>201604</v>
      </c>
      <c r="C2238" s="2">
        <v>201801</v>
      </c>
      <c r="D2238" s="10">
        <v>4714.4442438065626</v>
      </c>
      <c r="E2238" s="10">
        <v>87820.110522791059</v>
      </c>
      <c r="F2238" s="1">
        <v>48</v>
      </c>
      <c r="G2238" s="1">
        <v>1216</v>
      </c>
      <c r="H2238">
        <f t="shared" si="102"/>
        <v>2016</v>
      </c>
      <c r="I2238">
        <f t="shared" si="103"/>
        <v>2018</v>
      </c>
      <c r="J2238" s="7">
        <f t="shared" si="104"/>
        <v>92534.554766597619</v>
      </c>
      <c r="K2238" s="7"/>
    </row>
    <row r="2239" spans="1:11" x14ac:dyDescent="0.25">
      <c r="A2239" s="1" t="s">
        <v>19</v>
      </c>
      <c r="B2239" s="2">
        <v>201604</v>
      </c>
      <c r="C2239" s="2">
        <v>201802</v>
      </c>
      <c r="D2239" s="10">
        <v>1773.2771333971982</v>
      </c>
      <c r="E2239" s="10">
        <v>77669.482608429782</v>
      </c>
      <c r="F2239" s="1">
        <v>29</v>
      </c>
      <c r="G2239" s="1">
        <v>976</v>
      </c>
      <c r="H2239">
        <f t="shared" si="102"/>
        <v>2016</v>
      </c>
      <c r="I2239">
        <f t="shared" si="103"/>
        <v>2018</v>
      </c>
      <c r="J2239" s="7">
        <f t="shared" si="104"/>
        <v>79442.759741826987</v>
      </c>
      <c r="K2239" s="7"/>
    </row>
    <row r="2240" spans="1:11" x14ac:dyDescent="0.25">
      <c r="A2240" s="1" t="s">
        <v>19</v>
      </c>
      <c r="B2240" s="2">
        <v>201604</v>
      </c>
      <c r="C2240" s="2">
        <v>201803</v>
      </c>
      <c r="D2240" s="10">
        <v>1338.4126037318315</v>
      </c>
      <c r="E2240" s="10">
        <v>72965.029489534121</v>
      </c>
      <c r="F2240" s="1">
        <v>16</v>
      </c>
      <c r="G2240" s="1">
        <v>854</v>
      </c>
      <c r="H2240">
        <f t="shared" si="102"/>
        <v>2016</v>
      </c>
      <c r="I2240">
        <f t="shared" si="103"/>
        <v>2018</v>
      </c>
      <c r="J2240" s="7">
        <f t="shared" si="104"/>
        <v>74303.442093265956</v>
      </c>
      <c r="K2240" s="7"/>
    </row>
    <row r="2241" spans="1:11" x14ac:dyDescent="0.25">
      <c r="A2241" s="1" t="s">
        <v>19</v>
      </c>
      <c r="B2241" s="2">
        <v>201604</v>
      </c>
      <c r="C2241" s="2">
        <v>201804</v>
      </c>
      <c r="D2241" s="10">
        <v>1413.3934069503168</v>
      </c>
      <c r="E2241" s="10">
        <v>64520.954096566456</v>
      </c>
      <c r="F2241" s="1">
        <v>8</v>
      </c>
      <c r="G2241" s="1">
        <v>728</v>
      </c>
      <c r="H2241">
        <f t="shared" si="102"/>
        <v>2016</v>
      </c>
      <c r="I2241">
        <f t="shared" si="103"/>
        <v>2018</v>
      </c>
      <c r="J2241" s="7">
        <f t="shared" si="104"/>
        <v>65934.347503516779</v>
      </c>
      <c r="K2241" s="7"/>
    </row>
    <row r="2242" spans="1:11" x14ac:dyDescent="0.25">
      <c r="A2242" s="1" t="s">
        <v>19</v>
      </c>
      <c r="B2242" s="2">
        <v>201604</v>
      </c>
      <c r="C2242" s="2">
        <v>201901</v>
      </c>
      <c r="D2242" s="10">
        <v>2916.8704772026767</v>
      </c>
      <c r="E2242" s="10">
        <v>53259.792238322414</v>
      </c>
      <c r="F2242" s="1">
        <v>20</v>
      </c>
      <c r="G2242" s="1">
        <v>643</v>
      </c>
      <c r="H2242">
        <f t="shared" si="102"/>
        <v>2016</v>
      </c>
      <c r="I2242">
        <f t="shared" si="103"/>
        <v>2019</v>
      </c>
      <c r="J2242" s="7">
        <f t="shared" si="104"/>
        <v>56176.66271552509</v>
      </c>
      <c r="K2242" s="7"/>
    </row>
    <row r="2243" spans="1:11" x14ac:dyDescent="0.25">
      <c r="A2243" s="1" t="s">
        <v>19</v>
      </c>
      <c r="B2243" s="2">
        <v>201604</v>
      </c>
      <c r="C2243" s="2">
        <v>201902</v>
      </c>
      <c r="D2243" s="10">
        <v>-94.310587973341853</v>
      </c>
      <c r="E2243" s="10">
        <v>18110.286355756038</v>
      </c>
      <c r="F2243" s="1">
        <v>6</v>
      </c>
      <c r="G2243" s="1">
        <v>236</v>
      </c>
      <c r="H2243">
        <f t="shared" si="102"/>
        <v>2016</v>
      </c>
      <c r="I2243">
        <f t="shared" si="103"/>
        <v>2019</v>
      </c>
      <c r="J2243" s="7">
        <f t="shared" si="104"/>
        <v>18015.975767782696</v>
      </c>
      <c r="K2243" s="7"/>
    </row>
    <row r="2244" spans="1:11" x14ac:dyDescent="0.25">
      <c r="A2244" s="1" t="s">
        <v>19</v>
      </c>
      <c r="B2244" s="2">
        <v>201604</v>
      </c>
      <c r="C2244" s="2">
        <v>201903</v>
      </c>
      <c r="D2244" s="10">
        <v>470.39263618420165</v>
      </c>
      <c r="E2244" s="10">
        <v>15800.301117260602</v>
      </c>
      <c r="F2244" s="1">
        <v>3</v>
      </c>
      <c r="G2244" s="1">
        <v>203</v>
      </c>
      <c r="H2244">
        <f t="shared" ref="H2244:H2307" si="105">VALUE(LEFT(B2244,4))</f>
        <v>2016</v>
      </c>
      <c r="I2244">
        <f t="shared" ref="I2244:I2307" si="106">VALUE(LEFT(C2244,4))</f>
        <v>2019</v>
      </c>
      <c r="J2244" s="7">
        <f t="shared" si="104"/>
        <v>16270.693753444804</v>
      </c>
      <c r="K2244" s="7"/>
    </row>
    <row r="2245" spans="1:11" x14ac:dyDescent="0.25">
      <c r="A2245" s="1" t="s">
        <v>19</v>
      </c>
      <c r="B2245" s="2">
        <v>201604</v>
      </c>
      <c r="C2245" s="2">
        <v>201904</v>
      </c>
      <c r="D2245" s="10">
        <v>1683.3592755515845</v>
      </c>
      <c r="E2245" s="10">
        <v>12746.29247985033</v>
      </c>
      <c r="F2245" s="1">
        <v>7</v>
      </c>
      <c r="G2245" s="1">
        <v>167</v>
      </c>
      <c r="H2245">
        <f t="shared" si="105"/>
        <v>2016</v>
      </c>
      <c r="I2245">
        <f t="shared" si="106"/>
        <v>2019</v>
      </c>
      <c r="J2245" s="7">
        <f t="shared" ref="J2245:J2308" si="107">D2245+E2245</f>
        <v>14429.651755401914</v>
      </c>
      <c r="K2245" s="7"/>
    </row>
    <row r="2246" spans="1:11" x14ac:dyDescent="0.25">
      <c r="A2246" s="1" t="s">
        <v>19</v>
      </c>
      <c r="B2246" s="2">
        <v>201604</v>
      </c>
      <c r="C2246" s="2">
        <v>202001</v>
      </c>
      <c r="D2246" s="10">
        <v>414.30455578978007</v>
      </c>
      <c r="E2246" s="10">
        <v>9147.0159779980877</v>
      </c>
      <c r="F2246" s="1">
        <v>1</v>
      </c>
      <c r="G2246" s="1">
        <v>116</v>
      </c>
      <c r="H2246">
        <f t="shared" si="105"/>
        <v>2016</v>
      </c>
      <c r="I2246">
        <f t="shared" si="106"/>
        <v>2020</v>
      </c>
      <c r="J2246" s="7">
        <f t="shared" si="107"/>
        <v>9561.320533787868</v>
      </c>
      <c r="K2246" s="7"/>
    </row>
    <row r="2247" spans="1:11" x14ac:dyDescent="0.25">
      <c r="A2247" s="1" t="s">
        <v>19</v>
      </c>
      <c r="B2247" s="2">
        <v>201604</v>
      </c>
      <c r="C2247" s="2">
        <v>202002</v>
      </c>
      <c r="D2247" s="10">
        <v>-251.07109973204891</v>
      </c>
      <c r="E2247" s="10">
        <v>3348.4877229363342</v>
      </c>
      <c r="F2247" s="1">
        <v>2</v>
      </c>
      <c r="G2247" s="1">
        <v>36</v>
      </c>
      <c r="H2247">
        <f t="shared" si="105"/>
        <v>2016</v>
      </c>
      <c r="I2247">
        <f t="shared" si="106"/>
        <v>2020</v>
      </c>
      <c r="J2247" s="7">
        <f t="shared" si="107"/>
        <v>3097.4166232042853</v>
      </c>
      <c r="K2247" s="7"/>
    </row>
    <row r="2248" spans="1:11" x14ac:dyDescent="0.25">
      <c r="A2248" s="1" t="s">
        <v>19</v>
      </c>
      <c r="B2248" s="2">
        <v>201604</v>
      </c>
      <c r="C2248" s="2">
        <v>202003</v>
      </c>
      <c r="D2248" s="10">
        <v>37.125192154840562</v>
      </c>
      <c r="E2248" s="10">
        <v>2963.6277649234676</v>
      </c>
      <c r="F2248" s="1">
        <v>0</v>
      </c>
      <c r="G2248" s="1">
        <v>36</v>
      </c>
      <c r="H2248">
        <f t="shared" si="105"/>
        <v>2016</v>
      </c>
      <c r="I2248">
        <f t="shared" si="106"/>
        <v>2020</v>
      </c>
      <c r="J2248" s="7">
        <f t="shared" si="107"/>
        <v>3000.7529570783081</v>
      </c>
      <c r="K2248" s="7"/>
    </row>
    <row r="2249" spans="1:11" x14ac:dyDescent="0.25">
      <c r="A2249" s="1" t="s">
        <v>19</v>
      </c>
      <c r="B2249" s="2">
        <v>201604</v>
      </c>
      <c r="C2249" s="2">
        <v>202004</v>
      </c>
      <c r="D2249" s="10">
        <v>-152.20220576490627</v>
      </c>
      <c r="E2249" s="10">
        <v>3277.9066883638761</v>
      </c>
      <c r="F2249" s="1">
        <v>1</v>
      </c>
      <c r="G2249" s="1">
        <v>34</v>
      </c>
      <c r="H2249">
        <f t="shared" si="105"/>
        <v>2016</v>
      </c>
      <c r="I2249">
        <f t="shared" si="106"/>
        <v>2020</v>
      </c>
      <c r="J2249" s="7">
        <f t="shared" si="107"/>
        <v>3125.7044825989697</v>
      </c>
      <c r="K2249" s="7"/>
    </row>
    <row r="2250" spans="1:11" x14ac:dyDescent="0.25">
      <c r="A2250" s="1" t="s">
        <v>19</v>
      </c>
      <c r="B2250" s="2">
        <v>201604</v>
      </c>
      <c r="C2250" s="2">
        <v>202101</v>
      </c>
      <c r="D2250" s="10">
        <v>-39.190764576593615</v>
      </c>
      <c r="E2250" s="10">
        <v>3208.1159152242208</v>
      </c>
      <c r="F2250" s="1">
        <v>0</v>
      </c>
      <c r="G2250" s="1">
        <v>33</v>
      </c>
      <c r="H2250">
        <f t="shared" si="105"/>
        <v>2016</v>
      </c>
      <c r="I2250">
        <f t="shared" si="106"/>
        <v>2021</v>
      </c>
      <c r="J2250" s="7">
        <f t="shared" si="107"/>
        <v>3168.9251506476271</v>
      </c>
      <c r="K2250" s="7"/>
    </row>
    <row r="2251" spans="1:11" x14ac:dyDescent="0.25">
      <c r="A2251" s="1" t="s">
        <v>19</v>
      </c>
      <c r="B2251" s="2">
        <v>201604</v>
      </c>
      <c r="C2251" s="2">
        <v>202102</v>
      </c>
      <c r="D2251" s="10">
        <v>249.22887012524947</v>
      </c>
      <c r="E2251" s="10">
        <v>3257.3136924991877</v>
      </c>
      <c r="F2251" s="1">
        <v>0</v>
      </c>
      <c r="G2251" s="1">
        <v>32</v>
      </c>
      <c r="H2251">
        <f t="shared" si="105"/>
        <v>2016</v>
      </c>
      <c r="I2251">
        <f t="shared" si="106"/>
        <v>2021</v>
      </c>
      <c r="J2251" s="7">
        <f t="shared" si="107"/>
        <v>3506.5425626244373</v>
      </c>
      <c r="K2251" s="7"/>
    </row>
    <row r="2252" spans="1:11" x14ac:dyDescent="0.25">
      <c r="A2252" s="1" t="s">
        <v>19</v>
      </c>
      <c r="B2252" s="2">
        <v>201604</v>
      </c>
      <c r="C2252" s="2">
        <v>202103</v>
      </c>
      <c r="D2252" s="10">
        <v>163.01770255357036</v>
      </c>
      <c r="E2252" s="10">
        <v>3248.591017071943</v>
      </c>
      <c r="F2252" s="1">
        <v>0</v>
      </c>
      <c r="G2252" s="1">
        <v>27</v>
      </c>
      <c r="H2252">
        <f t="shared" si="105"/>
        <v>2016</v>
      </c>
      <c r="I2252">
        <f t="shared" si="106"/>
        <v>2021</v>
      </c>
      <c r="J2252" s="7">
        <f t="shared" si="107"/>
        <v>3411.6087196255135</v>
      </c>
      <c r="K2252" s="7"/>
    </row>
    <row r="2253" spans="1:11" x14ac:dyDescent="0.25">
      <c r="A2253" s="1" t="s">
        <v>19</v>
      </c>
      <c r="B2253" s="2">
        <v>201604</v>
      </c>
      <c r="C2253" s="2">
        <v>202104</v>
      </c>
      <c r="D2253" s="10">
        <v>21.496397119445767</v>
      </c>
      <c r="E2253" s="10">
        <v>1686.8722910790766</v>
      </c>
      <c r="F2253" s="1">
        <v>0</v>
      </c>
      <c r="G2253" s="1">
        <v>25</v>
      </c>
      <c r="H2253">
        <f t="shared" si="105"/>
        <v>2016</v>
      </c>
      <c r="I2253">
        <f t="shared" si="106"/>
        <v>2021</v>
      </c>
      <c r="J2253" s="7">
        <f t="shared" si="107"/>
        <v>1708.3686881985225</v>
      </c>
      <c r="K2253" s="7"/>
    </row>
    <row r="2254" spans="1:11" x14ac:dyDescent="0.25">
      <c r="A2254" s="1" t="s">
        <v>19</v>
      </c>
      <c r="B2254" s="2">
        <v>201701</v>
      </c>
      <c r="C2254" s="2">
        <v>201701</v>
      </c>
      <c r="D2254" s="10">
        <v>670557.78849720908</v>
      </c>
      <c r="E2254" s="10">
        <v>531953.90407263848</v>
      </c>
      <c r="F2254" s="1">
        <v>13528</v>
      </c>
      <c r="G2254" s="1">
        <v>5309</v>
      </c>
      <c r="H2254">
        <f t="shared" si="105"/>
        <v>2017</v>
      </c>
      <c r="I2254">
        <f t="shared" si="106"/>
        <v>2017</v>
      </c>
      <c r="J2254" s="7">
        <f t="shared" si="107"/>
        <v>1202511.6925698477</v>
      </c>
      <c r="K2254" s="7"/>
    </row>
    <row r="2255" spans="1:11" x14ac:dyDescent="0.25">
      <c r="A2255" s="1" t="s">
        <v>19</v>
      </c>
      <c r="B2255" s="2">
        <v>201701</v>
      </c>
      <c r="C2255" s="2">
        <v>201702</v>
      </c>
      <c r="D2255" s="10">
        <v>653370.86758437462</v>
      </c>
      <c r="E2255" s="10">
        <v>230189.68322812259</v>
      </c>
      <c r="F2255" s="1">
        <v>4030</v>
      </c>
      <c r="G2255" s="1">
        <v>2935</v>
      </c>
      <c r="H2255">
        <f t="shared" si="105"/>
        <v>2017</v>
      </c>
      <c r="I2255">
        <f t="shared" si="106"/>
        <v>2017</v>
      </c>
      <c r="J2255" s="7">
        <f t="shared" si="107"/>
        <v>883560.55081249727</v>
      </c>
      <c r="K2255" s="7"/>
    </row>
    <row r="2256" spans="1:11" x14ac:dyDescent="0.25">
      <c r="A2256" s="1" t="s">
        <v>19</v>
      </c>
      <c r="B2256" s="2">
        <v>201701</v>
      </c>
      <c r="C2256" s="2">
        <v>201703</v>
      </c>
      <c r="D2256" s="10">
        <v>274626.16744940716</v>
      </c>
      <c r="E2256" s="10">
        <v>153191.5331477994</v>
      </c>
      <c r="F2256" s="1">
        <v>674</v>
      </c>
      <c r="G2256" s="1">
        <v>2135</v>
      </c>
      <c r="H2256">
        <f t="shared" si="105"/>
        <v>2017</v>
      </c>
      <c r="I2256">
        <f t="shared" si="106"/>
        <v>2017</v>
      </c>
      <c r="J2256" s="7">
        <f t="shared" si="107"/>
        <v>427817.7005972066</v>
      </c>
      <c r="K2256" s="7"/>
    </row>
    <row r="2257" spans="1:11" x14ac:dyDescent="0.25">
      <c r="A2257" s="1" t="s">
        <v>19</v>
      </c>
      <c r="B2257" s="2">
        <v>201701</v>
      </c>
      <c r="C2257" s="2">
        <v>201704</v>
      </c>
      <c r="D2257" s="10">
        <v>258559.91837999175</v>
      </c>
      <c r="E2257" s="10">
        <v>131801.2043660717</v>
      </c>
      <c r="F2257" s="1">
        <v>195</v>
      </c>
      <c r="G2257" s="1">
        <v>1767</v>
      </c>
      <c r="H2257">
        <f t="shared" si="105"/>
        <v>2017</v>
      </c>
      <c r="I2257">
        <f t="shared" si="106"/>
        <v>2017</v>
      </c>
      <c r="J2257" s="7">
        <f t="shared" si="107"/>
        <v>390361.12274606345</v>
      </c>
      <c r="K2257" s="7"/>
    </row>
    <row r="2258" spans="1:11" x14ac:dyDescent="0.25">
      <c r="A2258" s="1" t="s">
        <v>19</v>
      </c>
      <c r="B2258" s="2">
        <v>201701</v>
      </c>
      <c r="C2258" s="2">
        <v>201801</v>
      </c>
      <c r="D2258" s="10">
        <v>156719.43863114886</v>
      </c>
      <c r="E2258" s="10">
        <v>103479.29129414243</v>
      </c>
      <c r="F2258" s="1">
        <v>125</v>
      </c>
      <c r="G2258" s="1">
        <v>1459</v>
      </c>
      <c r="H2258">
        <f t="shared" si="105"/>
        <v>2017</v>
      </c>
      <c r="I2258">
        <f t="shared" si="106"/>
        <v>2018</v>
      </c>
      <c r="J2258" s="7">
        <f t="shared" si="107"/>
        <v>260198.72992529129</v>
      </c>
      <c r="K2258" s="7"/>
    </row>
    <row r="2259" spans="1:11" x14ac:dyDescent="0.25">
      <c r="A2259" s="1" t="s">
        <v>19</v>
      </c>
      <c r="B2259" s="2">
        <v>201701</v>
      </c>
      <c r="C2259" s="2">
        <v>201802</v>
      </c>
      <c r="D2259" s="10">
        <v>35738.399723959548</v>
      </c>
      <c r="E2259" s="10">
        <v>88756.838262146077</v>
      </c>
      <c r="F2259" s="1">
        <v>51</v>
      </c>
      <c r="G2259" s="1">
        <v>1209</v>
      </c>
      <c r="H2259">
        <f t="shared" si="105"/>
        <v>2017</v>
      </c>
      <c r="I2259">
        <f t="shared" si="106"/>
        <v>2018</v>
      </c>
      <c r="J2259" s="7">
        <f t="shared" si="107"/>
        <v>124495.23798610563</v>
      </c>
      <c r="K2259" s="7"/>
    </row>
    <row r="2260" spans="1:11" x14ac:dyDescent="0.25">
      <c r="A2260" s="1" t="s">
        <v>19</v>
      </c>
      <c r="B2260" s="2">
        <v>201701</v>
      </c>
      <c r="C2260" s="2">
        <v>201803</v>
      </c>
      <c r="D2260" s="10">
        <v>12323.238321941853</v>
      </c>
      <c r="E2260" s="10">
        <v>79696.770022534387</v>
      </c>
      <c r="F2260" s="1">
        <v>33</v>
      </c>
      <c r="G2260" s="1">
        <v>1081</v>
      </c>
      <c r="H2260">
        <f t="shared" si="105"/>
        <v>2017</v>
      </c>
      <c r="I2260">
        <f t="shared" si="106"/>
        <v>2018</v>
      </c>
      <c r="J2260" s="7">
        <f t="shared" si="107"/>
        <v>92020.008344476242</v>
      </c>
      <c r="K2260" s="7"/>
    </row>
    <row r="2261" spans="1:11" x14ac:dyDescent="0.25">
      <c r="A2261" s="1" t="s">
        <v>19</v>
      </c>
      <c r="B2261" s="2">
        <v>201701</v>
      </c>
      <c r="C2261" s="2">
        <v>201804</v>
      </c>
      <c r="D2261" s="10">
        <v>5457.0873958677321</v>
      </c>
      <c r="E2261" s="10">
        <v>69640.43647557302</v>
      </c>
      <c r="F2261" s="1">
        <v>17</v>
      </c>
      <c r="G2261" s="1">
        <v>932</v>
      </c>
      <c r="H2261">
        <f t="shared" si="105"/>
        <v>2017</v>
      </c>
      <c r="I2261">
        <f t="shared" si="106"/>
        <v>2018</v>
      </c>
      <c r="J2261" s="7">
        <f t="shared" si="107"/>
        <v>75097.523871440746</v>
      </c>
      <c r="K2261" s="7"/>
    </row>
    <row r="2262" spans="1:11" x14ac:dyDescent="0.25">
      <c r="A2262" s="1" t="s">
        <v>19</v>
      </c>
      <c r="B2262" s="2">
        <v>201701</v>
      </c>
      <c r="C2262" s="2">
        <v>201901</v>
      </c>
      <c r="D2262" s="10">
        <v>45342.058949539067</v>
      </c>
      <c r="E2262" s="10">
        <v>53635.283172669646</v>
      </c>
      <c r="F2262" s="1">
        <v>8</v>
      </c>
      <c r="G2262" s="1">
        <v>751</v>
      </c>
      <c r="H2262">
        <f t="shared" si="105"/>
        <v>2017</v>
      </c>
      <c r="I2262">
        <f t="shared" si="106"/>
        <v>2019</v>
      </c>
      <c r="J2262" s="7">
        <f t="shared" si="107"/>
        <v>98977.342122208705</v>
      </c>
      <c r="K2262" s="7"/>
    </row>
    <row r="2263" spans="1:11" x14ac:dyDescent="0.25">
      <c r="A2263" s="1" t="s">
        <v>19</v>
      </c>
      <c r="B2263" s="2">
        <v>201701</v>
      </c>
      <c r="C2263" s="2">
        <v>201902</v>
      </c>
      <c r="D2263" s="10">
        <v>2777.99739076274</v>
      </c>
      <c r="E2263" s="10">
        <v>44894.414345541947</v>
      </c>
      <c r="F2263" s="1">
        <v>8</v>
      </c>
      <c r="G2263" s="1">
        <v>626</v>
      </c>
      <c r="H2263">
        <f t="shared" si="105"/>
        <v>2017</v>
      </c>
      <c r="I2263">
        <f t="shared" si="106"/>
        <v>2019</v>
      </c>
      <c r="J2263" s="7">
        <f t="shared" si="107"/>
        <v>47672.41173630469</v>
      </c>
      <c r="K2263" s="7"/>
    </row>
    <row r="2264" spans="1:11" x14ac:dyDescent="0.25">
      <c r="A2264" s="1" t="s">
        <v>19</v>
      </c>
      <c r="B2264" s="2">
        <v>201701</v>
      </c>
      <c r="C2264" s="2">
        <v>201903</v>
      </c>
      <c r="D2264" s="10">
        <v>597.05621651592196</v>
      </c>
      <c r="E2264" s="10">
        <v>38861.529969596297</v>
      </c>
      <c r="F2264" s="1">
        <v>3</v>
      </c>
      <c r="G2264" s="1">
        <v>527</v>
      </c>
      <c r="H2264">
        <f t="shared" si="105"/>
        <v>2017</v>
      </c>
      <c r="I2264">
        <f t="shared" si="106"/>
        <v>2019</v>
      </c>
      <c r="J2264" s="7">
        <f t="shared" si="107"/>
        <v>39458.586186112218</v>
      </c>
      <c r="K2264" s="7"/>
    </row>
    <row r="2265" spans="1:11" x14ac:dyDescent="0.25">
      <c r="A2265" s="1" t="s">
        <v>19</v>
      </c>
      <c r="B2265" s="2">
        <v>201701</v>
      </c>
      <c r="C2265" s="2">
        <v>201904</v>
      </c>
      <c r="D2265" s="10">
        <v>13.572235388704328</v>
      </c>
      <c r="E2265" s="10">
        <v>32289.970746747262</v>
      </c>
      <c r="F2265" s="1">
        <v>4</v>
      </c>
      <c r="G2265" s="1">
        <v>429</v>
      </c>
      <c r="H2265">
        <f t="shared" si="105"/>
        <v>2017</v>
      </c>
      <c r="I2265">
        <f t="shared" si="106"/>
        <v>2019</v>
      </c>
      <c r="J2265" s="7">
        <f t="shared" si="107"/>
        <v>32303.542982135965</v>
      </c>
      <c r="K2265" s="7"/>
    </row>
    <row r="2266" spans="1:11" x14ac:dyDescent="0.25">
      <c r="A2266" s="1" t="s">
        <v>19</v>
      </c>
      <c r="B2266" s="2">
        <v>201701</v>
      </c>
      <c r="C2266" s="2">
        <v>202001</v>
      </c>
      <c r="D2266" s="10">
        <v>-112.15527371971339</v>
      </c>
      <c r="E2266" s="10">
        <v>20406.496652361337</v>
      </c>
      <c r="F2266" s="1">
        <v>5</v>
      </c>
      <c r="G2266" s="1">
        <v>294</v>
      </c>
      <c r="H2266">
        <f t="shared" si="105"/>
        <v>2017</v>
      </c>
      <c r="I2266">
        <f t="shared" si="106"/>
        <v>2020</v>
      </c>
      <c r="J2266" s="7">
        <f t="shared" si="107"/>
        <v>20294.341378641624</v>
      </c>
      <c r="K2266" s="7"/>
    </row>
    <row r="2267" spans="1:11" x14ac:dyDescent="0.25">
      <c r="A2267" s="1" t="s">
        <v>19</v>
      </c>
      <c r="B2267" s="2">
        <v>201701</v>
      </c>
      <c r="C2267" s="2">
        <v>202002</v>
      </c>
      <c r="D2267" s="10">
        <v>-857.35142255933454</v>
      </c>
      <c r="E2267" s="10">
        <v>5848.0082406930951</v>
      </c>
      <c r="F2267" s="1">
        <v>4</v>
      </c>
      <c r="G2267" s="1">
        <v>93</v>
      </c>
      <c r="H2267">
        <f t="shared" si="105"/>
        <v>2017</v>
      </c>
      <c r="I2267">
        <f t="shared" si="106"/>
        <v>2020</v>
      </c>
      <c r="J2267" s="7">
        <f t="shared" si="107"/>
        <v>4990.6568181337607</v>
      </c>
      <c r="K2267" s="7"/>
    </row>
    <row r="2268" spans="1:11" x14ac:dyDescent="0.25">
      <c r="A2268" s="1" t="s">
        <v>19</v>
      </c>
      <c r="B2268" s="2">
        <v>201701</v>
      </c>
      <c r="C2268" s="2">
        <v>202003</v>
      </c>
      <c r="D2268" s="10">
        <v>-954.49728296995465</v>
      </c>
      <c r="E2268" s="10">
        <v>5435.8670333182527</v>
      </c>
      <c r="F2268" s="1">
        <v>2</v>
      </c>
      <c r="G2268" s="1">
        <v>81</v>
      </c>
      <c r="H2268">
        <f t="shared" si="105"/>
        <v>2017</v>
      </c>
      <c r="I2268">
        <f t="shared" si="106"/>
        <v>2020</v>
      </c>
      <c r="J2268" s="7">
        <f t="shared" si="107"/>
        <v>4481.3697503482981</v>
      </c>
      <c r="K2268" s="7"/>
    </row>
    <row r="2269" spans="1:11" x14ac:dyDescent="0.25">
      <c r="A2269" s="1" t="s">
        <v>19</v>
      </c>
      <c r="B2269" s="2">
        <v>201701</v>
      </c>
      <c r="C2269" s="2">
        <v>202004</v>
      </c>
      <c r="D2269" s="10">
        <v>-152.12392541851139</v>
      </c>
      <c r="E2269" s="10">
        <v>5048.7211820681759</v>
      </c>
      <c r="F2269" s="1">
        <v>3</v>
      </c>
      <c r="G2269" s="1">
        <v>71</v>
      </c>
      <c r="H2269">
        <f t="shared" si="105"/>
        <v>2017</v>
      </c>
      <c r="I2269">
        <f t="shared" si="106"/>
        <v>2020</v>
      </c>
      <c r="J2269" s="7">
        <f t="shared" si="107"/>
        <v>4896.5972566496648</v>
      </c>
      <c r="K2269" s="7"/>
    </row>
    <row r="2270" spans="1:11" x14ac:dyDescent="0.25">
      <c r="A2270" s="1" t="s">
        <v>19</v>
      </c>
      <c r="B2270" s="2">
        <v>201701</v>
      </c>
      <c r="C2270" s="2">
        <v>202101</v>
      </c>
      <c r="D2270" s="10">
        <v>-35.086581048935237</v>
      </c>
      <c r="E2270" s="10">
        <v>5134.8554120069566</v>
      </c>
      <c r="F2270" s="1">
        <v>0</v>
      </c>
      <c r="G2270" s="1">
        <v>66</v>
      </c>
      <c r="H2270">
        <f t="shared" si="105"/>
        <v>2017</v>
      </c>
      <c r="I2270">
        <f t="shared" si="106"/>
        <v>2021</v>
      </c>
      <c r="J2270" s="7">
        <f t="shared" si="107"/>
        <v>5099.7688309580217</v>
      </c>
      <c r="K2270" s="7"/>
    </row>
    <row r="2271" spans="1:11" x14ac:dyDescent="0.25">
      <c r="A2271" s="1" t="s">
        <v>19</v>
      </c>
      <c r="B2271" s="2">
        <v>201701</v>
      </c>
      <c r="C2271" s="2">
        <v>202102</v>
      </c>
      <c r="D2271" s="10">
        <v>120.6626211204042</v>
      </c>
      <c r="E2271" s="10">
        <v>5011.0382684226588</v>
      </c>
      <c r="F2271" s="1">
        <v>0</v>
      </c>
      <c r="G2271" s="1">
        <v>58</v>
      </c>
      <c r="H2271">
        <f t="shared" si="105"/>
        <v>2017</v>
      </c>
      <c r="I2271">
        <f t="shared" si="106"/>
        <v>2021</v>
      </c>
      <c r="J2271" s="7">
        <f t="shared" si="107"/>
        <v>5131.7008895430627</v>
      </c>
      <c r="K2271" s="7"/>
    </row>
    <row r="2272" spans="1:11" x14ac:dyDescent="0.25">
      <c r="A2272" s="1" t="s">
        <v>19</v>
      </c>
      <c r="B2272" s="2">
        <v>201701</v>
      </c>
      <c r="C2272" s="2">
        <v>202103</v>
      </c>
      <c r="D2272" s="10">
        <v>-466.67102707301581</v>
      </c>
      <c r="E2272" s="10">
        <v>4979.0869366529669</v>
      </c>
      <c r="F2272" s="1">
        <v>0</v>
      </c>
      <c r="G2272" s="1">
        <v>51</v>
      </c>
      <c r="H2272">
        <f t="shared" si="105"/>
        <v>2017</v>
      </c>
      <c r="I2272">
        <f t="shared" si="106"/>
        <v>2021</v>
      </c>
      <c r="J2272" s="7">
        <f t="shared" si="107"/>
        <v>4512.4159095799514</v>
      </c>
      <c r="K2272" s="7"/>
    </row>
    <row r="2273" spans="1:11" x14ac:dyDescent="0.25">
      <c r="A2273" s="1" t="s">
        <v>19</v>
      </c>
      <c r="B2273" s="2">
        <v>201701</v>
      </c>
      <c r="C2273" s="2">
        <v>202104</v>
      </c>
      <c r="D2273" s="10">
        <v>-126.37996680042676</v>
      </c>
      <c r="E2273" s="10">
        <v>2797.8702235201386</v>
      </c>
      <c r="F2273" s="1">
        <v>0</v>
      </c>
      <c r="G2273" s="1">
        <v>48</v>
      </c>
      <c r="H2273">
        <f t="shared" si="105"/>
        <v>2017</v>
      </c>
      <c r="I2273">
        <f t="shared" si="106"/>
        <v>2021</v>
      </c>
      <c r="J2273" s="7">
        <f t="shared" si="107"/>
        <v>2671.4902567197119</v>
      </c>
      <c r="K2273" s="7"/>
    </row>
    <row r="2274" spans="1:11" x14ac:dyDescent="0.25">
      <c r="A2274" s="1" t="s">
        <v>19</v>
      </c>
      <c r="B2274" s="2">
        <v>201702</v>
      </c>
      <c r="C2274" s="2">
        <v>201702</v>
      </c>
      <c r="D2274" s="10">
        <v>610987.32110236026</v>
      </c>
      <c r="E2274" s="10">
        <v>711868.47910802637</v>
      </c>
      <c r="F2274" s="1">
        <v>15406</v>
      </c>
      <c r="G2274" s="1">
        <v>6522</v>
      </c>
      <c r="H2274">
        <f t="shared" si="105"/>
        <v>2017</v>
      </c>
      <c r="I2274">
        <f t="shared" si="106"/>
        <v>2017</v>
      </c>
      <c r="J2274" s="7">
        <f t="shared" si="107"/>
        <v>1322855.8002103865</v>
      </c>
      <c r="K2274" s="7"/>
    </row>
    <row r="2275" spans="1:11" x14ac:dyDescent="0.25">
      <c r="A2275" s="1" t="s">
        <v>19</v>
      </c>
      <c r="B2275" s="2">
        <v>201702</v>
      </c>
      <c r="C2275" s="2">
        <v>201703</v>
      </c>
      <c r="D2275" s="10">
        <v>638433.68839484686</v>
      </c>
      <c r="E2275" s="10">
        <v>287166.40938139957</v>
      </c>
      <c r="F2275" s="1">
        <v>3726</v>
      </c>
      <c r="G2275" s="1">
        <v>3497</v>
      </c>
      <c r="H2275">
        <f t="shared" si="105"/>
        <v>2017</v>
      </c>
      <c r="I2275">
        <f t="shared" si="106"/>
        <v>2017</v>
      </c>
      <c r="J2275" s="7">
        <f t="shared" si="107"/>
        <v>925600.09777624649</v>
      </c>
      <c r="K2275" s="7"/>
    </row>
    <row r="2276" spans="1:11" x14ac:dyDescent="0.25">
      <c r="A2276" s="1" t="s">
        <v>19</v>
      </c>
      <c r="B2276" s="2">
        <v>201702</v>
      </c>
      <c r="C2276" s="2">
        <v>201704</v>
      </c>
      <c r="D2276" s="10">
        <v>112454.94184726464</v>
      </c>
      <c r="E2276" s="10">
        <v>184374.42251996518</v>
      </c>
      <c r="F2276" s="1">
        <v>437</v>
      </c>
      <c r="G2276" s="1">
        <v>2392</v>
      </c>
      <c r="H2276">
        <f t="shared" si="105"/>
        <v>2017</v>
      </c>
      <c r="I2276">
        <f t="shared" si="106"/>
        <v>2017</v>
      </c>
      <c r="J2276" s="7">
        <f t="shared" si="107"/>
        <v>296829.36436722981</v>
      </c>
      <c r="K2276" s="7"/>
    </row>
    <row r="2277" spans="1:11" x14ac:dyDescent="0.25">
      <c r="A2277" s="1" t="s">
        <v>19</v>
      </c>
      <c r="B2277" s="2">
        <v>201702</v>
      </c>
      <c r="C2277" s="2">
        <v>201801</v>
      </c>
      <c r="D2277" s="10">
        <v>34637.891729240626</v>
      </c>
      <c r="E2277" s="10">
        <v>140068.55914172457</v>
      </c>
      <c r="F2277" s="1">
        <v>191</v>
      </c>
      <c r="G2277" s="1">
        <v>1872</v>
      </c>
      <c r="H2277">
        <f t="shared" si="105"/>
        <v>2017</v>
      </c>
      <c r="I2277">
        <f t="shared" si="106"/>
        <v>2018</v>
      </c>
      <c r="J2277" s="7">
        <f t="shared" si="107"/>
        <v>174706.4508709652</v>
      </c>
      <c r="K2277" s="7"/>
    </row>
    <row r="2278" spans="1:11" x14ac:dyDescent="0.25">
      <c r="A2278" s="1" t="s">
        <v>19</v>
      </c>
      <c r="B2278" s="2">
        <v>201702</v>
      </c>
      <c r="C2278" s="2">
        <v>201802</v>
      </c>
      <c r="D2278" s="10">
        <v>18445.741327088967</v>
      </c>
      <c r="E2278" s="10">
        <v>116867.12625181527</v>
      </c>
      <c r="F2278" s="1">
        <v>109</v>
      </c>
      <c r="G2278" s="1">
        <v>1585</v>
      </c>
      <c r="H2278">
        <f t="shared" si="105"/>
        <v>2017</v>
      </c>
      <c r="I2278">
        <f t="shared" si="106"/>
        <v>2018</v>
      </c>
      <c r="J2278" s="7">
        <f t="shared" si="107"/>
        <v>135312.86757890423</v>
      </c>
      <c r="K2278" s="7"/>
    </row>
    <row r="2279" spans="1:11" x14ac:dyDescent="0.25">
      <c r="A2279" s="1" t="s">
        <v>19</v>
      </c>
      <c r="B2279" s="2">
        <v>201702</v>
      </c>
      <c r="C2279" s="2">
        <v>201803</v>
      </c>
      <c r="D2279" s="10">
        <v>7968.2533614259564</v>
      </c>
      <c r="E2279" s="10">
        <v>99816.39669031839</v>
      </c>
      <c r="F2279" s="1">
        <v>39</v>
      </c>
      <c r="G2279" s="1">
        <v>1345</v>
      </c>
      <c r="H2279">
        <f t="shared" si="105"/>
        <v>2017</v>
      </c>
      <c r="I2279">
        <f t="shared" si="106"/>
        <v>2018</v>
      </c>
      <c r="J2279" s="7">
        <f t="shared" si="107"/>
        <v>107784.65005174435</v>
      </c>
      <c r="K2279" s="7"/>
    </row>
    <row r="2280" spans="1:11" x14ac:dyDescent="0.25">
      <c r="A2280" s="1" t="s">
        <v>19</v>
      </c>
      <c r="B2280" s="2">
        <v>201702</v>
      </c>
      <c r="C2280" s="2">
        <v>201804</v>
      </c>
      <c r="D2280" s="10">
        <v>5453.9030131997351</v>
      </c>
      <c r="E2280" s="10">
        <v>88660.087515036619</v>
      </c>
      <c r="F2280" s="1">
        <v>27</v>
      </c>
      <c r="G2280" s="1">
        <v>1177</v>
      </c>
      <c r="H2280">
        <f t="shared" si="105"/>
        <v>2017</v>
      </c>
      <c r="I2280">
        <f t="shared" si="106"/>
        <v>2018</v>
      </c>
      <c r="J2280" s="7">
        <f t="shared" si="107"/>
        <v>94113.990528236347</v>
      </c>
      <c r="K2280" s="7"/>
    </row>
    <row r="2281" spans="1:11" x14ac:dyDescent="0.25">
      <c r="A2281" s="1" t="s">
        <v>19</v>
      </c>
      <c r="B2281" s="2">
        <v>201702</v>
      </c>
      <c r="C2281" s="2">
        <v>201901</v>
      </c>
      <c r="D2281" s="10">
        <v>2089.3959488905612</v>
      </c>
      <c r="E2281" s="10">
        <v>73262.613682376686</v>
      </c>
      <c r="F2281" s="1">
        <v>17</v>
      </c>
      <c r="G2281" s="1">
        <v>1006</v>
      </c>
      <c r="H2281">
        <f t="shared" si="105"/>
        <v>2017</v>
      </c>
      <c r="I2281">
        <f t="shared" si="106"/>
        <v>2019</v>
      </c>
      <c r="J2281" s="7">
        <f t="shared" si="107"/>
        <v>75352.009631267254</v>
      </c>
      <c r="K2281" s="7"/>
    </row>
    <row r="2282" spans="1:11" x14ac:dyDescent="0.25">
      <c r="A2282" s="1" t="s">
        <v>19</v>
      </c>
      <c r="B2282" s="2">
        <v>201702</v>
      </c>
      <c r="C2282" s="2">
        <v>201902</v>
      </c>
      <c r="D2282" s="10">
        <v>3143.0701113212599</v>
      </c>
      <c r="E2282" s="10">
        <v>55857.01277321919</v>
      </c>
      <c r="F2282" s="1">
        <v>20</v>
      </c>
      <c r="G2282" s="1">
        <v>792</v>
      </c>
      <c r="H2282">
        <f t="shared" si="105"/>
        <v>2017</v>
      </c>
      <c r="I2282">
        <f t="shared" si="106"/>
        <v>2019</v>
      </c>
      <c r="J2282" s="7">
        <f t="shared" si="107"/>
        <v>59000.082884540447</v>
      </c>
      <c r="K2282" s="7"/>
    </row>
    <row r="2283" spans="1:11" x14ac:dyDescent="0.25">
      <c r="A2283" s="1" t="s">
        <v>19</v>
      </c>
      <c r="B2283" s="2">
        <v>201702</v>
      </c>
      <c r="C2283" s="2">
        <v>201903</v>
      </c>
      <c r="D2283" s="10">
        <v>398.62753412749919</v>
      </c>
      <c r="E2283" s="10">
        <v>52495.289539149504</v>
      </c>
      <c r="F2283" s="1">
        <v>6</v>
      </c>
      <c r="G2283" s="1">
        <v>707</v>
      </c>
      <c r="H2283">
        <f t="shared" si="105"/>
        <v>2017</v>
      </c>
      <c r="I2283">
        <f t="shared" si="106"/>
        <v>2019</v>
      </c>
      <c r="J2283" s="7">
        <f t="shared" si="107"/>
        <v>52893.917073277</v>
      </c>
      <c r="K2283" s="7"/>
    </row>
    <row r="2284" spans="1:11" x14ac:dyDescent="0.25">
      <c r="A2284" s="1" t="s">
        <v>19</v>
      </c>
      <c r="B2284" s="2">
        <v>201702</v>
      </c>
      <c r="C2284" s="2">
        <v>201904</v>
      </c>
      <c r="D2284" s="10">
        <v>427.2094038919052</v>
      </c>
      <c r="E2284" s="10">
        <v>38973.423083034671</v>
      </c>
      <c r="F2284" s="1">
        <v>11</v>
      </c>
      <c r="G2284" s="1">
        <v>531</v>
      </c>
      <c r="H2284">
        <f t="shared" si="105"/>
        <v>2017</v>
      </c>
      <c r="I2284">
        <f t="shared" si="106"/>
        <v>2019</v>
      </c>
      <c r="J2284" s="7">
        <f t="shared" si="107"/>
        <v>39400.632486926574</v>
      </c>
      <c r="K2284" s="7"/>
    </row>
    <row r="2285" spans="1:11" x14ac:dyDescent="0.25">
      <c r="A2285" s="1" t="s">
        <v>19</v>
      </c>
      <c r="B2285" s="2">
        <v>201702</v>
      </c>
      <c r="C2285" s="2">
        <v>202001</v>
      </c>
      <c r="D2285" s="10">
        <v>768.16152809482969</v>
      </c>
      <c r="E2285" s="10">
        <v>28580.093036856055</v>
      </c>
      <c r="F2285" s="1">
        <v>12</v>
      </c>
      <c r="G2285" s="1">
        <v>403</v>
      </c>
      <c r="H2285">
        <f t="shared" si="105"/>
        <v>2017</v>
      </c>
      <c r="I2285">
        <f t="shared" si="106"/>
        <v>2020</v>
      </c>
      <c r="J2285" s="7">
        <f t="shared" si="107"/>
        <v>29348.254564950883</v>
      </c>
      <c r="K2285" s="7"/>
    </row>
    <row r="2286" spans="1:11" x14ac:dyDescent="0.25">
      <c r="A2286" s="1" t="s">
        <v>19</v>
      </c>
      <c r="B2286" s="2">
        <v>201702</v>
      </c>
      <c r="C2286" s="2">
        <v>202002</v>
      </c>
      <c r="D2286" s="10">
        <v>-1436.1315427461943</v>
      </c>
      <c r="E2286" s="10">
        <v>8000.1343389405583</v>
      </c>
      <c r="F2286" s="1">
        <v>5</v>
      </c>
      <c r="G2286" s="1">
        <v>148</v>
      </c>
      <c r="H2286">
        <f t="shared" si="105"/>
        <v>2017</v>
      </c>
      <c r="I2286">
        <f t="shared" si="106"/>
        <v>2020</v>
      </c>
      <c r="J2286" s="7">
        <f t="shared" si="107"/>
        <v>6564.0027961943642</v>
      </c>
      <c r="K2286" s="7"/>
    </row>
    <row r="2287" spans="1:11" x14ac:dyDescent="0.25">
      <c r="A2287" s="1" t="s">
        <v>19</v>
      </c>
      <c r="B2287" s="2">
        <v>201702</v>
      </c>
      <c r="C2287" s="2">
        <v>202003</v>
      </c>
      <c r="D2287" s="10">
        <v>213.93732856988308</v>
      </c>
      <c r="E2287" s="10">
        <v>7448.8457071727489</v>
      </c>
      <c r="F2287" s="1">
        <v>0</v>
      </c>
      <c r="G2287" s="1">
        <v>135</v>
      </c>
      <c r="H2287">
        <f t="shared" si="105"/>
        <v>2017</v>
      </c>
      <c r="I2287">
        <f t="shared" si="106"/>
        <v>2020</v>
      </c>
      <c r="J2287" s="7">
        <f t="shared" si="107"/>
        <v>7662.7830357426319</v>
      </c>
      <c r="K2287" s="7"/>
    </row>
    <row r="2288" spans="1:11" x14ac:dyDescent="0.25">
      <c r="A2288" s="1" t="s">
        <v>19</v>
      </c>
      <c r="B2288" s="2">
        <v>201702</v>
      </c>
      <c r="C2288" s="2">
        <v>202004</v>
      </c>
      <c r="D2288" s="10">
        <v>-3245.4261726176783</v>
      </c>
      <c r="E2288" s="10">
        <v>5935.2941550318801</v>
      </c>
      <c r="F2288" s="1">
        <v>0</v>
      </c>
      <c r="G2288" s="1">
        <v>119</v>
      </c>
      <c r="H2288">
        <f t="shared" si="105"/>
        <v>2017</v>
      </c>
      <c r="I2288">
        <f t="shared" si="106"/>
        <v>2020</v>
      </c>
      <c r="J2288" s="7">
        <f t="shared" si="107"/>
        <v>2689.8679824142018</v>
      </c>
      <c r="K2288" s="7"/>
    </row>
    <row r="2289" spans="1:11" x14ac:dyDescent="0.25">
      <c r="A2289" s="1" t="s">
        <v>19</v>
      </c>
      <c r="B2289" s="2">
        <v>201702</v>
      </c>
      <c r="C2289" s="2">
        <v>202101</v>
      </c>
      <c r="D2289" s="10">
        <v>91.646363156375614</v>
      </c>
      <c r="E2289" s="10">
        <v>5915.4482321091282</v>
      </c>
      <c r="F2289" s="1">
        <v>0</v>
      </c>
      <c r="G2289" s="1">
        <v>98</v>
      </c>
      <c r="H2289">
        <f t="shared" si="105"/>
        <v>2017</v>
      </c>
      <c r="I2289">
        <f t="shared" si="106"/>
        <v>2021</v>
      </c>
      <c r="J2289" s="7">
        <f t="shared" si="107"/>
        <v>6007.0945952655038</v>
      </c>
      <c r="K2289" s="7"/>
    </row>
    <row r="2290" spans="1:11" x14ac:dyDescent="0.25">
      <c r="A2290" s="1" t="s">
        <v>19</v>
      </c>
      <c r="B2290" s="2">
        <v>201702</v>
      </c>
      <c r="C2290" s="2">
        <v>202102</v>
      </c>
      <c r="D2290" s="10">
        <v>24.839796936724259</v>
      </c>
      <c r="E2290" s="10">
        <v>5891.9147864600218</v>
      </c>
      <c r="F2290" s="1">
        <v>1</v>
      </c>
      <c r="G2290" s="1">
        <v>91</v>
      </c>
      <c r="H2290">
        <f t="shared" si="105"/>
        <v>2017</v>
      </c>
      <c r="I2290">
        <f t="shared" si="106"/>
        <v>2021</v>
      </c>
      <c r="J2290" s="7">
        <f t="shared" si="107"/>
        <v>5916.7545833967461</v>
      </c>
      <c r="K2290" s="7"/>
    </row>
    <row r="2291" spans="1:11" x14ac:dyDescent="0.25">
      <c r="A2291" s="1" t="s">
        <v>19</v>
      </c>
      <c r="B2291" s="2">
        <v>201702</v>
      </c>
      <c r="C2291" s="2">
        <v>202103</v>
      </c>
      <c r="D2291" s="10">
        <v>9.9504804566966758</v>
      </c>
      <c r="E2291" s="10">
        <v>5895.120599766039</v>
      </c>
      <c r="F2291" s="1">
        <v>2</v>
      </c>
      <c r="G2291" s="1">
        <v>93</v>
      </c>
      <c r="H2291">
        <f t="shared" si="105"/>
        <v>2017</v>
      </c>
      <c r="I2291">
        <f t="shared" si="106"/>
        <v>2021</v>
      </c>
      <c r="J2291" s="7">
        <f t="shared" si="107"/>
        <v>5905.0710802227359</v>
      </c>
      <c r="K2291" s="7"/>
    </row>
    <row r="2292" spans="1:11" x14ac:dyDescent="0.25">
      <c r="A2292" s="1" t="s">
        <v>19</v>
      </c>
      <c r="B2292" s="2">
        <v>201702</v>
      </c>
      <c r="C2292" s="2">
        <v>202104</v>
      </c>
      <c r="D2292" s="10">
        <v>31.470656751431555</v>
      </c>
      <c r="E2292" s="10">
        <v>5643.3353555734357</v>
      </c>
      <c r="F2292" s="1">
        <v>0</v>
      </c>
      <c r="G2292" s="1">
        <v>89</v>
      </c>
      <c r="H2292">
        <f t="shared" si="105"/>
        <v>2017</v>
      </c>
      <c r="I2292">
        <f t="shared" si="106"/>
        <v>2021</v>
      </c>
      <c r="J2292" s="7">
        <f t="shared" si="107"/>
        <v>5674.806012324867</v>
      </c>
      <c r="K2292" s="7"/>
    </row>
    <row r="2293" spans="1:11" x14ac:dyDescent="0.25">
      <c r="A2293" s="1" t="s">
        <v>19</v>
      </c>
      <c r="B2293" s="2">
        <v>201703</v>
      </c>
      <c r="C2293" s="2">
        <v>201703</v>
      </c>
      <c r="D2293" s="10">
        <v>882262.47682221781</v>
      </c>
      <c r="E2293" s="10">
        <v>1179896.1925418309</v>
      </c>
      <c r="F2293" s="1">
        <v>18574</v>
      </c>
      <c r="G2293" s="1">
        <v>8885</v>
      </c>
      <c r="H2293">
        <f t="shared" si="105"/>
        <v>2017</v>
      </c>
      <c r="I2293">
        <f t="shared" si="106"/>
        <v>2017</v>
      </c>
      <c r="J2293" s="7">
        <f t="shared" si="107"/>
        <v>2062158.6693640486</v>
      </c>
      <c r="K2293" s="7"/>
    </row>
    <row r="2294" spans="1:11" x14ac:dyDescent="0.25">
      <c r="A2294" s="1" t="s">
        <v>19</v>
      </c>
      <c r="B2294" s="2">
        <v>201703</v>
      </c>
      <c r="C2294" s="2">
        <v>201704</v>
      </c>
      <c r="D2294" s="10">
        <v>965792.85800079757</v>
      </c>
      <c r="E2294" s="10">
        <v>499675.23046837974</v>
      </c>
      <c r="F2294" s="1">
        <v>3276</v>
      </c>
      <c r="G2294" s="1">
        <v>4150</v>
      </c>
      <c r="H2294">
        <f t="shared" si="105"/>
        <v>2017</v>
      </c>
      <c r="I2294">
        <f t="shared" si="106"/>
        <v>2017</v>
      </c>
      <c r="J2294" s="7">
        <f t="shared" si="107"/>
        <v>1465468.0884691773</v>
      </c>
      <c r="K2294" s="7"/>
    </row>
    <row r="2295" spans="1:11" x14ac:dyDescent="0.25">
      <c r="A2295" s="1" t="s">
        <v>19</v>
      </c>
      <c r="B2295" s="2">
        <v>201703</v>
      </c>
      <c r="C2295" s="2">
        <v>201801</v>
      </c>
      <c r="D2295" s="10">
        <v>224899.39624361316</v>
      </c>
      <c r="E2295" s="10">
        <v>295133.6179470027</v>
      </c>
      <c r="F2295" s="1">
        <v>716</v>
      </c>
      <c r="G2295" s="1">
        <v>2958</v>
      </c>
      <c r="H2295">
        <f t="shared" si="105"/>
        <v>2017</v>
      </c>
      <c r="I2295">
        <f t="shared" si="106"/>
        <v>2018</v>
      </c>
      <c r="J2295" s="7">
        <f t="shared" si="107"/>
        <v>520033.01419061585</v>
      </c>
      <c r="K2295" s="7"/>
    </row>
    <row r="2296" spans="1:11" x14ac:dyDescent="0.25">
      <c r="A2296" s="1" t="s">
        <v>19</v>
      </c>
      <c r="B2296" s="2">
        <v>201703</v>
      </c>
      <c r="C2296" s="2">
        <v>201802</v>
      </c>
      <c r="D2296" s="10">
        <v>73799.484576429808</v>
      </c>
      <c r="E2296" s="10">
        <v>229668.50611333066</v>
      </c>
      <c r="F2296" s="1">
        <v>312</v>
      </c>
      <c r="G2296" s="1">
        <v>2382</v>
      </c>
      <c r="H2296">
        <f t="shared" si="105"/>
        <v>2017</v>
      </c>
      <c r="I2296">
        <f t="shared" si="106"/>
        <v>2018</v>
      </c>
      <c r="J2296" s="7">
        <f t="shared" si="107"/>
        <v>303467.99068976048</v>
      </c>
      <c r="K2296" s="7"/>
    </row>
    <row r="2297" spans="1:11" x14ac:dyDescent="0.25">
      <c r="A2297" s="1" t="s">
        <v>19</v>
      </c>
      <c r="B2297" s="2">
        <v>201703</v>
      </c>
      <c r="C2297" s="2">
        <v>201803</v>
      </c>
      <c r="D2297" s="10">
        <v>33893.609917266302</v>
      </c>
      <c r="E2297" s="10">
        <v>185929.9046271212</v>
      </c>
      <c r="F2297" s="1">
        <v>122</v>
      </c>
      <c r="G2297" s="1">
        <v>1940</v>
      </c>
      <c r="H2297">
        <f t="shared" si="105"/>
        <v>2017</v>
      </c>
      <c r="I2297">
        <f t="shared" si="106"/>
        <v>2018</v>
      </c>
      <c r="J2297" s="7">
        <f t="shared" si="107"/>
        <v>219823.51454438749</v>
      </c>
      <c r="K2297" s="7"/>
    </row>
    <row r="2298" spans="1:11" x14ac:dyDescent="0.25">
      <c r="A2298" s="1" t="s">
        <v>19</v>
      </c>
      <c r="B2298" s="2">
        <v>201703</v>
      </c>
      <c r="C2298" s="2">
        <v>201804</v>
      </c>
      <c r="D2298" s="10">
        <v>17596.298394586072</v>
      </c>
      <c r="E2298" s="10">
        <v>154954.96644687376</v>
      </c>
      <c r="F2298" s="1">
        <v>69</v>
      </c>
      <c r="G2298" s="1">
        <v>1640</v>
      </c>
      <c r="H2298">
        <f t="shared" si="105"/>
        <v>2017</v>
      </c>
      <c r="I2298">
        <f t="shared" si="106"/>
        <v>2018</v>
      </c>
      <c r="J2298" s="7">
        <f t="shared" si="107"/>
        <v>172551.26484145984</v>
      </c>
      <c r="K2298" s="7"/>
    </row>
    <row r="2299" spans="1:11" x14ac:dyDescent="0.25">
      <c r="A2299" s="1" t="s">
        <v>19</v>
      </c>
      <c r="B2299" s="2">
        <v>201703</v>
      </c>
      <c r="C2299" s="2">
        <v>201901</v>
      </c>
      <c r="D2299" s="10">
        <v>10653.788779471399</v>
      </c>
      <c r="E2299" s="10">
        <v>121331.04062639462</v>
      </c>
      <c r="F2299" s="1">
        <v>31</v>
      </c>
      <c r="G2299" s="1">
        <v>1312</v>
      </c>
      <c r="H2299">
        <f t="shared" si="105"/>
        <v>2017</v>
      </c>
      <c r="I2299">
        <f t="shared" si="106"/>
        <v>2019</v>
      </c>
      <c r="J2299" s="7">
        <f t="shared" si="107"/>
        <v>131984.82940586601</v>
      </c>
      <c r="K2299" s="7"/>
    </row>
    <row r="2300" spans="1:11" x14ac:dyDescent="0.25">
      <c r="A2300" s="1" t="s">
        <v>19</v>
      </c>
      <c r="B2300" s="2">
        <v>201703</v>
      </c>
      <c r="C2300" s="2">
        <v>201902</v>
      </c>
      <c r="D2300" s="10">
        <v>6689.6354296232466</v>
      </c>
      <c r="E2300" s="10">
        <v>109999.55278000618</v>
      </c>
      <c r="F2300" s="1">
        <v>35</v>
      </c>
      <c r="G2300" s="1">
        <v>1160</v>
      </c>
      <c r="H2300">
        <f t="shared" si="105"/>
        <v>2017</v>
      </c>
      <c r="I2300">
        <f t="shared" si="106"/>
        <v>2019</v>
      </c>
      <c r="J2300" s="7">
        <f t="shared" si="107"/>
        <v>116689.18820962943</v>
      </c>
      <c r="K2300" s="7"/>
    </row>
    <row r="2301" spans="1:11" x14ac:dyDescent="0.25">
      <c r="A2301" s="1" t="s">
        <v>19</v>
      </c>
      <c r="B2301" s="2">
        <v>201703</v>
      </c>
      <c r="C2301" s="2">
        <v>201903</v>
      </c>
      <c r="D2301" s="10">
        <v>6911.9223836224819</v>
      </c>
      <c r="E2301" s="10">
        <v>92378.041702062794</v>
      </c>
      <c r="F2301" s="1">
        <v>23</v>
      </c>
      <c r="G2301" s="1">
        <v>947</v>
      </c>
      <c r="H2301">
        <f t="shared" si="105"/>
        <v>2017</v>
      </c>
      <c r="I2301">
        <f t="shared" si="106"/>
        <v>2019</v>
      </c>
      <c r="J2301" s="7">
        <f t="shared" si="107"/>
        <v>99289.964085685278</v>
      </c>
      <c r="K2301" s="7"/>
    </row>
    <row r="2302" spans="1:11" x14ac:dyDescent="0.25">
      <c r="A2302" s="1" t="s">
        <v>19</v>
      </c>
      <c r="B2302" s="2">
        <v>201703</v>
      </c>
      <c r="C2302" s="2">
        <v>201904</v>
      </c>
      <c r="D2302" s="10">
        <v>5164.9588825018236</v>
      </c>
      <c r="E2302" s="10">
        <v>74987.844456513354</v>
      </c>
      <c r="F2302" s="1">
        <v>19</v>
      </c>
      <c r="G2302" s="1">
        <v>778</v>
      </c>
      <c r="H2302">
        <f t="shared" si="105"/>
        <v>2017</v>
      </c>
      <c r="I2302">
        <f t="shared" si="106"/>
        <v>2019</v>
      </c>
      <c r="J2302" s="7">
        <f t="shared" si="107"/>
        <v>80152.803339015183</v>
      </c>
      <c r="K2302" s="7"/>
    </row>
    <row r="2303" spans="1:11" x14ac:dyDescent="0.25">
      <c r="A2303" s="1" t="s">
        <v>19</v>
      </c>
      <c r="B2303" s="2">
        <v>201703</v>
      </c>
      <c r="C2303" s="2">
        <v>202001</v>
      </c>
      <c r="D2303" s="10">
        <v>2280.6929805104</v>
      </c>
      <c r="E2303" s="10">
        <v>56693.508565886106</v>
      </c>
      <c r="F2303" s="1">
        <v>20</v>
      </c>
      <c r="G2303" s="1">
        <v>566</v>
      </c>
      <c r="H2303">
        <f t="shared" si="105"/>
        <v>2017</v>
      </c>
      <c r="I2303">
        <f t="shared" si="106"/>
        <v>2020</v>
      </c>
      <c r="J2303" s="7">
        <f t="shared" si="107"/>
        <v>58974.201546396507</v>
      </c>
      <c r="K2303" s="7"/>
    </row>
    <row r="2304" spans="1:11" x14ac:dyDescent="0.25">
      <c r="A2304" s="1" t="s">
        <v>19</v>
      </c>
      <c r="B2304" s="2">
        <v>201703</v>
      </c>
      <c r="C2304" s="2">
        <v>202002</v>
      </c>
      <c r="D2304" s="10">
        <v>1092.1017994491954</v>
      </c>
      <c r="E2304" s="10">
        <v>16807.017107734289</v>
      </c>
      <c r="F2304" s="1">
        <v>15</v>
      </c>
      <c r="G2304" s="1">
        <v>195</v>
      </c>
      <c r="H2304">
        <f t="shared" si="105"/>
        <v>2017</v>
      </c>
      <c r="I2304">
        <f t="shared" si="106"/>
        <v>2020</v>
      </c>
      <c r="J2304" s="7">
        <f t="shared" si="107"/>
        <v>17899.118907183485</v>
      </c>
      <c r="K2304" s="7"/>
    </row>
    <row r="2305" spans="1:11" x14ac:dyDescent="0.25">
      <c r="A2305" s="1" t="s">
        <v>19</v>
      </c>
      <c r="B2305" s="2">
        <v>201703</v>
      </c>
      <c r="C2305" s="2">
        <v>202003</v>
      </c>
      <c r="D2305" s="10">
        <v>1531.6067657118501</v>
      </c>
      <c r="E2305" s="10">
        <v>16500.636000476079</v>
      </c>
      <c r="F2305" s="1">
        <v>4</v>
      </c>
      <c r="G2305" s="1">
        <v>175</v>
      </c>
      <c r="H2305">
        <f t="shared" si="105"/>
        <v>2017</v>
      </c>
      <c r="I2305">
        <f t="shared" si="106"/>
        <v>2020</v>
      </c>
      <c r="J2305" s="7">
        <f t="shared" si="107"/>
        <v>18032.24276618793</v>
      </c>
      <c r="K2305" s="7"/>
    </row>
    <row r="2306" spans="1:11" x14ac:dyDescent="0.25">
      <c r="A2306" s="1" t="s">
        <v>19</v>
      </c>
      <c r="B2306" s="2">
        <v>201703</v>
      </c>
      <c r="C2306" s="2">
        <v>202004</v>
      </c>
      <c r="D2306" s="10">
        <v>621.62441317213381</v>
      </c>
      <c r="E2306" s="10">
        <v>12865.122770369959</v>
      </c>
      <c r="F2306" s="1">
        <v>1</v>
      </c>
      <c r="G2306" s="1">
        <v>156</v>
      </c>
      <c r="H2306">
        <f t="shared" si="105"/>
        <v>2017</v>
      </c>
      <c r="I2306">
        <f t="shared" si="106"/>
        <v>2020</v>
      </c>
      <c r="J2306" s="7">
        <f t="shared" si="107"/>
        <v>13486.747183542093</v>
      </c>
      <c r="K2306" s="7"/>
    </row>
    <row r="2307" spans="1:11" x14ac:dyDescent="0.25">
      <c r="A2307" s="1" t="s">
        <v>19</v>
      </c>
      <c r="B2307" s="2">
        <v>201703</v>
      </c>
      <c r="C2307" s="2">
        <v>202101</v>
      </c>
      <c r="D2307" s="10">
        <v>-1391.1358968969846</v>
      </c>
      <c r="E2307" s="10">
        <v>12713.576432299746</v>
      </c>
      <c r="F2307" s="1">
        <v>0</v>
      </c>
      <c r="G2307" s="1">
        <v>134</v>
      </c>
      <c r="H2307">
        <f t="shared" si="105"/>
        <v>2017</v>
      </c>
      <c r="I2307">
        <f t="shared" si="106"/>
        <v>2021</v>
      </c>
      <c r="J2307" s="7">
        <f t="shared" si="107"/>
        <v>11322.44053540276</v>
      </c>
      <c r="K2307" s="7"/>
    </row>
    <row r="2308" spans="1:11" x14ac:dyDescent="0.25">
      <c r="A2308" s="1" t="s">
        <v>19</v>
      </c>
      <c r="B2308" s="2">
        <v>201703</v>
      </c>
      <c r="C2308" s="2">
        <v>202102</v>
      </c>
      <c r="D2308" s="10">
        <v>513.45976142061068</v>
      </c>
      <c r="E2308" s="10">
        <v>12694.541199795629</v>
      </c>
      <c r="F2308" s="1">
        <v>1</v>
      </c>
      <c r="G2308" s="1">
        <v>118</v>
      </c>
      <c r="H2308">
        <f t="shared" ref="H2308:H2371" si="108">VALUE(LEFT(B2308,4))</f>
        <v>2017</v>
      </c>
      <c r="I2308">
        <f t="shared" ref="I2308:I2371" si="109">VALUE(LEFT(C2308,4))</f>
        <v>2021</v>
      </c>
      <c r="J2308" s="7">
        <f t="shared" si="107"/>
        <v>13208.000961216239</v>
      </c>
      <c r="K2308" s="7"/>
    </row>
    <row r="2309" spans="1:11" x14ac:dyDescent="0.25">
      <c r="A2309" s="1" t="s">
        <v>19</v>
      </c>
      <c r="B2309" s="2">
        <v>201703</v>
      </c>
      <c r="C2309" s="2">
        <v>202103</v>
      </c>
      <c r="D2309" s="10">
        <v>244.45089382261378</v>
      </c>
      <c r="E2309" s="10">
        <v>12492.185160068811</v>
      </c>
      <c r="F2309" s="1">
        <v>0</v>
      </c>
      <c r="G2309" s="1">
        <v>105</v>
      </c>
      <c r="H2309">
        <f t="shared" si="108"/>
        <v>2017</v>
      </c>
      <c r="I2309">
        <f t="shared" si="109"/>
        <v>2021</v>
      </c>
      <c r="J2309" s="7">
        <f t="shared" ref="J2309:J2372" si="110">D2309+E2309</f>
        <v>12736.636053891425</v>
      </c>
      <c r="K2309" s="7"/>
    </row>
    <row r="2310" spans="1:11" x14ac:dyDescent="0.25">
      <c r="A2310" s="1" t="s">
        <v>19</v>
      </c>
      <c r="B2310" s="2">
        <v>201703</v>
      </c>
      <c r="C2310" s="2">
        <v>202104</v>
      </c>
      <c r="D2310" s="10">
        <v>-519.82875269082149</v>
      </c>
      <c r="E2310" s="10">
        <v>8389.8251748587554</v>
      </c>
      <c r="F2310" s="1">
        <v>0</v>
      </c>
      <c r="G2310" s="1">
        <v>92</v>
      </c>
      <c r="H2310">
        <f t="shared" si="108"/>
        <v>2017</v>
      </c>
      <c r="I2310">
        <f t="shared" si="109"/>
        <v>2021</v>
      </c>
      <c r="J2310" s="7">
        <f t="shared" si="110"/>
        <v>7869.9964221679338</v>
      </c>
      <c r="K2310" s="7"/>
    </row>
    <row r="2311" spans="1:11" x14ac:dyDescent="0.25">
      <c r="A2311" s="1" t="s">
        <v>19</v>
      </c>
      <c r="B2311" s="2">
        <v>201704</v>
      </c>
      <c r="C2311" s="2">
        <v>201704</v>
      </c>
      <c r="D2311" s="10">
        <v>530938.07978746295</v>
      </c>
      <c r="E2311" s="10">
        <v>700849.29084688076</v>
      </c>
      <c r="F2311" s="1">
        <v>12699</v>
      </c>
      <c r="G2311" s="1">
        <v>5942</v>
      </c>
      <c r="H2311">
        <f t="shared" si="108"/>
        <v>2017</v>
      </c>
      <c r="I2311">
        <f t="shared" si="109"/>
        <v>2017</v>
      </c>
      <c r="J2311" s="7">
        <f t="shared" si="110"/>
        <v>1231787.3706343437</v>
      </c>
      <c r="K2311" s="7"/>
    </row>
    <row r="2312" spans="1:11" x14ac:dyDescent="0.25">
      <c r="A2312" s="1" t="s">
        <v>19</v>
      </c>
      <c r="B2312" s="2">
        <v>201704</v>
      </c>
      <c r="C2312" s="2">
        <v>201801</v>
      </c>
      <c r="D2312" s="10">
        <v>601981.32045448746</v>
      </c>
      <c r="E2312" s="10">
        <v>234787.68744373042</v>
      </c>
      <c r="F2312" s="1">
        <v>3647</v>
      </c>
      <c r="G2312" s="1">
        <v>2841</v>
      </c>
      <c r="H2312">
        <f t="shared" si="108"/>
        <v>2017</v>
      </c>
      <c r="I2312">
        <f t="shared" si="109"/>
        <v>2018</v>
      </c>
      <c r="J2312" s="7">
        <f t="shared" si="110"/>
        <v>836769.00789821788</v>
      </c>
      <c r="K2312" s="7"/>
    </row>
    <row r="2313" spans="1:11" x14ac:dyDescent="0.25">
      <c r="A2313" s="1" t="s">
        <v>19</v>
      </c>
      <c r="B2313" s="2">
        <v>201704</v>
      </c>
      <c r="C2313" s="2">
        <v>201802</v>
      </c>
      <c r="D2313" s="10">
        <v>95156.584379463326</v>
      </c>
      <c r="E2313" s="10">
        <v>151261.41149861045</v>
      </c>
      <c r="F2313" s="1">
        <v>653</v>
      </c>
      <c r="G2313" s="1">
        <v>2063</v>
      </c>
      <c r="H2313">
        <f t="shared" si="108"/>
        <v>2017</v>
      </c>
      <c r="I2313">
        <f t="shared" si="109"/>
        <v>2018</v>
      </c>
      <c r="J2313" s="7">
        <f t="shared" si="110"/>
        <v>246417.99587807379</v>
      </c>
      <c r="K2313" s="7"/>
    </row>
    <row r="2314" spans="1:11" x14ac:dyDescent="0.25">
      <c r="A2314" s="1" t="s">
        <v>19</v>
      </c>
      <c r="B2314" s="2">
        <v>201704</v>
      </c>
      <c r="C2314" s="2">
        <v>201803</v>
      </c>
      <c r="D2314" s="10">
        <v>36794.253037931463</v>
      </c>
      <c r="E2314" s="10">
        <v>123995.63037389195</v>
      </c>
      <c r="F2314" s="1">
        <v>241</v>
      </c>
      <c r="G2314" s="1">
        <v>1676</v>
      </c>
      <c r="H2314">
        <f t="shared" si="108"/>
        <v>2017</v>
      </c>
      <c r="I2314">
        <f t="shared" si="109"/>
        <v>2018</v>
      </c>
      <c r="J2314" s="7">
        <f t="shared" si="110"/>
        <v>160789.88341182342</v>
      </c>
      <c r="K2314" s="7"/>
    </row>
    <row r="2315" spans="1:11" x14ac:dyDescent="0.25">
      <c r="A2315" s="1" t="s">
        <v>19</v>
      </c>
      <c r="B2315" s="2">
        <v>201704</v>
      </c>
      <c r="C2315" s="2">
        <v>201804</v>
      </c>
      <c r="D2315" s="10">
        <v>11765.181610086016</v>
      </c>
      <c r="E2315" s="10">
        <v>101120.87393951244</v>
      </c>
      <c r="F2315" s="1">
        <v>62</v>
      </c>
      <c r="G2315" s="1">
        <v>1356</v>
      </c>
      <c r="H2315">
        <f t="shared" si="108"/>
        <v>2017</v>
      </c>
      <c r="I2315">
        <f t="shared" si="109"/>
        <v>2018</v>
      </c>
      <c r="J2315" s="7">
        <f t="shared" si="110"/>
        <v>112886.05554959846</v>
      </c>
      <c r="K2315" s="7"/>
    </row>
    <row r="2316" spans="1:11" x14ac:dyDescent="0.25">
      <c r="A2316" s="1" t="s">
        <v>19</v>
      </c>
      <c r="B2316" s="2">
        <v>201704</v>
      </c>
      <c r="C2316" s="2">
        <v>201901</v>
      </c>
      <c r="D2316" s="10">
        <v>6823.0762774872101</v>
      </c>
      <c r="E2316" s="10">
        <v>81684.04868896371</v>
      </c>
      <c r="F2316" s="1">
        <v>36</v>
      </c>
      <c r="G2316" s="1">
        <v>1094</v>
      </c>
      <c r="H2316">
        <f t="shared" si="108"/>
        <v>2017</v>
      </c>
      <c r="I2316">
        <f t="shared" si="109"/>
        <v>2019</v>
      </c>
      <c r="J2316" s="7">
        <f t="shared" si="110"/>
        <v>88507.124966450923</v>
      </c>
      <c r="K2316" s="7"/>
    </row>
    <row r="2317" spans="1:11" x14ac:dyDescent="0.25">
      <c r="A2317" s="1" t="s">
        <v>19</v>
      </c>
      <c r="B2317" s="2">
        <v>201704</v>
      </c>
      <c r="C2317" s="2">
        <v>201902</v>
      </c>
      <c r="D2317" s="10">
        <v>2008.4617055380072</v>
      </c>
      <c r="E2317" s="10">
        <v>64346.779559276976</v>
      </c>
      <c r="F2317" s="1">
        <v>23</v>
      </c>
      <c r="G2317" s="1">
        <v>854</v>
      </c>
      <c r="H2317">
        <f t="shared" si="108"/>
        <v>2017</v>
      </c>
      <c r="I2317">
        <f t="shared" si="109"/>
        <v>2019</v>
      </c>
      <c r="J2317" s="7">
        <f t="shared" si="110"/>
        <v>66355.241264814977</v>
      </c>
      <c r="K2317" s="7"/>
    </row>
    <row r="2318" spans="1:11" x14ac:dyDescent="0.25">
      <c r="A2318" s="1" t="s">
        <v>19</v>
      </c>
      <c r="B2318" s="2">
        <v>201704</v>
      </c>
      <c r="C2318" s="2">
        <v>201903</v>
      </c>
      <c r="D2318" s="10">
        <v>2579.3493916788066</v>
      </c>
      <c r="E2318" s="10">
        <v>58489.904759645964</v>
      </c>
      <c r="F2318" s="1">
        <v>24</v>
      </c>
      <c r="G2318" s="1">
        <v>744</v>
      </c>
      <c r="H2318">
        <f t="shared" si="108"/>
        <v>2017</v>
      </c>
      <c r="I2318">
        <f t="shared" si="109"/>
        <v>2019</v>
      </c>
      <c r="J2318" s="7">
        <f t="shared" si="110"/>
        <v>61069.254151324771</v>
      </c>
      <c r="K2318" s="7"/>
    </row>
    <row r="2319" spans="1:11" x14ac:dyDescent="0.25">
      <c r="A2319" s="1" t="s">
        <v>19</v>
      </c>
      <c r="B2319" s="2">
        <v>201704</v>
      </c>
      <c r="C2319" s="2">
        <v>201904</v>
      </c>
      <c r="D2319" s="10">
        <v>611.4826287462414</v>
      </c>
      <c r="E2319" s="10">
        <v>45383.476270778971</v>
      </c>
      <c r="F2319" s="1">
        <v>21</v>
      </c>
      <c r="G2319" s="1">
        <v>591</v>
      </c>
      <c r="H2319">
        <f t="shared" si="108"/>
        <v>2017</v>
      </c>
      <c r="I2319">
        <f t="shared" si="109"/>
        <v>2019</v>
      </c>
      <c r="J2319" s="7">
        <f t="shared" si="110"/>
        <v>45994.958899525212</v>
      </c>
      <c r="K2319" s="7"/>
    </row>
    <row r="2320" spans="1:11" x14ac:dyDescent="0.25">
      <c r="A2320" s="1" t="s">
        <v>19</v>
      </c>
      <c r="B2320" s="2">
        <v>201704</v>
      </c>
      <c r="C2320" s="2">
        <v>202001</v>
      </c>
      <c r="D2320" s="10">
        <v>2077.9694365151818</v>
      </c>
      <c r="E2320" s="10">
        <v>36242.674145425022</v>
      </c>
      <c r="F2320" s="1">
        <v>17</v>
      </c>
      <c r="G2320" s="1">
        <v>464</v>
      </c>
      <c r="H2320">
        <f t="shared" si="108"/>
        <v>2017</v>
      </c>
      <c r="I2320">
        <f t="shared" si="109"/>
        <v>2020</v>
      </c>
      <c r="J2320" s="7">
        <f t="shared" si="110"/>
        <v>38320.643581940203</v>
      </c>
      <c r="K2320" s="7"/>
    </row>
    <row r="2321" spans="1:11" x14ac:dyDescent="0.25">
      <c r="A2321" s="1" t="s">
        <v>19</v>
      </c>
      <c r="B2321" s="2">
        <v>201704</v>
      </c>
      <c r="C2321" s="2">
        <v>202002</v>
      </c>
      <c r="D2321" s="10">
        <v>-453.31554636205499</v>
      </c>
      <c r="E2321" s="10">
        <v>16273.827831357592</v>
      </c>
      <c r="F2321" s="1">
        <v>12</v>
      </c>
      <c r="G2321" s="1">
        <v>210</v>
      </c>
      <c r="H2321">
        <f t="shared" si="108"/>
        <v>2017</v>
      </c>
      <c r="I2321">
        <f t="shared" si="109"/>
        <v>2020</v>
      </c>
      <c r="J2321" s="7">
        <f t="shared" si="110"/>
        <v>15820.512284995537</v>
      </c>
      <c r="K2321" s="7"/>
    </row>
    <row r="2322" spans="1:11" x14ac:dyDescent="0.25">
      <c r="A2322" s="1" t="s">
        <v>19</v>
      </c>
      <c r="B2322" s="2">
        <v>201704</v>
      </c>
      <c r="C2322" s="2">
        <v>202003</v>
      </c>
      <c r="D2322" s="10">
        <v>49.335941666082533</v>
      </c>
      <c r="E2322" s="10">
        <v>12213.805956014441</v>
      </c>
      <c r="F2322" s="1">
        <v>6</v>
      </c>
      <c r="G2322" s="1">
        <v>161</v>
      </c>
      <c r="H2322">
        <f t="shared" si="108"/>
        <v>2017</v>
      </c>
      <c r="I2322">
        <f t="shared" si="109"/>
        <v>2020</v>
      </c>
      <c r="J2322" s="7">
        <f t="shared" si="110"/>
        <v>12263.141897680523</v>
      </c>
      <c r="K2322" s="7"/>
    </row>
    <row r="2323" spans="1:11" x14ac:dyDescent="0.25">
      <c r="A2323" s="1" t="s">
        <v>19</v>
      </c>
      <c r="B2323" s="2">
        <v>201704</v>
      </c>
      <c r="C2323" s="2">
        <v>202004</v>
      </c>
      <c r="D2323" s="10">
        <v>560.73115022122386</v>
      </c>
      <c r="E2323" s="10">
        <v>11444.46115570557</v>
      </c>
      <c r="F2323" s="1">
        <v>7</v>
      </c>
      <c r="G2323" s="1">
        <v>143</v>
      </c>
      <c r="H2323">
        <f t="shared" si="108"/>
        <v>2017</v>
      </c>
      <c r="I2323">
        <f t="shared" si="109"/>
        <v>2020</v>
      </c>
      <c r="J2323" s="7">
        <f t="shared" si="110"/>
        <v>12005.192305926794</v>
      </c>
      <c r="K2323" s="7"/>
    </row>
    <row r="2324" spans="1:11" x14ac:dyDescent="0.25">
      <c r="A2324" s="1" t="s">
        <v>19</v>
      </c>
      <c r="B2324" s="2">
        <v>201704</v>
      </c>
      <c r="C2324" s="2">
        <v>202101</v>
      </c>
      <c r="D2324" s="10">
        <v>-6.8911685172011632</v>
      </c>
      <c r="E2324" s="10">
        <v>11320.568663960976</v>
      </c>
      <c r="F2324" s="1">
        <v>1</v>
      </c>
      <c r="G2324" s="1">
        <v>123</v>
      </c>
      <c r="H2324">
        <f t="shared" si="108"/>
        <v>2017</v>
      </c>
      <c r="I2324">
        <f t="shared" si="109"/>
        <v>2021</v>
      </c>
      <c r="J2324" s="7">
        <f t="shared" si="110"/>
        <v>11313.677495443775</v>
      </c>
      <c r="K2324" s="7"/>
    </row>
    <row r="2325" spans="1:11" x14ac:dyDescent="0.25">
      <c r="A2325" s="1" t="s">
        <v>19</v>
      </c>
      <c r="B2325" s="2">
        <v>201704</v>
      </c>
      <c r="C2325" s="2">
        <v>202102</v>
      </c>
      <c r="D2325" s="10">
        <v>243.69690887336009</v>
      </c>
      <c r="E2325" s="10">
        <v>11240.186980993823</v>
      </c>
      <c r="F2325" s="1">
        <v>0</v>
      </c>
      <c r="G2325" s="1">
        <v>108</v>
      </c>
      <c r="H2325">
        <f t="shared" si="108"/>
        <v>2017</v>
      </c>
      <c r="I2325">
        <f t="shared" si="109"/>
        <v>2021</v>
      </c>
      <c r="J2325" s="7">
        <f t="shared" si="110"/>
        <v>11483.883889867184</v>
      </c>
      <c r="K2325" s="7"/>
    </row>
    <row r="2326" spans="1:11" x14ac:dyDescent="0.25">
      <c r="A2326" s="1" t="s">
        <v>19</v>
      </c>
      <c r="B2326" s="2">
        <v>201704</v>
      </c>
      <c r="C2326" s="2">
        <v>202103</v>
      </c>
      <c r="D2326" s="10">
        <v>-8.7688871942488849</v>
      </c>
      <c r="E2326" s="10">
        <v>11076.393857256593</v>
      </c>
      <c r="F2326" s="1">
        <v>0</v>
      </c>
      <c r="G2326" s="1">
        <v>98</v>
      </c>
      <c r="H2326">
        <f t="shared" si="108"/>
        <v>2017</v>
      </c>
      <c r="I2326">
        <f t="shared" si="109"/>
        <v>2021</v>
      </c>
      <c r="J2326" s="7">
        <f t="shared" si="110"/>
        <v>11067.624970062345</v>
      </c>
      <c r="K2326" s="7"/>
    </row>
    <row r="2327" spans="1:11" x14ac:dyDescent="0.25">
      <c r="A2327" s="1" t="s">
        <v>19</v>
      </c>
      <c r="B2327" s="2">
        <v>201704</v>
      </c>
      <c r="C2327" s="2">
        <v>202104</v>
      </c>
      <c r="D2327" s="10">
        <v>135.8407458705299</v>
      </c>
      <c r="E2327" s="10">
        <v>7833.025992050385</v>
      </c>
      <c r="F2327" s="1">
        <v>0</v>
      </c>
      <c r="G2327" s="1">
        <v>86</v>
      </c>
      <c r="H2327">
        <f t="shared" si="108"/>
        <v>2017</v>
      </c>
      <c r="I2327">
        <f t="shared" si="109"/>
        <v>2021</v>
      </c>
      <c r="J2327" s="7">
        <f t="shared" si="110"/>
        <v>7968.8667379209146</v>
      </c>
      <c r="K2327" s="7"/>
    </row>
    <row r="2328" spans="1:11" x14ac:dyDescent="0.25">
      <c r="A2328" s="1" t="s">
        <v>19</v>
      </c>
      <c r="B2328" s="2">
        <v>201801</v>
      </c>
      <c r="C2328" s="2">
        <v>201801</v>
      </c>
      <c r="D2328" s="10">
        <v>684516.44593153615</v>
      </c>
      <c r="E2328" s="10">
        <v>640127.71879051533</v>
      </c>
      <c r="F2328" s="1">
        <v>14692</v>
      </c>
      <c r="G2328" s="1">
        <v>5812</v>
      </c>
      <c r="H2328">
        <f t="shared" si="108"/>
        <v>2018</v>
      </c>
      <c r="I2328">
        <f t="shared" si="109"/>
        <v>2018</v>
      </c>
      <c r="J2328" s="7">
        <f t="shared" si="110"/>
        <v>1324644.1647220515</v>
      </c>
      <c r="K2328" s="7"/>
    </row>
    <row r="2329" spans="1:11" x14ac:dyDescent="0.25">
      <c r="A2329" s="1" t="s">
        <v>19</v>
      </c>
      <c r="B2329" s="2">
        <v>201801</v>
      </c>
      <c r="C2329" s="2">
        <v>201802</v>
      </c>
      <c r="D2329" s="10">
        <v>747341.08991246496</v>
      </c>
      <c r="E2329" s="10">
        <v>274097.90731057717</v>
      </c>
      <c r="F2329" s="1">
        <v>4260</v>
      </c>
      <c r="G2329" s="1">
        <v>3112</v>
      </c>
      <c r="H2329">
        <f t="shared" si="108"/>
        <v>2018</v>
      </c>
      <c r="I2329">
        <f t="shared" si="109"/>
        <v>2018</v>
      </c>
      <c r="J2329" s="7">
        <f t="shared" si="110"/>
        <v>1021438.9972230422</v>
      </c>
      <c r="K2329" s="7"/>
    </row>
    <row r="2330" spans="1:11" x14ac:dyDescent="0.25">
      <c r="A2330" s="1" t="s">
        <v>19</v>
      </c>
      <c r="B2330" s="2">
        <v>201801</v>
      </c>
      <c r="C2330" s="2">
        <v>201803</v>
      </c>
      <c r="D2330" s="10">
        <v>332136.73415422637</v>
      </c>
      <c r="E2330" s="10">
        <v>189679.27486258914</v>
      </c>
      <c r="F2330" s="1">
        <v>891</v>
      </c>
      <c r="G2330" s="1">
        <v>2287</v>
      </c>
      <c r="H2330">
        <f t="shared" si="108"/>
        <v>2018</v>
      </c>
      <c r="I2330">
        <f t="shared" si="109"/>
        <v>2018</v>
      </c>
      <c r="J2330" s="7">
        <f t="shared" si="110"/>
        <v>521816.00901681551</v>
      </c>
      <c r="K2330" s="7"/>
    </row>
    <row r="2331" spans="1:11" x14ac:dyDescent="0.25">
      <c r="A2331" s="1" t="s">
        <v>19</v>
      </c>
      <c r="B2331" s="2">
        <v>201801</v>
      </c>
      <c r="C2331" s="2">
        <v>201804</v>
      </c>
      <c r="D2331" s="10">
        <v>238000.83974496412</v>
      </c>
      <c r="E2331" s="10">
        <v>146039.73838427465</v>
      </c>
      <c r="F2331" s="1">
        <v>243</v>
      </c>
      <c r="G2331" s="1">
        <v>1836</v>
      </c>
      <c r="H2331">
        <f t="shared" si="108"/>
        <v>2018</v>
      </c>
      <c r="I2331">
        <f t="shared" si="109"/>
        <v>2018</v>
      </c>
      <c r="J2331" s="7">
        <f t="shared" si="110"/>
        <v>384040.5781292388</v>
      </c>
      <c r="K2331" s="7"/>
    </row>
    <row r="2332" spans="1:11" x14ac:dyDescent="0.25">
      <c r="A2332" s="1" t="s">
        <v>19</v>
      </c>
      <c r="B2332" s="2">
        <v>201801</v>
      </c>
      <c r="C2332" s="2">
        <v>201901</v>
      </c>
      <c r="D2332" s="10">
        <v>145929.25305620526</v>
      </c>
      <c r="E2332" s="10">
        <v>122100.85430870189</v>
      </c>
      <c r="F2332" s="1">
        <v>234</v>
      </c>
      <c r="G2332" s="1">
        <v>1441</v>
      </c>
      <c r="H2332">
        <f t="shared" si="108"/>
        <v>2018</v>
      </c>
      <c r="I2332">
        <f t="shared" si="109"/>
        <v>2019</v>
      </c>
      <c r="J2332" s="7">
        <f t="shared" si="110"/>
        <v>268030.10736490716</v>
      </c>
      <c r="K2332" s="7"/>
    </row>
    <row r="2333" spans="1:11" x14ac:dyDescent="0.25">
      <c r="A2333" s="1" t="s">
        <v>19</v>
      </c>
      <c r="B2333" s="2">
        <v>201801</v>
      </c>
      <c r="C2333" s="2">
        <v>201902</v>
      </c>
      <c r="D2333" s="10">
        <v>40467.327043160883</v>
      </c>
      <c r="E2333" s="10">
        <v>93679.37622973563</v>
      </c>
      <c r="F2333" s="1">
        <v>48</v>
      </c>
      <c r="G2333" s="1">
        <v>1168</v>
      </c>
      <c r="H2333">
        <f t="shared" si="108"/>
        <v>2018</v>
      </c>
      <c r="I2333">
        <f t="shared" si="109"/>
        <v>2019</v>
      </c>
      <c r="J2333" s="7">
        <f t="shared" si="110"/>
        <v>134146.70327289653</v>
      </c>
      <c r="K2333" s="7"/>
    </row>
    <row r="2334" spans="1:11" x14ac:dyDescent="0.25">
      <c r="A2334" s="1" t="s">
        <v>19</v>
      </c>
      <c r="B2334" s="2">
        <v>201801</v>
      </c>
      <c r="C2334" s="2">
        <v>201903</v>
      </c>
      <c r="D2334" s="10">
        <v>17659.314062878093</v>
      </c>
      <c r="E2334" s="10">
        <v>74913.061152735201</v>
      </c>
      <c r="F2334" s="1">
        <v>28</v>
      </c>
      <c r="G2334" s="1">
        <v>997</v>
      </c>
      <c r="H2334">
        <f t="shared" si="108"/>
        <v>2018</v>
      </c>
      <c r="I2334">
        <f t="shared" si="109"/>
        <v>2019</v>
      </c>
      <c r="J2334" s="7">
        <f t="shared" si="110"/>
        <v>92572.375215613298</v>
      </c>
      <c r="K2334" s="7"/>
    </row>
    <row r="2335" spans="1:11" x14ac:dyDescent="0.25">
      <c r="A2335" s="1" t="s">
        <v>19</v>
      </c>
      <c r="B2335" s="2">
        <v>201801</v>
      </c>
      <c r="C2335" s="2">
        <v>201904</v>
      </c>
      <c r="D2335" s="10">
        <v>6145.6067896143595</v>
      </c>
      <c r="E2335" s="10">
        <v>60652.17354478372</v>
      </c>
      <c r="F2335" s="1">
        <v>19</v>
      </c>
      <c r="G2335" s="1">
        <v>777</v>
      </c>
      <c r="H2335">
        <f t="shared" si="108"/>
        <v>2018</v>
      </c>
      <c r="I2335">
        <f t="shared" si="109"/>
        <v>2019</v>
      </c>
      <c r="J2335" s="7">
        <f t="shared" si="110"/>
        <v>66797.780334398078</v>
      </c>
      <c r="K2335" s="7"/>
    </row>
    <row r="2336" spans="1:11" x14ac:dyDescent="0.25">
      <c r="A2336" s="1" t="s">
        <v>19</v>
      </c>
      <c r="B2336" s="2">
        <v>201801</v>
      </c>
      <c r="C2336" s="2">
        <v>202001</v>
      </c>
      <c r="D2336" s="10">
        <v>9405.4562122159277</v>
      </c>
      <c r="E2336" s="10">
        <v>48764.052000505282</v>
      </c>
      <c r="F2336" s="1">
        <v>29</v>
      </c>
      <c r="G2336" s="1">
        <v>631</v>
      </c>
      <c r="H2336">
        <f t="shared" si="108"/>
        <v>2018</v>
      </c>
      <c r="I2336">
        <f t="shared" si="109"/>
        <v>2020</v>
      </c>
      <c r="J2336" s="7">
        <f t="shared" si="110"/>
        <v>58169.508212721208</v>
      </c>
      <c r="K2336" s="7"/>
    </row>
    <row r="2337" spans="1:11" x14ac:dyDescent="0.25">
      <c r="A2337" s="1" t="s">
        <v>19</v>
      </c>
      <c r="B2337" s="2">
        <v>201801</v>
      </c>
      <c r="C2337" s="2">
        <v>202002</v>
      </c>
      <c r="D2337" s="10">
        <v>740.50606381766841</v>
      </c>
      <c r="E2337" s="10">
        <v>43006.028229981523</v>
      </c>
      <c r="F2337" s="1">
        <v>16</v>
      </c>
      <c r="G2337" s="1">
        <v>516</v>
      </c>
      <c r="H2337">
        <f t="shared" si="108"/>
        <v>2018</v>
      </c>
      <c r="I2337">
        <f t="shared" si="109"/>
        <v>2020</v>
      </c>
      <c r="J2337" s="7">
        <f t="shared" si="110"/>
        <v>43746.534293799188</v>
      </c>
      <c r="K2337" s="7"/>
    </row>
    <row r="2338" spans="1:11" x14ac:dyDescent="0.25">
      <c r="A2338" s="1" t="s">
        <v>19</v>
      </c>
      <c r="B2338" s="2">
        <v>201801</v>
      </c>
      <c r="C2338" s="2">
        <v>202003</v>
      </c>
      <c r="D2338" s="10">
        <v>899.47284283921363</v>
      </c>
      <c r="E2338" s="10">
        <v>38970.104736676447</v>
      </c>
      <c r="F2338" s="1">
        <v>11</v>
      </c>
      <c r="G2338" s="1">
        <v>478</v>
      </c>
      <c r="H2338">
        <f t="shared" si="108"/>
        <v>2018</v>
      </c>
      <c r="I2338">
        <f t="shared" si="109"/>
        <v>2020</v>
      </c>
      <c r="J2338" s="7">
        <f t="shared" si="110"/>
        <v>39869.577579515659</v>
      </c>
      <c r="K2338" s="7"/>
    </row>
    <row r="2339" spans="1:11" x14ac:dyDescent="0.25">
      <c r="A2339" s="1" t="s">
        <v>19</v>
      </c>
      <c r="B2339" s="2">
        <v>201801</v>
      </c>
      <c r="C2339" s="2">
        <v>202004</v>
      </c>
      <c r="D2339" s="10">
        <v>534.18162603231565</v>
      </c>
      <c r="E2339" s="10">
        <v>37211.021759604417</v>
      </c>
      <c r="F2339" s="1">
        <v>7</v>
      </c>
      <c r="G2339" s="1">
        <v>418</v>
      </c>
      <c r="H2339">
        <f t="shared" si="108"/>
        <v>2018</v>
      </c>
      <c r="I2339">
        <f t="shared" si="109"/>
        <v>2020</v>
      </c>
      <c r="J2339" s="7">
        <f t="shared" si="110"/>
        <v>37745.203385636734</v>
      </c>
      <c r="K2339" s="7"/>
    </row>
    <row r="2340" spans="1:11" x14ac:dyDescent="0.25">
      <c r="A2340" s="1" t="s">
        <v>19</v>
      </c>
      <c r="B2340" s="2">
        <v>201801</v>
      </c>
      <c r="C2340" s="2">
        <v>202101</v>
      </c>
      <c r="D2340" s="10">
        <v>381.66496388605395</v>
      </c>
      <c r="E2340" s="10">
        <v>37441.814604403335</v>
      </c>
      <c r="F2340" s="1">
        <v>4</v>
      </c>
      <c r="G2340" s="1">
        <v>347</v>
      </c>
      <c r="H2340">
        <f t="shared" si="108"/>
        <v>2018</v>
      </c>
      <c r="I2340">
        <f t="shared" si="109"/>
        <v>2021</v>
      </c>
      <c r="J2340" s="7">
        <f t="shared" si="110"/>
        <v>37823.479568289389</v>
      </c>
      <c r="K2340" s="7"/>
    </row>
    <row r="2341" spans="1:11" x14ac:dyDescent="0.25">
      <c r="A2341" s="1" t="s">
        <v>19</v>
      </c>
      <c r="B2341" s="2">
        <v>201801</v>
      </c>
      <c r="C2341" s="2">
        <v>202102</v>
      </c>
      <c r="D2341" s="10">
        <v>456.14874930702837</v>
      </c>
      <c r="E2341" s="10">
        <v>37107.27777591288</v>
      </c>
      <c r="F2341" s="1">
        <v>3</v>
      </c>
      <c r="G2341" s="1">
        <v>316</v>
      </c>
      <c r="H2341">
        <f t="shared" si="108"/>
        <v>2018</v>
      </c>
      <c r="I2341">
        <f t="shared" si="109"/>
        <v>2021</v>
      </c>
      <c r="J2341" s="7">
        <f t="shared" si="110"/>
        <v>37563.426525219911</v>
      </c>
      <c r="K2341" s="7"/>
    </row>
    <row r="2342" spans="1:11" x14ac:dyDescent="0.25">
      <c r="A2342" s="1" t="s">
        <v>19</v>
      </c>
      <c r="B2342" s="2">
        <v>201801</v>
      </c>
      <c r="C2342" s="2">
        <v>202103</v>
      </c>
      <c r="D2342" s="10">
        <v>-5.7044338466157489</v>
      </c>
      <c r="E2342" s="10">
        <v>36287.259970004357</v>
      </c>
      <c r="F2342" s="1">
        <v>0</v>
      </c>
      <c r="G2342" s="1">
        <v>249</v>
      </c>
      <c r="H2342">
        <f t="shared" si="108"/>
        <v>2018</v>
      </c>
      <c r="I2342">
        <f t="shared" si="109"/>
        <v>2021</v>
      </c>
      <c r="J2342" s="7">
        <f t="shared" si="110"/>
        <v>36281.555536157743</v>
      </c>
      <c r="K2342" s="7"/>
    </row>
    <row r="2343" spans="1:11" x14ac:dyDescent="0.25">
      <c r="A2343" s="1" t="s">
        <v>19</v>
      </c>
      <c r="B2343" s="2">
        <v>201801</v>
      </c>
      <c r="C2343" s="2">
        <v>202104</v>
      </c>
      <c r="D2343" s="10">
        <v>412.95005793108464</v>
      </c>
      <c r="E2343" s="10">
        <v>20151.891290773958</v>
      </c>
      <c r="F2343" s="1">
        <v>1</v>
      </c>
      <c r="G2343" s="1">
        <v>214</v>
      </c>
      <c r="H2343">
        <f t="shared" si="108"/>
        <v>2018</v>
      </c>
      <c r="I2343">
        <f t="shared" si="109"/>
        <v>2021</v>
      </c>
      <c r="J2343" s="7">
        <f t="shared" si="110"/>
        <v>20564.841348705042</v>
      </c>
      <c r="K2343" s="7"/>
    </row>
    <row r="2344" spans="1:11" x14ac:dyDescent="0.25">
      <c r="A2344" s="1" t="s">
        <v>19</v>
      </c>
      <c r="B2344" s="2">
        <v>201802</v>
      </c>
      <c r="C2344" s="2">
        <v>201802</v>
      </c>
      <c r="D2344" s="10">
        <v>663958.4546092049</v>
      </c>
      <c r="E2344" s="10">
        <v>634742.91534127179</v>
      </c>
      <c r="F2344" s="1">
        <v>16104</v>
      </c>
      <c r="G2344" s="1">
        <v>6358</v>
      </c>
      <c r="H2344">
        <f t="shared" si="108"/>
        <v>2018</v>
      </c>
      <c r="I2344">
        <f t="shared" si="109"/>
        <v>2018</v>
      </c>
      <c r="J2344" s="7">
        <f t="shared" si="110"/>
        <v>1298701.3699504766</v>
      </c>
      <c r="K2344" s="7"/>
    </row>
    <row r="2345" spans="1:11" x14ac:dyDescent="0.25">
      <c r="A2345" s="1" t="s">
        <v>19</v>
      </c>
      <c r="B2345" s="2">
        <v>201802</v>
      </c>
      <c r="C2345" s="2">
        <v>201803</v>
      </c>
      <c r="D2345" s="10">
        <v>626896.23603443534</v>
      </c>
      <c r="E2345" s="10">
        <v>258441.70469428389</v>
      </c>
      <c r="F2345" s="1">
        <v>3873</v>
      </c>
      <c r="G2345" s="1">
        <v>3271</v>
      </c>
      <c r="H2345">
        <f t="shared" si="108"/>
        <v>2018</v>
      </c>
      <c r="I2345">
        <f t="shared" si="109"/>
        <v>2018</v>
      </c>
      <c r="J2345" s="7">
        <f t="shared" si="110"/>
        <v>885337.94072871923</v>
      </c>
      <c r="K2345" s="7"/>
    </row>
    <row r="2346" spans="1:11" x14ac:dyDescent="0.25">
      <c r="A2346" s="1" t="s">
        <v>19</v>
      </c>
      <c r="B2346" s="2">
        <v>201802</v>
      </c>
      <c r="C2346" s="2">
        <v>201804</v>
      </c>
      <c r="D2346" s="10">
        <v>94552.138368603657</v>
      </c>
      <c r="E2346" s="10">
        <v>170070.7290573768</v>
      </c>
      <c r="F2346" s="1">
        <v>504</v>
      </c>
      <c r="G2346" s="1">
        <v>2315</v>
      </c>
      <c r="H2346">
        <f t="shared" si="108"/>
        <v>2018</v>
      </c>
      <c r="I2346">
        <f t="shared" si="109"/>
        <v>2018</v>
      </c>
      <c r="J2346" s="7">
        <f t="shared" si="110"/>
        <v>264622.86742598045</v>
      </c>
      <c r="K2346" s="7"/>
    </row>
    <row r="2347" spans="1:11" x14ac:dyDescent="0.25">
      <c r="A2347" s="1" t="s">
        <v>19</v>
      </c>
      <c r="B2347" s="2">
        <v>201802</v>
      </c>
      <c r="C2347" s="2">
        <v>201901</v>
      </c>
      <c r="D2347" s="10">
        <v>25778.19310690061</v>
      </c>
      <c r="E2347" s="10">
        <v>135516.0746701156</v>
      </c>
      <c r="F2347" s="1">
        <v>157</v>
      </c>
      <c r="G2347" s="1">
        <v>1861</v>
      </c>
      <c r="H2347">
        <f t="shared" si="108"/>
        <v>2018</v>
      </c>
      <c r="I2347">
        <f t="shared" si="109"/>
        <v>2019</v>
      </c>
      <c r="J2347" s="7">
        <f t="shared" si="110"/>
        <v>161294.26777701621</v>
      </c>
      <c r="K2347" s="7"/>
    </row>
    <row r="2348" spans="1:11" x14ac:dyDescent="0.25">
      <c r="A2348" s="1" t="s">
        <v>19</v>
      </c>
      <c r="B2348" s="2">
        <v>201802</v>
      </c>
      <c r="C2348" s="2">
        <v>201902</v>
      </c>
      <c r="D2348" s="10">
        <v>11500.320688865299</v>
      </c>
      <c r="E2348" s="10">
        <v>106564.44303235145</v>
      </c>
      <c r="F2348" s="1">
        <v>112</v>
      </c>
      <c r="G2348" s="1">
        <v>1379</v>
      </c>
      <c r="H2348">
        <f t="shared" si="108"/>
        <v>2018</v>
      </c>
      <c r="I2348">
        <f t="shared" si="109"/>
        <v>2019</v>
      </c>
      <c r="J2348" s="7">
        <f t="shared" si="110"/>
        <v>118064.76372121675</v>
      </c>
      <c r="K2348" s="7"/>
    </row>
    <row r="2349" spans="1:11" x14ac:dyDescent="0.25">
      <c r="A2349" s="1" t="s">
        <v>19</v>
      </c>
      <c r="B2349" s="2">
        <v>201802</v>
      </c>
      <c r="C2349" s="2">
        <v>201903</v>
      </c>
      <c r="D2349" s="10">
        <v>5994.4981352796967</v>
      </c>
      <c r="E2349" s="10">
        <v>88049.068596952755</v>
      </c>
      <c r="F2349" s="1">
        <v>36</v>
      </c>
      <c r="G2349" s="1">
        <v>1172</v>
      </c>
      <c r="H2349">
        <f t="shared" si="108"/>
        <v>2018</v>
      </c>
      <c r="I2349">
        <f t="shared" si="109"/>
        <v>2019</v>
      </c>
      <c r="J2349" s="7">
        <f t="shared" si="110"/>
        <v>94043.566732232459</v>
      </c>
      <c r="K2349" s="7"/>
    </row>
    <row r="2350" spans="1:11" x14ac:dyDescent="0.25">
      <c r="A2350" s="1" t="s">
        <v>19</v>
      </c>
      <c r="B2350" s="2">
        <v>201802</v>
      </c>
      <c r="C2350" s="2">
        <v>201904</v>
      </c>
      <c r="D2350" s="10">
        <v>2833.6121914855203</v>
      </c>
      <c r="E2350" s="10">
        <v>69319.750010246906</v>
      </c>
      <c r="F2350" s="1">
        <v>26</v>
      </c>
      <c r="G2350" s="1">
        <v>891</v>
      </c>
      <c r="H2350">
        <f t="shared" si="108"/>
        <v>2018</v>
      </c>
      <c r="I2350">
        <f t="shared" si="109"/>
        <v>2019</v>
      </c>
      <c r="J2350" s="7">
        <f t="shared" si="110"/>
        <v>72153.362201732423</v>
      </c>
      <c r="K2350" s="7"/>
    </row>
    <row r="2351" spans="1:11" x14ac:dyDescent="0.25">
      <c r="A2351" s="1" t="s">
        <v>19</v>
      </c>
      <c r="B2351" s="2">
        <v>201802</v>
      </c>
      <c r="C2351" s="2">
        <v>202001</v>
      </c>
      <c r="D2351" s="10">
        <v>1994.033934576222</v>
      </c>
      <c r="E2351" s="10">
        <v>58518.336287038743</v>
      </c>
      <c r="F2351" s="1">
        <v>22</v>
      </c>
      <c r="G2351" s="1">
        <v>684</v>
      </c>
      <c r="H2351">
        <f t="shared" si="108"/>
        <v>2018</v>
      </c>
      <c r="I2351">
        <f t="shared" si="109"/>
        <v>2020</v>
      </c>
      <c r="J2351" s="7">
        <f t="shared" si="110"/>
        <v>60512.370221614961</v>
      </c>
      <c r="K2351" s="7"/>
    </row>
    <row r="2352" spans="1:11" x14ac:dyDescent="0.25">
      <c r="A2352" s="1" t="s">
        <v>19</v>
      </c>
      <c r="B2352" s="2">
        <v>201802</v>
      </c>
      <c r="C2352" s="2">
        <v>202002</v>
      </c>
      <c r="D2352" s="10">
        <v>-147.70386173035897</v>
      </c>
      <c r="E2352" s="10">
        <v>46013.943056358243</v>
      </c>
      <c r="F2352" s="1">
        <v>28</v>
      </c>
      <c r="G2352" s="1">
        <v>537</v>
      </c>
      <c r="H2352">
        <f t="shared" si="108"/>
        <v>2018</v>
      </c>
      <c r="I2352">
        <f t="shared" si="109"/>
        <v>2020</v>
      </c>
      <c r="J2352" s="7">
        <f t="shared" si="110"/>
        <v>45866.23919462788</v>
      </c>
      <c r="K2352" s="7"/>
    </row>
    <row r="2353" spans="1:11" x14ac:dyDescent="0.25">
      <c r="A2353" s="1" t="s">
        <v>19</v>
      </c>
      <c r="B2353" s="2">
        <v>201802</v>
      </c>
      <c r="C2353" s="2">
        <v>202003</v>
      </c>
      <c r="D2353" s="10">
        <v>923.09758894115657</v>
      </c>
      <c r="E2353" s="10">
        <v>40796.804670699588</v>
      </c>
      <c r="F2353" s="1">
        <v>14</v>
      </c>
      <c r="G2353" s="1">
        <v>473</v>
      </c>
      <c r="H2353">
        <f t="shared" si="108"/>
        <v>2018</v>
      </c>
      <c r="I2353">
        <f t="shared" si="109"/>
        <v>2020</v>
      </c>
      <c r="J2353" s="7">
        <f t="shared" si="110"/>
        <v>41719.902259640745</v>
      </c>
      <c r="K2353" s="7"/>
    </row>
    <row r="2354" spans="1:11" x14ac:dyDescent="0.25">
      <c r="A2354" s="1" t="s">
        <v>19</v>
      </c>
      <c r="B2354" s="2">
        <v>201802</v>
      </c>
      <c r="C2354" s="2">
        <v>202004</v>
      </c>
      <c r="D2354" s="10">
        <v>1363.4442578286603</v>
      </c>
      <c r="E2354" s="10">
        <v>34096.109718329521</v>
      </c>
      <c r="F2354" s="1">
        <v>5</v>
      </c>
      <c r="G2354" s="1">
        <v>405</v>
      </c>
      <c r="H2354">
        <f t="shared" si="108"/>
        <v>2018</v>
      </c>
      <c r="I2354">
        <f t="shared" si="109"/>
        <v>2020</v>
      </c>
      <c r="J2354" s="7">
        <f t="shared" si="110"/>
        <v>35459.553976158182</v>
      </c>
      <c r="K2354" s="7"/>
    </row>
    <row r="2355" spans="1:11" x14ac:dyDescent="0.25">
      <c r="A2355" s="1" t="s">
        <v>19</v>
      </c>
      <c r="B2355" s="2">
        <v>201802</v>
      </c>
      <c r="C2355" s="2">
        <v>202101</v>
      </c>
      <c r="D2355" s="10">
        <v>3370.2966613387016</v>
      </c>
      <c r="E2355" s="10">
        <v>33396.041275744399</v>
      </c>
      <c r="F2355" s="1">
        <v>4</v>
      </c>
      <c r="G2355" s="1">
        <v>367</v>
      </c>
      <c r="H2355">
        <f t="shared" si="108"/>
        <v>2018</v>
      </c>
      <c r="I2355">
        <f t="shared" si="109"/>
        <v>2021</v>
      </c>
      <c r="J2355" s="7">
        <f t="shared" si="110"/>
        <v>36766.337937083103</v>
      </c>
      <c r="K2355" s="7"/>
    </row>
    <row r="2356" spans="1:11" x14ac:dyDescent="0.25">
      <c r="A2356" s="1" t="s">
        <v>19</v>
      </c>
      <c r="B2356" s="2">
        <v>201802</v>
      </c>
      <c r="C2356" s="2">
        <v>202102</v>
      </c>
      <c r="D2356" s="10">
        <v>1697.5580938550443</v>
      </c>
      <c r="E2356" s="10">
        <v>33853.971131037673</v>
      </c>
      <c r="F2356" s="1">
        <v>4</v>
      </c>
      <c r="G2356" s="1">
        <v>303</v>
      </c>
      <c r="H2356">
        <f t="shared" si="108"/>
        <v>2018</v>
      </c>
      <c r="I2356">
        <f t="shared" si="109"/>
        <v>2021</v>
      </c>
      <c r="J2356" s="7">
        <f t="shared" si="110"/>
        <v>35551.529224892714</v>
      </c>
      <c r="K2356" s="7"/>
    </row>
    <row r="2357" spans="1:11" x14ac:dyDescent="0.25">
      <c r="A2357" s="1" t="s">
        <v>19</v>
      </c>
      <c r="B2357" s="2">
        <v>201802</v>
      </c>
      <c r="C2357" s="2">
        <v>202103</v>
      </c>
      <c r="D2357" s="10">
        <v>1008.7496150045674</v>
      </c>
      <c r="E2357" s="10">
        <v>33873.458894977804</v>
      </c>
      <c r="F2357" s="1">
        <v>1</v>
      </c>
      <c r="G2357" s="1">
        <v>260</v>
      </c>
      <c r="H2357">
        <f t="shared" si="108"/>
        <v>2018</v>
      </c>
      <c r="I2357">
        <f t="shared" si="109"/>
        <v>2021</v>
      </c>
      <c r="J2357" s="7">
        <f t="shared" si="110"/>
        <v>34882.208509982374</v>
      </c>
      <c r="K2357" s="7"/>
    </row>
    <row r="2358" spans="1:11" x14ac:dyDescent="0.25">
      <c r="A2358" s="1" t="s">
        <v>19</v>
      </c>
      <c r="B2358" s="2">
        <v>201802</v>
      </c>
      <c r="C2358" s="2">
        <v>202104</v>
      </c>
      <c r="D2358" s="10">
        <v>-313.96897932836555</v>
      </c>
      <c r="E2358" s="10">
        <v>14051.891942448538</v>
      </c>
      <c r="F2358" s="1">
        <v>0</v>
      </c>
      <c r="G2358" s="1">
        <v>192</v>
      </c>
      <c r="H2358">
        <f t="shared" si="108"/>
        <v>2018</v>
      </c>
      <c r="I2358">
        <f t="shared" si="109"/>
        <v>2021</v>
      </c>
      <c r="J2358" s="7">
        <f t="shared" si="110"/>
        <v>13737.922963120172</v>
      </c>
      <c r="K2358" s="7"/>
    </row>
    <row r="2359" spans="1:11" x14ac:dyDescent="0.25">
      <c r="A2359" s="1" t="s">
        <v>19</v>
      </c>
      <c r="B2359" s="2">
        <v>201803</v>
      </c>
      <c r="C2359" s="2">
        <v>201803</v>
      </c>
      <c r="D2359" s="10">
        <v>858502.61894626555</v>
      </c>
      <c r="E2359" s="10">
        <v>746498.02708999033</v>
      </c>
      <c r="F2359" s="1">
        <v>16487</v>
      </c>
      <c r="G2359" s="1">
        <v>6537</v>
      </c>
      <c r="H2359">
        <f t="shared" si="108"/>
        <v>2018</v>
      </c>
      <c r="I2359">
        <f t="shared" si="109"/>
        <v>2018</v>
      </c>
      <c r="J2359" s="7">
        <f t="shared" si="110"/>
        <v>1605000.6460362559</v>
      </c>
      <c r="K2359" s="7"/>
    </row>
    <row r="2360" spans="1:11" x14ac:dyDescent="0.25">
      <c r="A2360" s="1" t="s">
        <v>19</v>
      </c>
      <c r="B2360" s="2">
        <v>201803</v>
      </c>
      <c r="C2360" s="2">
        <v>201804</v>
      </c>
      <c r="D2360" s="10">
        <v>694141.72712451755</v>
      </c>
      <c r="E2360" s="10">
        <v>315489.55498201196</v>
      </c>
      <c r="F2360" s="1">
        <v>3244</v>
      </c>
      <c r="G2360" s="1">
        <v>3467</v>
      </c>
      <c r="H2360">
        <f t="shared" si="108"/>
        <v>2018</v>
      </c>
      <c r="I2360">
        <f t="shared" si="109"/>
        <v>2018</v>
      </c>
      <c r="J2360" s="7">
        <f t="shared" si="110"/>
        <v>1009631.2821065295</v>
      </c>
      <c r="K2360" s="7"/>
    </row>
    <row r="2361" spans="1:11" x14ac:dyDescent="0.25">
      <c r="A2361" s="1" t="s">
        <v>19</v>
      </c>
      <c r="B2361" s="2">
        <v>201803</v>
      </c>
      <c r="C2361" s="2">
        <v>201901</v>
      </c>
      <c r="D2361" s="10">
        <v>116355.33210533785</v>
      </c>
      <c r="E2361" s="10">
        <v>195324.84479613681</v>
      </c>
      <c r="F2361" s="1">
        <v>434</v>
      </c>
      <c r="G2361" s="1">
        <v>2452</v>
      </c>
      <c r="H2361">
        <f t="shared" si="108"/>
        <v>2018</v>
      </c>
      <c r="I2361">
        <f t="shared" si="109"/>
        <v>2019</v>
      </c>
      <c r="J2361" s="7">
        <f t="shared" si="110"/>
        <v>311680.17690147465</v>
      </c>
      <c r="K2361" s="7"/>
    </row>
    <row r="2362" spans="1:11" x14ac:dyDescent="0.25">
      <c r="A2362" s="1" t="s">
        <v>19</v>
      </c>
      <c r="B2362" s="2">
        <v>201803</v>
      </c>
      <c r="C2362" s="2">
        <v>201902</v>
      </c>
      <c r="D2362" s="10">
        <v>34966.853732561103</v>
      </c>
      <c r="E2362" s="10">
        <v>155785.00761587633</v>
      </c>
      <c r="F2362" s="1">
        <v>191</v>
      </c>
      <c r="G2362" s="1">
        <v>1898</v>
      </c>
      <c r="H2362">
        <f t="shared" si="108"/>
        <v>2018</v>
      </c>
      <c r="I2362">
        <f t="shared" si="109"/>
        <v>2019</v>
      </c>
      <c r="J2362" s="7">
        <f t="shared" si="110"/>
        <v>190751.86134843744</v>
      </c>
      <c r="K2362" s="7"/>
    </row>
    <row r="2363" spans="1:11" x14ac:dyDescent="0.25">
      <c r="A2363" s="1" t="s">
        <v>19</v>
      </c>
      <c r="B2363" s="2">
        <v>201803</v>
      </c>
      <c r="C2363" s="2">
        <v>201903</v>
      </c>
      <c r="D2363" s="10">
        <v>16045.985980278663</v>
      </c>
      <c r="E2363" s="10">
        <v>123832.36718622477</v>
      </c>
      <c r="F2363" s="1">
        <v>102</v>
      </c>
      <c r="G2363" s="1">
        <v>1473</v>
      </c>
      <c r="H2363">
        <f t="shared" si="108"/>
        <v>2018</v>
      </c>
      <c r="I2363">
        <f t="shared" si="109"/>
        <v>2019</v>
      </c>
      <c r="J2363" s="7">
        <f t="shared" si="110"/>
        <v>139878.35316650342</v>
      </c>
      <c r="K2363" s="7"/>
    </row>
    <row r="2364" spans="1:11" x14ac:dyDescent="0.25">
      <c r="A2364" s="1" t="s">
        <v>19</v>
      </c>
      <c r="B2364" s="2">
        <v>201803</v>
      </c>
      <c r="C2364" s="2">
        <v>201904</v>
      </c>
      <c r="D2364" s="10">
        <v>10186.460053784376</v>
      </c>
      <c r="E2364" s="10">
        <v>94906.100145664357</v>
      </c>
      <c r="F2364" s="1">
        <v>53</v>
      </c>
      <c r="G2364" s="1">
        <v>1094</v>
      </c>
      <c r="H2364">
        <f t="shared" si="108"/>
        <v>2018</v>
      </c>
      <c r="I2364">
        <f t="shared" si="109"/>
        <v>2019</v>
      </c>
      <c r="J2364" s="7">
        <f t="shared" si="110"/>
        <v>105092.56019944874</v>
      </c>
      <c r="K2364" s="7"/>
    </row>
    <row r="2365" spans="1:11" x14ac:dyDescent="0.25">
      <c r="A2365" s="1" t="s">
        <v>19</v>
      </c>
      <c r="B2365" s="2">
        <v>201803</v>
      </c>
      <c r="C2365" s="2">
        <v>202001</v>
      </c>
      <c r="D2365" s="10">
        <v>6546.6280822175841</v>
      </c>
      <c r="E2365" s="10">
        <v>60735.671393088334</v>
      </c>
      <c r="F2365" s="1">
        <v>28</v>
      </c>
      <c r="G2365" s="1">
        <v>705</v>
      </c>
      <c r="H2365">
        <f t="shared" si="108"/>
        <v>2018</v>
      </c>
      <c r="I2365">
        <f t="shared" si="109"/>
        <v>2020</v>
      </c>
      <c r="J2365" s="7">
        <f t="shared" si="110"/>
        <v>67282.299475305917</v>
      </c>
      <c r="K2365" s="7"/>
    </row>
    <row r="2366" spans="1:11" x14ac:dyDescent="0.25">
      <c r="A2366" s="1" t="s">
        <v>19</v>
      </c>
      <c r="B2366" s="2">
        <v>201803</v>
      </c>
      <c r="C2366" s="2">
        <v>202002</v>
      </c>
      <c r="D2366" s="10">
        <v>4147.7654566077235</v>
      </c>
      <c r="E2366" s="10">
        <v>45159.866422409395</v>
      </c>
      <c r="F2366" s="1">
        <v>29</v>
      </c>
      <c r="G2366" s="1">
        <v>477</v>
      </c>
      <c r="H2366">
        <f t="shared" si="108"/>
        <v>2018</v>
      </c>
      <c r="I2366">
        <f t="shared" si="109"/>
        <v>2020</v>
      </c>
      <c r="J2366" s="7">
        <f t="shared" si="110"/>
        <v>49307.631879017121</v>
      </c>
      <c r="K2366" s="7"/>
    </row>
    <row r="2367" spans="1:11" x14ac:dyDescent="0.25">
      <c r="A2367" s="1" t="s">
        <v>19</v>
      </c>
      <c r="B2367" s="2">
        <v>201803</v>
      </c>
      <c r="C2367" s="2">
        <v>202003</v>
      </c>
      <c r="D2367" s="10">
        <v>2620.209212831784</v>
      </c>
      <c r="E2367" s="10">
        <v>38437.673921695357</v>
      </c>
      <c r="F2367" s="1">
        <v>10</v>
      </c>
      <c r="G2367" s="1">
        <v>377</v>
      </c>
      <c r="H2367">
        <f t="shared" si="108"/>
        <v>2018</v>
      </c>
      <c r="I2367">
        <f t="shared" si="109"/>
        <v>2020</v>
      </c>
      <c r="J2367" s="7">
        <f t="shared" si="110"/>
        <v>41057.883134527139</v>
      </c>
      <c r="K2367" s="7"/>
    </row>
    <row r="2368" spans="1:11" x14ac:dyDescent="0.25">
      <c r="A2368" s="1" t="s">
        <v>19</v>
      </c>
      <c r="B2368" s="2">
        <v>201803</v>
      </c>
      <c r="C2368" s="2">
        <v>202004</v>
      </c>
      <c r="D2368" s="10">
        <v>1211.2504469629152</v>
      </c>
      <c r="E2368" s="10">
        <v>33272.856917863595</v>
      </c>
      <c r="F2368" s="1">
        <v>9</v>
      </c>
      <c r="G2368" s="1">
        <v>327</v>
      </c>
      <c r="H2368">
        <f t="shared" si="108"/>
        <v>2018</v>
      </c>
      <c r="I2368">
        <f t="shared" si="109"/>
        <v>2020</v>
      </c>
      <c r="J2368" s="7">
        <f t="shared" si="110"/>
        <v>34484.107364826508</v>
      </c>
      <c r="K2368" s="7"/>
    </row>
    <row r="2369" spans="1:11" x14ac:dyDescent="0.25">
      <c r="A2369" s="1" t="s">
        <v>19</v>
      </c>
      <c r="B2369" s="2">
        <v>201803</v>
      </c>
      <c r="C2369" s="2">
        <v>202101</v>
      </c>
      <c r="D2369" s="10">
        <v>1767.8023594744673</v>
      </c>
      <c r="E2369" s="10">
        <v>33524.047433972773</v>
      </c>
      <c r="F2369" s="1">
        <v>3</v>
      </c>
      <c r="G2369" s="1">
        <v>271</v>
      </c>
      <c r="H2369">
        <f t="shared" si="108"/>
        <v>2018</v>
      </c>
      <c r="I2369">
        <f t="shared" si="109"/>
        <v>2021</v>
      </c>
      <c r="J2369" s="7">
        <f t="shared" si="110"/>
        <v>35291.84979344724</v>
      </c>
      <c r="K2369" s="7"/>
    </row>
    <row r="2370" spans="1:11" x14ac:dyDescent="0.25">
      <c r="A2370" s="1" t="s">
        <v>19</v>
      </c>
      <c r="B2370" s="2">
        <v>201803</v>
      </c>
      <c r="C2370" s="2">
        <v>202102</v>
      </c>
      <c r="D2370" s="10">
        <v>1567.8284513197743</v>
      </c>
      <c r="E2370" s="10">
        <v>32884.908749207883</v>
      </c>
      <c r="F2370" s="1">
        <v>4</v>
      </c>
      <c r="G2370" s="1">
        <v>226</v>
      </c>
      <c r="H2370">
        <f t="shared" si="108"/>
        <v>2018</v>
      </c>
      <c r="I2370">
        <f t="shared" si="109"/>
        <v>2021</v>
      </c>
      <c r="J2370" s="7">
        <f t="shared" si="110"/>
        <v>34452.737200527656</v>
      </c>
      <c r="K2370" s="7"/>
    </row>
    <row r="2371" spans="1:11" x14ac:dyDescent="0.25">
      <c r="A2371" s="1" t="s">
        <v>19</v>
      </c>
      <c r="B2371" s="2">
        <v>201803</v>
      </c>
      <c r="C2371" s="2">
        <v>202103</v>
      </c>
      <c r="D2371" s="10">
        <v>-201.01317616456635</v>
      </c>
      <c r="E2371" s="10">
        <v>33465.831589200177</v>
      </c>
      <c r="F2371" s="1">
        <v>6</v>
      </c>
      <c r="G2371" s="1">
        <v>186</v>
      </c>
      <c r="H2371">
        <f t="shared" si="108"/>
        <v>2018</v>
      </c>
      <c r="I2371">
        <f t="shared" si="109"/>
        <v>2021</v>
      </c>
      <c r="J2371" s="7">
        <f t="shared" si="110"/>
        <v>33264.818413035609</v>
      </c>
      <c r="K2371" s="7"/>
    </row>
    <row r="2372" spans="1:11" x14ac:dyDescent="0.25">
      <c r="A2372" s="1" t="s">
        <v>19</v>
      </c>
      <c r="B2372" s="2">
        <v>201803</v>
      </c>
      <c r="C2372" s="2">
        <v>202104</v>
      </c>
      <c r="D2372" s="10">
        <v>1313.8512182341494</v>
      </c>
      <c r="E2372" s="10">
        <v>14680.644992273477</v>
      </c>
      <c r="F2372" s="1">
        <v>2</v>
      </c>
      <c r="G2372" s="1">
        <v>149</v>
      </c>
      <c r="H2372">
        <f t="shared" ref="H2372:H2435" si="111">VALUE(LEFT(B2372,4))</f>
        <v>2018</v>
      </c>
      <c r="I2372">
        <f t="shared" ref="I2372:I2435" si="112">VALUE(LEFT(C2372,4))</f>
        <v>2021</v>
      </c>
      <c r="J2372" s="7">
        <f t="shared" si="110"/>
        <v>15994.496210507627</v>
      </c>
      <c r="K2372" s="7"/>
    </row>
    <row r="2373" spans="1:11" x14ac:dyDescent="0.25">
      <c r="A2373" s="1" t="s">
        <v>19</v>
      </c>
      <c r="B2373" s="2">
        <v>201804</v>
      </c>
      <c r="C2373" s="2">
        <v>201804</v>
      </c>
      <c r="D2373" s="10">
        <v>610893.6009933562</v>
      </c>
      <c r="E2373" s="10">
        <v>715453.64969637571</v>
      </c>
      <c r="F2373" s="1">
        <v>14091</v>
      </c>
      <c r="G2373" s="1">
        <v>6433</v>
      </c>
      <c r="H2373">
        <f t="shared" si="111"/>
        <v>2018</v>
      </c>
      <c r="I2373">
        <f t="shared" si="112"/>
        <v>2018</v>
      </c>
      <c r="J2373" s="7">
        <f t="shared" ref="J2373:J2436" si="113">D2373+E2373</f>
        <v>1326347.2506897319</v>
      </c>
      <c r="K2373" s="7"/>
    </row>
    <row r="2374" spans="1:11" x14ac:dyDescent="0.25">
      <c r="A2374" s="1" t="s">
        <v>19</v>
      </c>
      <c r="B2374" s="2">
        <v>201804</v>
      </c>
      <c r="C2374" s="2">
        <v>201901</v>
      </c>
      <c r="D2374" s="10">
        <v>702106.12823645829</v>
      </c>
      <c r="E2374" s="10">
        <v>230201.68884010389</v>
      </c>
      <c r="F2374" s="1">
        <v>3830</v>
      </c>
      <c r="G2374" s="1">
        <v>3050</v>
      </c>
      <c r="H2374">
        <f t="shared" si="111"/>
        <v>2018</v>
      </c>
      <c r="I2374">
        <f t="shared" si="112"/>
        <v>2019</v>
      </c>
      <c r="J2374" s="7">
        <f t="shared" si="113"/>
        <v>932307.81707656221</v>
      </c>
      <c r="K2374" s="7"/>
    </row>
    <row r="2375" spans="1:11" x14ac:dyDescent="0.25">
      <c r="A2375" s="1" t="s">
        <v>19</v>
      </c>
      <c r="B2375" s="2">
        <v>201804</v>
      </c>
      <c r="C2375" s="2">
        <v>201902</v>
      </c>
      <c r="D2375" s="10">
        <v>100774.86278496805</v>
      </c>
      <c r="E2375" s="10">
        <v>141569.1256110236</v>
      </c>
      <c r="F2375" s="1">
        <v>624</v>
      </c>
      <c r="G2375" s="1">
        <v>2122</v>
      </c>
      <c r="H2375">
        <f t="shared" si="111"/>
        <v>2018</v>
      </c>
      <c r="I2375">
        <f t="shared" si="112"/>
        <v>2019</v>
      </c>
      <c r="J2375" s="7">
        <f t="shared" si="113"/>
        <v>242343.98839599165</v>
      </c>
      <c r="K2375" s="7"/>
    </row>
    <row r="2376" spans="1:11" x14ac:dyDescent="0.25">
      <c r="A2376" s="1" t="s">
        <v>19</v>
      </c>
      <c r="B2376" s="2">
        <v>201804</v>
      </c>
      <c r="C2376" s="2">
        <v>201903</v>
      </c>
      <c r="D2376" s="10">
        <v>24264.531681582481</v>
      </c>
      <c r="E2376" s="10">
        <v>117079.48829599177</v>
      </c>
      <c r="F2376" s="1">
        <v>177</v>
      </c>
      <c r="G2376" s="1">
        <v>1712</v>
      </c>
      <c r="H2376">
        <f t="shared" si="111"/>
        <v>2018</v>
      </c>
      <c r="I2376">
        <f t="shared" si="112"/>
        <v>2019</v>
      </c>
      <c r="J2376" s="7">
        <f t="shared" si="113"/>
        <v>141344.01997757427</v>
      </c>
      <c r="K2376" s="7"/>
    </row>
    <row r="2377" spans="1:11" x14ac:dyDescent="0.25">
      <c r="A2377" s="1" t="s">
        <v>19</v>
      </c>
      <c r="B2377" s="2">
        <v>201804</v>
      </c>
      <c r="C2377" s="2">
        <v>201904</v>
      </c>
      <c r="D2377" s="10">
        <v>9315.844826362043</v>
      </c>
      <c r="E2377" s="10">
        <v>80533.837828215735</v>
      </c>
      <c r="F2377" s="1">
        <v>114</v>
      </c>
      <c r="G2377" s="1">
        <v>1142</v>
      </c>
      <c r="H2377">
        <f t="shared" si="111"/>
        <v>2018</v>
      </c>
      <c r="I2377">
        <f t="shared" si="112"/>
        <v>2019</v>
      </c>
      <c r="J2377" s="7">
        <f t="shared" si="113"/>
        <v>89849.682654577773</v>
      </c>
      <c r="K2377" s="7"/>
    </row>
    <row r="2378" spans="1:11" x14ac:dyDescent="0.25">
      <c r="A2378" s="1" t="s">
        <v>19</v>
      </c>
      <c r="B2378" s="2">
        <v>201804</v>
      </c>
      <c r="C2378" s="2">
        <v>202001</v>
      </c>
      <c r="D2378" s="10">
        <v>7530.92975555668</v>
      </c>
      <c r="E2378" s="10">
        <v>55357.638272696488</v>
      </c>
      <c r="F2378" s="1">
        <v>73</v>
      </c>
      <c r="G2378" s="1">
        <v>743</v>
      </c>
      <c r="H2378">
        <f t="shared" si="111"/>
        <v>2018</v>
      </c>
      <c r="I2378">
        <f t="shared" si="112"/>
        <v>2020</v>
      </c>
      <c r="J2378" s="7">
        <f t="shared" si="113"/>
        <v>62888.568028253168</v>
      </c>
      <c r="K2378" s="7"/>
    </row>
    <row r="2379" spans="1:11" x14ac:dyDescent="0.25">
      <c r="A2379" s="1" t="s">
        <v>19</v>
      </c>
      <c r="B2379" s="2">
        <v>201804</v>
      </c>
      <c r="C2379" s="2">
        <v>202002</v>
      </c>
      <c r="D2379" s="10">
        <v>2648.2166337063463</v>
      </c>
      <c r="E2379" s="10">
        <v>38650.522611567409</v>
      </c>
      <c r="F2379" s="1">
        <v>37</v>
      </c>
      <c r="G2379" s="1">
        <v>502</v>
      </c>
      <c r="H2379">
        <f t="shared" si="111"/>
        <v>2018</v>
      </c>
      <c r="I2379">
        <f t="shared" si="112"/>
        <v>2020</v>
      </c>
      <c r="J2379" s="7">
        <f t="shared" si="113"/>
        <v>41298.739245273755</v>
      </c>
      <c r="K2379" s="7"/>
    </row>
    <row r="2380" spans="1:11" x14ac:dyDescent="0.25">
      <c r="A2380" s="1" t="s">
        <v>19</v>
      </c>
      <c r="B2380" s="2">
        <v>201804</v>
      </c>
      <c r="C2380" s="2">
        <v>202003</v>
      </c>
      <c r="D2380" s="10">
        <v>1464.2664347266846</v>
      </c>
      <c r="E2380" s="10">
        <v>32269.420714684271</v>
      </c>
      <c r="F2380" s="1">
        <v>18</v>
      </c>
      <c r="G2380" s="1">
        <v>417</v>
      </c>
      <c r="H2380">
        <f t="shared" si="111"/>
        <v>2018</v>
      </c>
      <c r="I2380">
        <f t="shared" si="112"/>
        <v>2020</v>
      </c>
      <c r="J2380" s="7">
        <f t="shared" si="113"/>
        <v>33733.687149410958</v>
      </c>
      <c r="K2380" s="7"/>
    </row>
    <row r="2381" spans="1:11" x14ac:dyDescent="0.25">
      <c r="A2381" s="1" t="s">
        <v>19</v>
      </c>
      <c r="B2381" s="2">
        <v>201804</v>
      </c>
      <c r="C2381" s="2">
        <v>202004</v>
      </c>
      <c r="D2381" s="10">
        <v>2835.2976078266797</v>
      </c>
      <c r="E2381" s="10">
        <v>27221.63426108169</v>
      </c>
      <c r="F2381" s="1">
        <v>27</v>
      </c>
      <c r="G2381" s="1">
        <v>356</v>
      </c>
      <c r="H2381">
        <f t="shared" si="111"/>
        <v>2018</v>
      </c>
      <c r="I2381">
        <f t="shared" si="112"/>
        <v>2020</v>
      </c>
      <c r="J2381" s="7">
        <f t="shared" si="113"/>
        <v>30056.93186890837</v>
      </c>
      <c r="K2381" s="7"/>
    </row>
    <row r="2382" spans="1:11" x14ac:dyDescent="0.25">
      <c r="A2382" s="1" t="s">
        <v>19</v>
      </c>
      <c r="B2382" s="2">
        <v>201804</v>
      </c>
      <c r="C2382" s="2">
        <v>202101</v>
      </c>
      <c r="D2382" s="10">
        <v>1157.4740038115499</v>
      </c>
      <c r="E2382" s="10">
        <v>27198.323979568475</v>
      </c>
      <c r="F2382" s="1">
        <v>12</v>
      </c>
      <c r="G2382" s="1">
        <v>315</v>
      </c>
      <c r="H2382">
        <f t="shared" si="111"/>
        <v>2018</v>
      </c>
      <c r="I2382">
        <f t="shared" si="112"/>
        <v>2021</v>
      </c>
      <c r="J2382" s="7">
        <f t="shared" si="113"/>
        <v>28355.797983380024</v>
      </c>
      <c r="K2382" s="7"/>
    </row>
    <row r="2383" spans="1:11" x14ac:dyDescent="0.25">
      <c r="A2383" s="1" t="s">
        <v>19</v>
      </c>
      <c r="B2383" s="2">
        <v>201804</v>
      </c>
      <c r="C2383" s="2">
        <v>202102</v>
      </c>
      <c r="D2383" s="10">
        <v>-527.2922939930362</v>
      </c>
      <c r="E2383" s="10">
        <v>27251.528337756539</v>
      </c>
      <c r="F2383" s="1">
        <v>4</v>
      </c>
      <c r="G2383" s="1">
        <v>255</v>
      </c>
      <c r="H2383">
        <f t="shared" si="111"/>
        <v>2018</v>
      </c>
      <c r="I2383">
        <f t="shared" si="112"/>
        <v>2021</v>
      </c>
      <c r="J2383" s="7">
        <f t="shared" si="113"/>
        <v>26724.236043763503</v>
      </c>
      <c r="K2383" s="7"/>
    </row>
    <row r="2384" spans="1:11" x14ac:dyDescent="0.25">
      <c r="A2384" s="1" t="s">
        <v>19</v>
      </c>
      <c r="B2384" s="2">
        <v>201804</v>
      </c>
      <c r="C2384" s="2">
        <v>202103</v>
      </c>
      <c r="D2384" s="10">
        <v>260.10468899380066</v>
      </c>
      <c r="E2384" s="10">
        <v>26961.70293792367</v>
      </c>
      <c r="F2384" s="1">
        <v>4</v>
      </c>
      <c r="G2384" s="1">
        <v>226</v>
      </c>
      <c r="H2384">
        <f t="shared" si="111"/>
        <v>2018</v>
      </c>
      <c r="I2384">
        <f t="shared" si="112"/>
        <v>2021</v>
      </c>
      <c r="J2384" s="7">
        <f t="shared" si="113"/>
        <v>27221.807626917471</v>
      </c>
      <c r="K2384" s="7"/>
    </row>
    <row r="2385" spans="1:11" x14ac:dyDescent="0.25">
      <c r="A2385" s="1" t="s">
        <v>19</v>
      </c>
      <c r="B2385" s="2">
        <v>201804</v>
      </c>
      <c r="C2385" s="2">
        <v>202104</v>
      </c>
      <c r="D2385" s="10">
        <v>2706.7434971469797</v>
      </c>
      <c r="E2385" s="10">
        <v>14162.486383838801</v>
      </c>
      <c r="F2385" s="1">
        <v>6</v>
      </c>
      <c r="G2385" s="1">
        <v>165</v>
      </c>
      <c r="H2385">
        <f t="shared" si="111"/>
        <v>2018</v>
      </c>
      <c r="I2385">
        <f t="shared" si="112"/>
        <v>2021</v>
      </c>
      <c r="J2385" s="7">
        <f t="shared" si="113"/>
        <v>16869.229880985782</v>
      </c>
      <c r="K2385" s="7"/>
    </row>
    <row r="2386" spans="1:11" x14ac:dyDescent="0.25">
      <c r="A2386" s="1" t="s">
        <v>19</v>
      </c>
      <c r="B2386" s="2">
        <v>201901</v>
      </c>
      <c r="C2386" s="2">
        <v>201901</v>
      </c>
      <c r="D2386" s="10">
        <v>771020.7841519214</v>
      </c>
      <c r="E2386" s="10">
        <v>567728.50611039472</v>
      </c>
      <c r="F2386" s="1">
        <v>16846</v>
      </c>
      <c r="G2386" s="1">
        <v>5815</v>
      </c>
      <c r="H2386">
        <f t="shared" si="111"/>
        <v>2019</v>
      </c>
      <c r="I2386">
        <f t="shared" si="112"/>
        <v>2019</v>
      </c>
      <c r="J2386" s="7">
        <f t="shared" si="113"/>
        <v>1338749.2902623161</v>
      </c>
      <c r="K2386" s="7"/>
    </row>
    <row r="2387" spans="1:11" x14ac:dyDescent="0.25">
      <c r="A2387" s="1" t="s">
        <v>19</v>
      </c>
      <c r="B2387" s="2">
        <v>201901</v>
      </c>
      <c r="C2387" s="2">
        <v>201902</v>
      </c>
      <c r="D2387" s="10">
        <v>731686.08501623885</v>
      </c>
      <c r="E2387" s="10">
        <v>234726.75612549274</v>
      </c>
      <c r="F2387" s="1">
        <v>4215</v>
      </c>
      <c r="G2387" s="1">
        <v>2963</v>
      </c>
      <c r="H2387">
        <f t="shared" si="111"/>
        <v>2019</v>
      </c>
      <c r="I2387">
        <f t="shared" si="112"/>
        <v>2019</v>
      </c>
      <c r="J2387" s="7">
        <f t="shared" si="113"/>
        <v>966412.84114173159</v>
      </c>
      <c r="K2387" s="7"/>
    </row>
    <row r="2388" spans="1:11" x14ac:dyDescent="0.25">
      <c r="A2388" s="1" t="s">
        <v>19</v>
      </c>
      <c r="B2388" s="2">
        <v>201901</v>
      </c>
      <c r="C2388" s="2">
        <v>201903</v>
      </c>
      <c r="D2388" s="10">
        <v>269471.62131866231</v>
      </c>
      <c r="E2388" s="10">
        <v>164993.80463137766</v>
      </c>
      <c r="F2388" s="1">
        <v>631</v>
      </c>
      <c r="G2388" s="1">
        <v>2061</v>
      </c>
      <c r="H2388">
        <f t="shared" si="111"/>
        <v>2019</v>
      </c>
      <c r="I2388">
        <f t="shared" si="112"/>
        <v>2019</v>
      </c>
      <c r="J2388" s="7">
        <f t="shared" si="113"/>
        <v>434465.42595003999</v>
      </c>
      <c r="K2388" s="7"/>
    </row>
    <row r="2389" spans="1:11" x14ac:dyDescent="0.25">
      <c r="A2389" s="1" t="s">
        <v>19</v>
      </c>
      <c r="B2389" s="2">
        <v>201901</v>
      </c>
      <c r="C2389" s="2">
        <v>201904</v>
      </c>
      <c r="D2389" s="10">
        <v>227974.26178486925</v>
      </c>
      <c r="E2389" s="10">
        <v>132131.84849509152</v>
      </c>
      <c r="F2389" s="1">
        <v>240</v>
      </c>
      <c r="G2389" s="1">
        <v>1623</v>
      </c>
      <c r="H2389">
        <f t="shared" si="111"/>
        <v>2019</v>
      </c>
      <c r="I2389">
        <f t="shared" si="112"/>
        <v>2019</v>
      </c>
      <c r="J2389" s="7">
        <f t="shared" si="113"/>
        <v>360106.11027996079</v>
      </c>
      <c r="K2389" s="7"/>
    </row>
    <row r="2390" spans="1:11" x14ac:dyDescent="0.25">
      <c r="A2390" s="1" t="s">
        <v>19</v>
      </c>
      <c r="B2390" s="2">
        <v>201901</v>
      </c>
      <c r="C2390" s="2">
        <v>202001</v>
      </c>
      <c r="D2390" s="10">
        <v>120145.85510622902</v>
      </c>
      <c r="E2390" s="10">
        <v>80722.232095573869</v>
      </c>
      <c r="F2390" s="1">
        <v>216</v>
      </c>
      <c r="G2390" s="1">
        <v>1070</v>
      </c>
      <c r="H2390">
        <f t="shared" si="111"/>
        <v>2019</v>
      </c>
      <c r="I2390">
        <f t="shared" si="112"/>
        <v>2020</v>
      </c>
      <c r="J2390" s="7">
        <f t="shared" si="113"/>
        <v>200868.08720180287</v>
      </c>
      <c r="K2390" s="7"/>
    </row>
    <row r="2391" spans="1:11" x14ac:dyDescent="0.25">
      <c r="A2391" s="1" t="s">
        <v>19</v>
      </c>
      <c r="B2391" s="2">
        <v>201901</v>
      </c>
      <c r="C2391" s="2">
        <v>202002</v>
      </c>
      <c r="D2391" s="10">
        <v>23227.475079192478</v>
      </c>
      <c r="E2391" s="10">
        <v>49754.702726883595</v>
      </c>
      <c r="F2391" s="1">
        <v>47</v>
      </c>
      <c r="G2391" s="1">
        <v>744</v>
      </c>
      <c r="H2391">
        <f t="shared" si="111"/>
        <v>2019</v>
      </c>
      <c r="I2391">
        <f t="shared" si="112"/>
        <v>2020</v>
      </c>
      <c r="J2391" s="7">
        <f t="shared" si="113"/>
        <v>72982.17780607607</v>
      </c>
      <c r="K2391" s="7"/>
    </row>
    <row r="2392" spans="1:11" x14ac:dyDescent="0.25">
      <c r="A2392" s="1" t="s">
        <v>19</v>
      </c>
      <c r="B2392" s="2">
        <v>201901</v>
      </c>
      <c r="C2392" s="2">
        <v>202003</v>
      </c>
      <c r="D2392" s="10">
        <v>10039.66229191379</v>
      </c>
      <c r="E2392" s="10">
        <v>39364.816631467918</v>
      </c>
      <c r="F2392" s="1">
        <v>36</v>
      </c>
      <c r="G2392" s="1">
        <v>589</v>
      </c>
      <c r="H2392">
        <f t="shared" si="111"/>
        <v>2019</v>
      </c>
      <c r="I2392">
        <f t="shared" si="112"/>
        <v>2020</v>
      </c>
      <c r="J2392" s="7">
        <f t="shared" si="113"/>
        <v>49404.478923381706</v>
      </c>
      <c r="K2392" s="7"/>
    </row>
    <row r="2393" spans="1:11" x14ac:dyDescent="0.25">
      <c r="A2393" s="1" t="s">
        <v>19</v>
      </c>
      <c r="B2393" s="2">
        <v>201901</v>
      </c>
      <c r="C2393" s="2">
        <v>202004</v>
      </c>
      <c r="D2393" s="10">
        <v>6817.0997492510478</v>
      </c>
      <c r="E2393" s="10">
        <v>31696.827358294548</v>
      </c>
      <c r="F2393" s="1">
        <v>27</v>
      </c>
      <c r="G2393" s="1">
        <v>466</v>
      </c>
      <c r="H2393">
        <f t="shared" si="111"/>
        <v>2019</v>
      </c>
      <c r="I2393">
        <f t="shared" si="112"/>
        <v>2020</v>
      </c>
      <c r="J2393" s="7">
        <f t="shared" si="113"/>
        <v>38513.927107545598</v>
      </c>
      <c r="K2393" s="7"/>
    </row>
    <row r="2394" spans="1:11" x14ac:dyDescent="0.25">
      <c r="A2394" s="1" t="s">
        <v>19</v>
      </c>
      <c r="B2394" s="2">
        <v>201901</v>
      </c>
      <c r="C2394" s="2">
        <v>202101</v>
      </c>
      <c r="D2394" s="10">
        <v>4684.9320268524316</v>
      </c>
      <c r="E2394" s="10">
        <v>31570.698352367079</v>
      </c>
      <c r="F2394" s="1">
        <v>15</v>
      </c>
      <c r="G2394" s="1">
        <v>388</v>
      </c>
      <c r="H2394">
        <f t="shared" si="111"/>
        <v>2019</v>
      </c>
      <c r="I2394">
        <f t="shared" si="112"/>
        <v>2021</v>
      </c>
      <c r="J2394" s="7">
        <f t="shared" si="113"/>
        <v>36255.63037921951</v>
      </c>
      <c r="K2394" s="7"/>
    </row>
    <row r="2395" spans="1:11" x14ac:dyDescent="0.25">
      <c r="A2395" s="1" t="s">
        <v>19</v>
      </c>
      <c r="B2395" s="2">
        <v>201901</v>
      </c>
      <c r="C2395" s="2">
        <v>202102</v>
      </c>
      <c r="D2395" s="10">
        <v>579.32951747353945</v>
      </c>
      <c r="E2395" s="10">
        <v>31539.946664246952</v>
      </c>
      <c r="F2395" s="1">
        <v>10</v>
      </c>
      <c r="G2395" s="1">
        <v>324</v>
      </c>
      <c r="H2395">
        <f t="shared" si="111"/>
        <v>2019</v>
      </c>
      <c r="I2395">
        <f t="shared" si="112"/>
        <v>2021</v>
      </c>
      <c r="J2395" s="7">
        <f t="shared" si="113"/>
        <v>32119.276181720492</v>
      </c>
      <c r="K2395" s="7"/>
    </row>
    <row r="2396" spans="1:11" x14ac:dyDescent="0.25">
      <c r="A2396" s="1" t="s">
        <v>19</v>
      </c>
      <c r="B2396" s="2">
        <v>201901</v>
      </c>
      <c r="C2396" s="2">
        <v>202103</v>
      </c>
      <c r="D2396" s="10">
        <v>1273.2061355889648</v>
      </c>
      <c r="E2396" s="10">
        <v>31536.438937814066</v>
      </c>
      <c r="F2396" s="1">
        <v>2</v>
      </c>
      <c r="G2396" s="1">
        <v>271</v>
      </c>
      <c r="H2396">
        <f t="shared" si="111"/>
        <v>2019</v>
      </c>
      <c r="I2396">
        <f t="shared" si="112"/>
        <v>2021</v>
      </c>
      <c r="J2396" s="7">
        <f t="shared" si="113"/>
        <v>32809.64507340303</v>
      </c>
      <c r="K2396" s="7"/>
    </row>
    <row r="2397" spans="1:11" x14ac:dyDescent="0.25">
      <c r="A2397" s="1" t="s">
        <v>19</v>
      </c>
      <c r="B2397" s="2">
        <v>201901</v>
      </c>
      <c r="C2397" s="2">
        <v>202104</v>
      </c>
      <c r="D2397" s="10">
        <v>1531.0312296545749</v>
      </c>
      <c r="E2397" s="10">
        <v>15407.549857757895</v>
      </c>
      <c r="F2397" s="1">
        <v>12</v>
      </c>
      <c r="G2397" s="1">
        <v>198</v>
      </c>
      <c r="H2397">
        <f t="shared" si="111"/>
        <v>2019</v>
      </c>
      <c r="I2397">
        <f t="shared" si="112"/>
        <v>2021</v>
      </c>
      <c r="J2397" s="7">
        <f t="shared" si="113"/>
        <v>16938.581087412469</v>
      </c>
      <c r="K2397" s="7"/>
    </row>
    <row r="2398" spans="1:11" x14ac:dyDescent="0.25">
      <c r="A2398" s="1" t="s">
        <v>19</v>
      </c>
      <c r="B2398" s="2">
        <v>201902</v>
      </c>
      <c r="C2398" s="2">
        <v>201902</v>
      </c>
      <c r="D2398" s="10">
        <v>770911.04371500108</v>
      </c>
      <c r="E2398" s="10">
        <v>671454.57972948556</v>
      </c>
      <c r="F2398" s="1">
        <v>17779</v>
      </c>
      <c r="G2398" s="1">
        <v>6867</v>
      </c>
      <c r="H2398">
        <f t="shared" si="111"/>
        <v>2019</v>
      </c>
      <c r="I2398">
        <f t="shared" si="112"/>
        <v>2019</v>
      </c>
      <c r="J2398" s="7">
        <f t="shared" si="113"/>
        <v>1442365.6234444866</v>
      </c>
      <c r="K2398" s="7"/>
    </row>
    <row r="2399" spans="1:11" x14ac:dyDescent="0.25">
      <c r="A2399" s="1" t="s">
        <v>19</v>
      </c>
      <c r="B2399" s="2">
        <v>201902</v>
      </c>
      <c r="C2399" s="2">
        <v>201903</v>
      </c>
      <c r="D2399" s="10">
        <v>719555.31529560243</v>
      </c>
      <c r="E2399" s="10">
        <v>245495.72256415349</v>
      </c>
      <c r="F2399" s="1">
        <v>4027</v>
      </c>
      <c r="G2399" s="1">
        <v>3296</v>
      </c>
      <c r="H2399">
        <f t="shared" si="111"/>
        <v>2019</v>
      </c>
      <c r="I2399">
        <f t="shared" si="112"/>
        <v>2019</v>
      </c>
      <c r="J2399" s="7">
        <f t="shared" si="113"/>
        <v>965051.03785975592</v>
      </c>
      <c r="K2399" s="7"/>
    </row>
    <row r="2400" spans="1:11" x14ac:dyDescent="0.25">
      <c r="A2400" s="1" t="s">
        <v>19</v>
      </c>
      <c r="B2400" s="2">
        <v>201902</v>
      </c>
      <c r="C2400" s="2">
        <v>201904</v>
      </c>
      <c r="D2400" s="10">
        <v>112995.49594665236</v>
      </c>
      <c r="E2400" s="10">
        <v>163200.98914421984</v>
      </c>
      <c r="F2400" s="1">
        <v>623</v>
      </c>
      <c r="G2400" s="1">
        <v>2229</v>
      </c>
      <c r="H2400">
        <f t="shared" si="111"/>
        <v>2019</v>
      </c>
      <c r="I2400">
        <f t="shared" si="112"/>
        <v>2019</v>
      </c>
      <c r="J2400" s="7">
        <f t="shared" si="113"/>
        <v>276196.48509087221</v>
      </c>
      <c r="K2400" s="7"/>
    </row>
    <row r="2401" spans="1:11" x14ac:dyDescent="0.25">
      <c r="A2401" s="1" t="s">
        <v>19</v>
      </c>
      <c r="B2401" s="2">
        <v>201902</v>
      </c>
      <c r="C2401" s="2">
        <v>202001</v>
      </c>
      <c r="D2401" s="10">
        <v>40397.940361552603</v>
      </c>
      <c r="E2401" s="10">
        <v>125125.31792775911</v>
      </c>
      <c r="F2401" s="1">
        <v>233</v>
      </c>
      <c r="G2401" s="1">
        <v>1766</v>
      </c>
      <c r="H2401">
        <f t="shared" si="111"/>
        <v>2019</v>
      </c>
      <c r="I2401">
        <f t="shared" si="112"/>
        <v>2020</v>
      </c>
      <c r="J2401" s="7">
        <f t="shared" si="113"/>
        <v>165523.25828931172</v>
      </c>
      <c r="K2401" s="7"/>
    </row>
    <row r="2402" spans="1:11" x14ac:dyDescent="0.25">
      <c r="A2402" s="1" t="s">
        <v>19</v>
      </c>
      <c r="B2402" s="2">
        <v>201902</v>
      </c>
      <c r="C2402" s="2">
        <v>202002</v>
      </c>
      <c r="D2402" s="10">
        <v>15102.848749779296</v>
      </c>
      <c r="E2402" s="10">
        <v>83367.491865474934</v>
      </c>
      <c r="F2402" s="1">
        <v>153</v>
      </c>
      <c r="G2402" s="1">
        <v>1133</v>
      </c>
      <c r="H2402">
        <f t="shared" si="111"/>
        <v>2019</v>
      </c>
      <c r="I2402">
        <f t="shared" si="112"/>
        <v>2020</v>
      </c>
      <c r="J2402" s="7">
        <f t="shared" si="113"/>
        <v>98470.34061525423</v>
      </c>
      <c r="K2402" s="7"/>
    </row>
    <row r="2403" spans="1:11" x14ac:dyDescent="0.25">
      <c r="A2403" s="1" t="s">
        <v>19</v>
      </c>
      <c r="B2403" s="2">
        <v>201902</v>
      </c>
      <c r="C2403" s="2">
        <v>202003</v>
      </c>
      <c r="D2403" s="10">
        <v>11235.40119989925</v>
      </c>
      <c r="E2403" s="10">
        <v>61251.994085855993</v>
      </c>
      <c r="F2403" s="1">
        <v>62</v>
      </c>
      <c r="G2403" s="1">
        <v>821</v>
      </c>
      <c r="H2403">
        <f t="shared" si="111"/>
        <v>2019</v>
      </c>
      <c r="I2403">
        <f t="shared" si="112"/>
        <v>2020</v>
      </c>
      <c r="J2403" s="7">
        <f t="shared" si="113"/>
        <v>72487.39528575525</v>
      </c>
      <c r="K2403" s="7"/>
    </row>
    <row r="2404" spans="1:11" x14ac:dyDescent="0.25">
      <c r="A2404" s="1" t="s">
        <v>19</v>
      </c>
      <c r="B2404" s="2">
        <v>201902</v>
      </c>
      <c r="C2404" s="2">
        <v>202004</v>
      </c>
      <c r="D2404" s="10">
        <v>5235.4424337554492</v>
      </c>
      <c r="E2404" s="10">
        <v>42551.191578411912</v>
      </c>
      <c r="F2404" s="1">
        <v>27</v>
      </c>
      <c r="G2404" s="1">
        <v>584</v>
      </c>
      <c r="H2404">
        <f t="shared" si="111"/>
        <v>2019</v>
      </c>
      <c r="I2404">
        <f t="shared" si="112"/>
        <v>2020</v>
      </c>
      <c r="J2404" s="7">
        <f t="shared" si="113"/>
        <v>47786.634012167364</v>
      </c>
      <c r="K2404" s="7"/>
    </row>
    <row r="2405" spans="1:11" x14ac:dyDescent="0.25">
      <c r="A2405" s="1" t="s">
        <v>19</v>
      </c>
      <c r="B2405" s="2">
        <v>201902</v>
      </c>
      <c r="C2405" s="2">
        <v>202101</v>
      </c>
      <c r="D2405" s="10">
        <v>1347.6634921424654</v>
      </c>
      <c r="E2405" s="10">
        <v>42141.030075260773</v>
      </c>
      <c r="F2405" s="1">
        <v>26</v>
      </c>
      <c r="G2405" s="1">
        <v>501</v>
      </c>
      <c r="H2405">
        <f t="shared" si="111"/>
        <v>2019</v>
      </c>
      <c r="I2405">
        <f t="shared" si="112"/>
        <v>2021</v>
      </c>
      <c r="J2405" s="7">
        <f t="shared" si="113"/>
        <v>43488.693567403236</v>
      </c>
      <c r="K2405" s="7"/>
    </row>
    <row r="2406" spans="1:11" x14ac:dyDescent="0.25">
      <c r="A2406" s="1" t="s">
        <v>19</v>
      </c>
      <c r="B2406" s="2">
        <v>201902</v>
      </c>
      <c r="C2406" s="2">
        <v>202102</v>
      </c>
      <c r="D2406" s="10">
        <v>2027.0846838166392</v>
      </c>
      <c r="E2406" s="10">
        <v>41911.325661035793</v>
      </c>
      <c r="F2406" s="1">
        <v>21</v>
      </c>
      <c r="G2406" s="1">
        <v>412</v>
      </c>
      <c r="H2406">
        <f t="shared" si="111"/>
        <v>2019</v>
      </c>
      <c r="I2406">
        <f t="shared" si="112"/>
        <v>2021</v>
      </c>
      <c r="J2406" s="7">
        <f t="shared" si="113"/>
        <v>43938.410344852433</v>
      </c>
      <c r="K2406" s="7"/>
    </row>
    <row r="2407" spans="1:11" x14ac:dyDescent="0.25">
      <c r="A2407" s="1" t="s">
        <v>19</v>
      </c>
      <c r="B2407" s="2">
        <v>201902</v>
      </c>
      <c r="C2407" s="2">
        <v>202103</v>
      </c>
      <c r="D2407" s="10">
        <v>2002.8947467328178</v>
      </c>
      <c r="E2407" s="10">
        <v>42320.303032227035</v>
      </c>
      <c r="F2407" s="1">
        <v>6</v>
      </c>
      <c r="G2407" s="1">
        <v>327</v>
      </c>
      <c r="H2407">
        <f t="shared" si="111"/>
        <v>2019</v>
      </c>
      <c r="I2407">
        <f t="shared" si="112"/>
        <v>2021</v>
      </c>
      <c r="J2407" s="7">
        <f t="shared" si="113"/>
        <v>44323.197778959853</v>
      </c>
      <c r="K2407" s="7"/>
    </row>
    <row r="2408" spans="1:11" x14ac:dyDescent="0.25">
      <c r="A2408" s="1" t="s">
        <v>19</v>
      </c>
      <c r="B2408" s="2">
        <v>201902</v>
      </c>
      <c r="C2408" s="2">
        <v>202104</v>
      </c>
      <c r="D2408" s="10">
        <v>-3599.8573398826352</v>
      </c>
      <c r="E2408" s="10">
        <v>16254.722964700841</v>
      </c>
      <c r="F2408" s="1">
        <v>14</v>
      </c>
      <c r="G2408" s="1">
        <v>217</v>
      </c>
      <c r="H2408">
        <f t="shared" si="111"/>
        <v>2019</v>
      </c>
      <c r="I2408">
        <f t="shared" si="112"/>
        <v>2021</v>
      </c>
      <c r="J2408" s="7">
        <f t="shared" si="113"/>
        <v>12654.865624818205</v>
      </c>
      <c r="K2408" s="7"/>
    </row>
    <row r="2409" spans="1:11" x14ac:dyDescent="0.25">
      <c r="A2409" s="1" t="s">
        <v>19</v>
      </c>
      <c r="B2409" s="2">
        <v>201903</v>
      </c>
      <c r="C2409" s="2">
        <v>201903</v>
      </c>
      <c r="D2409" s="10">
        <v>841767.23238349496</v>
      </c>
      <c r="E2409" s="10">
        <v>683549.66138224001</v>
      </c>
      <c r="F2409" s="1">
        <v>16338</v>
      </c>
      <c r="G2409" s="1">
        <v>6585</v>
      </c>
      <c r="H2409">
        <f t="shared" si="111"/>
        <v>2019</v>
      </c>
      <c r="I2409">
        <f t="shared" si="112"/>
        <v>2019</v>
      </c>
      <c r="J2409" s="7">
        <f t="shared" si="113"/>
        <v>1525316.893765735</v>
      </c>
      <c r="K2409" s="7"/>
    </row>
    <row r="2410" spans="1:11" x14ac:dyDescent="0.25">
      <c r="A2410" s="1" t="s">
        <v>19</v>
      </c>
      <c r="B2410" s="2">
        <v>201903</v>
      </c>
      <c r="C2410" s="2">
        <v>201904</v>
      </c>
      <c r="D2410" s="10">
        <v>674195.49385221908</v>
      </c>
      <c r="E2410" s="10">
        <v>244565.59968552794</v>
      </c>
      <c r="F2410" s="1">
        <v>3486</v>
      </c>
      <c r="G2410" s="1">
        <v>3171</v>
      </c>
      <c r="H2410">
        <f t="shared" si="111"/>
        <v>2019</v>
      </c>
      <c r="I2410">
        <f t="shared" si="112"/>
        <v>2019</v>
      </c>
      <c r="J2410" s="7">
        <f t="shared" si="113"/>
        <v>918761.09353774705</v>
      </c>
      <c r="K2410" s="7"/>
    </row>
    <row r="2411" spans="1:11" x14ac:dyDescent="0.25">
      <c r="A2411" s="1" t="s">
        <v>19</v>
      </c>
      <c r="B2411" s="2">
        <v>201903</v>
      </c>
      <c r="C2411" s="2">
        <v>202001</v>
      </c>
      <c r="D2411" s="10">
        <v>89781.615546059329</v>
      </c>
      <c r="E2411" s="10">
        <v>167687.75370803077</v>
      </c>
      <c r="F2411" s="1">
        <v>561</v>
      </c>
      <c r="G2411" s="1">
        <v>2188</v>
      </c>
      <c r="H2411">
        <f t="shared" si="111"/>
        <v>2019</v>
      </c>
      <c r="I2411">
        <f t="shared" si="112"/>
        <v>2020</v>
      </c>
      <c r="J2411" s="7">
        <f t="shared" si="113"/>
        <v>257469.3692540901</v>
      </c>
      <c r="K2411" s="7"/>
    </row>
    <row r="2412" spans="1:11" x14ac:dyDescent="0.25">
      <c r="A2412" s="1" t="s">
        <v>19</v>
      </c>
      <c r="B2412" s="2">
        <v>201903</v>
      </c>
      <c r="C2412" s="2">
        <v>202002</v>
      </c>
      <c r="D2412" s="10">
        <v>31725.358146807477</v>
      </c>
      <c r="E2412" s="10">
        <v>135954.59110414502</v>
      </c>
      <c r="F2412" s="1">
        <v>202</v>
      </c>
      <c r="G2412" s="1">
        <v>1749</v>
      </c>
      <c r="H2412">
        <f t="shared" si="111"/>
        <v>2019</v>
      </c>
      <c r="I2412">
        <f t="shared" si="112"/>
        <v>2020</v>
      </c>
      <c r="J2412" s="7">
        <f t="shared" si="113"/>
        <v>167679.94925095249</v>
      </c>
      <c r="K2412" s="7"/>
    </row>
    <row r="2413" spans="1:11" x14ac:dyDescent="0.25">
      <c r="A2413" s="1" t="s">
        <v>19</v>
      </c>
      <c r="B2413" s="2">
        <v>201903</v>
      </c>
      <c r="C2413" s="2">
        <v>202003</v>
      </c>
      <c r="D2413" s="10">
        <v>14261.402644381167</v>
      </c>
      <c r="E2413" s="10">
        <v>90939.594871310226</v>
      </c>
      <c r="F2413" s="1">
        <v>81</v>
      </c>
      <c r="G2413" s="1">
        <v>1125</v>
      </c>
      <c r="H2413">
        <f t="shared" si="111"/>
        <v>2019</v>
      </c>
      <c r="I2413">
        <f t="shared" si="112"/>
        <v>2020</v>
      </c>
      <c r="J2413" s="7">
        <f t="shared" si="113"/>
        <v>105200.99751569139</v>
      </c>
      <c r="K2413" s="7"/>
    </row>
    <row r="2414" spans="1:11" x14ac:dyDescent="0.25">
      <c r="A2414" s="1" t="s">
        <v>19</v>
      </c>
      <c r="B2414" s="2">
        <v>201903</v>
      </c>
      <c r="C2414" s="2">
        <v>202004</v>
      </c>
      <c r="D2414" s="10">
        <v>12604.499498047209</v>
      </c>
      <c r="E2414" s="10">
        <v>62509.776488369615</v>
      </c>
      <c r="F2414" s="1">
        <v>43</v>
      </c>
      <c r="G2414" s="1">
        <v>735</v>
      </c>
      <c r="H2414">
        <f t="shared" si="111"/>
        <v>2019</v>
      </c>
      <c r="I2414">
        <f t="shared" si="112"/>
        <v>2020</v>
      </c>
      <c r="J2414" s="7">
        <f t="shared" si="113"/>
        <v>75114.275986416818</v>
      </c>
      <c r="K2414" s="7"/>
    </row>
    <row r="2415" spans="1:11" x14ac:dyDescent="0.25">
      <c r="A2415" s="1" t="s">
        <v>19</v>
      </c>
      <c r="B2415" s="2">
        <v>201903</v>
      </c>
      <c r="C2415" s="2">
        <v>202101</v>
      </c>
      <c r="D2415" s="10">
        <v>5321.4149591467039</v>
      </c>
      <c r="E2415" s="10">
        <v>62084.975216187413</v>
      </c>
      <c r="F2415" s="1">
        <v>28</v>
      </c>
      <c r="G2415" s="1">
        <v>552</v>
      </c>
      <c r="H2415">
        <f t="shared" si="111"/>
        <v>2019</v>
      </c>
      <c r="I2415">
        <f t="shared" si="112"/>
        <v>2021</v>
      </c>
      <c r="J2415" s="7">
        <f t="shared" si="113"/>
        <v>67406.39017533412</v>
      </c>
      <c r="K2415" s="7"/>
    </row>
    <row r="2416" spans="1:11" x14ac:dyDescent="0.25">
      <c r="A2416" s="1" t="s">
        <v>19</v>
      </c>
      <c r="B2416" s="2">
        <v>201903</v>
      </c>
      <c r="C2416" s="2">
        <v>202102</v>
      </c>
      <c r="D2416" s="10">
        <v>409.69441603983245</v>
      </c>
      <c r="E2416" s="10">
        <v>61820.19546676075</v>
      </c>
      <c r="F2416" s="1">
        <v>16</v>
      </c>
      <c r="G2416" s="1">
        <v>465</v>
      </c>
      <c r="H2416">
        <f t="shared" si="111"/>
        <v>2019</v>
      </c>
      <c r="I2416">
        <f t="shared" si="112"/>
        <v>2021</v>
      </c>
      <c r="J2416" s="7">
        <f t="shared" si="113"/>
        <v>62229.889882800584</v>
      </c>
      <c r="K2416" s="7"/>
    </row>
    <row r="2417" spans="1:11" x14ac:dyDescent="0.25">
      <c r="A2417" s="1" t="s">
        <v>19</v>
      </c>
      <c r="B2417" s="2">
        <v>201903</v>
      </c>
      <c r="C2417" s="2">
        <v>202103</v>
      </c>
      <c r="D2417" s="10">
        <v>1968.8270557986473</v>
      </c>
      <c r="E2417" s="10">
        <v>62009.215708049982</v>
      </c>
      <c r="F2417" s="1">
        <v>17</v>
      </c>
      <c r="G2417" s="1">
        <v>392</v>
      </c>
      <c r="H2417">
        <f t="shared" si="111"/>
        <v>2019</v>
      </c>
      <c r="I2417">
        <f t="shared" si="112"/>
        <v>2021</v>
      </c>
      <c r="J2417" s="7">
        <f t="shared" si="113"/>
        <v>63978.042763848629</v>
      </c>
      <c r="K2417" s="7"/>
    </row>
    <row r="2418" spans="1:11" x14ac:dyDescent="0.25">
      <c r="A2418" s="1" t="s">
        <v>19</v>
      </c>
      <c r="B2418" s="2">
        <v>201903</v>
      </c>
      <c r="C2418" s="2">
        <v>202104</v>
      </c>
      <c r="D2418" s="10">
        <v>3193.7964302018763</v>
      </c>
      <c r="E2418" s="10">
        <v>27084.02740561296</v>
      </c>
      <c r="F2418" s="1">
        <v>23</v>
      </c>
      <c r="G2418" s="1">
        <v>265</v>
      </c>
      <c r="H2418">
        <f t="shared" si="111"/>
        <v>2019</v>
      </c>
      <c r="I2418">
        <f t="shared" si="112"/>
        <v>2021</v>
      </c>
      <c r="J2418" s="7">
        <f t="shared" si="113"/>
        <v>30277.823835814837</v>
      </c>
      <c r="K2418" s="7"/>
    </row>
    <row r="2419" spans="1:11" x14ac:dyDescent="0.25">
      <c r="A2419" s="1" t="s">
        <v>19</v>
      </c>
      <c r="B2419" s="2">
        <v>201904</v>
      </c>
      <c r="C2419" s="2">
        <v>201904</v>
      </c>
      <c r="D2419" s="10">
        <v>705607.12802448426</v>
      </c>
      <c r="E2419" s="10">
        <v>669207.60990574036</v>
      </c>
      <c r="F2419" s="1">
        <v>14398</v>
      </c>
      <c r="G2419" s="1">
        <v>6065</v>
      </c>
      <c r="H2419">
        <f t="shared" si="111"/>
        <v>2019</v>
      </c>
      <c r="I2419">
        <f t="shared" si="112"/>
        <v>2019</v>
      </c>
      <c r="J2419" s="7">
        <f t="shared" si="113"/>
        <v>1374814.7379302247</v>
      </c>
      <c r="K2419" s="7"/>
    </row>
    <row r="2420" spans="1:11" x14ac:dyDescent="0.25">
      <c r="A2420" s="1" t="s">
        <v>19</v>
      </c>
      <c r="B2420" s="2">
        <v>201904</v>
      </c>
      <c r="C2420" s="2">
        <v>202001</v>
      </c>
      <c r="D2420" s="10">
        <v>681538.77430503548</v>
      </c>
      <c r="E2420" s="10">
        <v>204674.01143973751</v>
      </c>
      <c r="F2420" s="1">
        <v>3638</v>
      </c>
      <c r="G2420" s="1">
        <v>2704</v>
      </c>
      <c r="H2420">
        <f t="shared" si="111"/>
        <v>2019</v>
      </c>
      <c r="I2420">
        <f t="shared" si="112"/>
        <v>2020</v>
      </c>
      <c r="J2420" s="7">
        <f t="shared" si="113"/>
        <v>886212.78574477299</v>
      </c>
      <c r="K2420" s="7"/>
    </row>
    <row r="2421" spans="1:11" x14ac:dyDescent="0.25">
      <c r="A2421" s="1" t="s">
        <v>19</v>
      </c>
      <c r="B2421" s="2">
        <v>201904</v>
      </c>
      <c r="C2421" s="2">
        <v>202002</v>
      </c>
      <c r="D2421" s="10">
        <v>77821.199010533688</v>
      </c>
      <c r="E2421" s="10">
        <v>139287.53970469165</v>
      </c>
      <c r="F2421" s="1">
        <v>587</v>
      </c>
      <c r="G2421" s="1">
        <v>1912</v>
      </c>
      <c r="H2421">
        <f t="shared" si="111"/>
        <v>2019</v>
      </c>
      <c r="I2421">
        <f t="shared" si="112"/>
        <v>2020</v>
      </c>
      <c r="J2421" s="7">
        <f t="shared" si="113"/>
        <v>217108.73871522534</v>
      </c>
      <c r="K2421" s="7"/>
    </row>
    <row r="2422" spans="1:11" x14ac:dyDescent="0.25">
      <c r="A2422" s="1" t="s">
        <v>19</v>
      </c>
      <c r="B2422" s="2">
        <v>201904</v>
      </c>
      <c r="C2422" s="2">
        <v>202003</v>
      </c>
      <c r="D2422" s="10">
        <v>23680.8686972084</v>
      </c>
      <c r="E2422" s="10">
        <v>111583.86926319702</v>
      </c>
      <c r="F2422" s="1">
        <v>174</v>
      </c>
      <c r="G2422" s="1">
        <v>1459</v>
      </c>
      <c r="H2422">
        <f t="shared" si="111"/>
        <v>2019</v>
      </c>
      <c r="I2422">
        <f t="shared" si="112"/>
        <v>2020</v>
      </c>
      <c r="J2422" s="7">
        <f t="shared" si="113"/>
        <v>135264.73796040541</v>
      </c>
      <c r="K2422" s="7"/>
    </row>
    <row r="2423" spans="1:11" x14ac:dyDescent="0.25">
      <c r="A2423" s="1" t="s">
        <v>19</v>
      </c>
      <c r="B2423" s="2">
        <v>201904</v>
      </c>
      <c r="C2423" s="2">
        <v>202004</v>
      </c>
      <c r="D2423" s="10">
        <v>13447.69271239137</v>
      </c>
      <c r="E2423" s="10">
        <v>66897.233344929409</v>
      </c>
      <c r="F2423" s="1">
        <v>84</v>
      </c>
      <c r="G2423" s="1">
        <v>914</v>
      </c>
      <c r="H2423">
        <f t="shared" si="111"/>
        <v>2019</v>
      </c>
      <c r="I2423">
        <f t="shared" si="112"/>
        <v>2020</v>
      </c>
      <c r="J2423" s="7">
        <f t="shared" si="113"/>
        <v>80344.926057320787</v>
      </c>
      <c r="K2423" s="7"/>
    </row>
    <row r="2424" spans="1:11" x14ac:dyDescent="0.25">
      <c r="A2424" s="1" t="s">
        <v>19</v>
      </c>
      <c r="B2424" s="2">
        <v>201904</v>
      </c>
      <c r="C2424" s="2">
        <v>202101</v>
      </c>
      <c r="D2424" s="10">
        <v>3326.4167548729229</v>
      </c>
      <c r="E2424" s="10">
        <v>65885.482960714653</v>
      </c>
      <c r="F2424" s="1">
        <v>31</v>
      </c>
      <c r="G2424" s="1">
        <v>612</v>
      </c>
      <c r="H2424">
        <f t="shared" si="111"/>
        <v>2019</v>
      </c>
      <c r="I2424">
        <f t="shared" si="112"/>
        <v>2021</v>
      </c>
      <c r="J2424" s="7">
        <f t="shared" si="113"/>
        <v>69211.89971558757</v>
      </c>
      <c r="K2424" s="7"/>
    </row>
    <row r="2425" spans="1:11" x14ac:dyDescent="0.25">
      <c r="A2425" s="1" t="s">
        <v>19</v>
      </c>
      <c r="B2425" s="2">
        <v>201904</v>
      </c>
      <c r="C2425" s="2">
        <v>202102</v>
      </c>
      <c r="D2425" s="10">
        <v>832.05480063980951</v>
      </c>
      <c r="E2425" s="10">
        <v>64818.431602273318</v>
      </c>
      <c r="F2425" s="1">
        <v>23</v>
      </c>
      <c r="G2425" s="1">
        <v>468</v>
      </c>
      <c r="H2425">
        <f t="shared" si="111"/>
        <v>2019</v>
      </c>
      <c r="I2425">
        <f t="shared" si="112"/>
        <v>2021</v>
      </c>
      <c r="J2425" s="7">
        <f t="shared" si="113"/>
        <v>65650.486402913128</v>
      </c>
      <c r="K2425" s="7"/>
    </row>
    <row r="2426" spans="1:11" x14ac:dyDescent="0.25">
      <c r="A2426" s="1" t="s">
        <v>19</v>
      </c>
      <c r="B2426" s="2">
        <v>201904</v>
      </c>
      <c r="C2426" s="2">
        <v>202103</v>
      </c>
      <c r="D2426" s="10">
        <v>2377.5263911364586</v>
      </c>
      <c r="E2426" s="10">
        <v>64228.401470245575</v>
      </c>
      <c r="F2426" s="1">
        <v>19</v>
      </c>
      <c r="G2426" s="1">
        <v>388</v>
      </c>
      <c r="H2426">
        <f t="shared" si="111"/>
        <v>2019</v>
      </c>
      <c r="I2426">
        <f t="shared" si="112"/>
        <v>2021</v>
      </c>
      <c r="J2426" s="7">
        <f t="shared" si="113"/>
        <v>66605.927861382035</v>
      </c>
      <c r="K2426" s="7"/>
    </row>
    <row r="2427" spans="1:11" x14ac:dyDescent="0.25">
      <c r="A2427" s="1" t="s">
        <v>19</v>
      </c>
      <c r="B2427" s="2">
        <v>201904</v>
      </c>
      <c r="C2427" s="2">
        <v>202104</v>
      </c>
      <c r="D2427" s="10">
        <v>2649.4985888801166</v>
      </c>
      <c r="E2427" s="10">
        <v>20397.21340891263</v>
      </c>
      <c r="F2427" s="1">
        <v>21</v>
      </c>
      <c r="G2427" s="1">
        <v>246</v>
      </c>
      <c r="H2427">
        <f t="shared" si="111"/>
        <v>2019</v>
      </c>
      <c r="I2427">
        <f t="shared" si="112"/>
        <v>2021</v>
      </c>
      <c r="J2427" s="7">
        <f t="shared" si="113"/>
        <v>23046.711997792747</v>
      </c>
      <c r="K2427" s="7"/>
    </row>
    <row r="2428" spans="1:11" x14ac:dyDescent="0.25">
      <c r="A2428" s="1" t="s">
        <v>19</v>
      </c>
      <c r="B2428" s="2">
        <v>202001</v>
      </c>
      <c r="C2428" s="2">
        <v>202001</v>
      </c>
      <c r="D2428" s="10">
        <v>885683.34948072571</v>
      </c>
      <c r="E2428" s="10">
        <v>572441.80100143363</v>
      </c>
      <c r="F2428" s="1">
        <v>16937</v>
      </c>
      <c r="G2428" s="1">
        <v>5869</v>
      </c>
      <c r="H2428">
        <f t="shared" si="111"/>
        <v>2020</v>
      </c>
      <c r="I2428">
        <f t="shared" si="112"/>
        <v>2020</v>
      </c>
      <c r="J2428" s="7">
        <f t="shared" si="113"/>
        <v>1458125.1504821593</v>
      </c>
      <c r="K2428" s="7"/>
    </row>
    <row r="2429" spans="1:11" x14ac:dyDescent="0.25">
      <c r="A2429" s="1" t="s">
        <v>19</v>
      </c>
      <c r="B2429" s="2">
        <v>202001</v>
      </c>
      <c r="C2429" s="2">
        <v>202002</v>
      </c>
      <c r="D2429" s="10">
        <v>763885.66637108556</v>
      </c>
      <c r="E2429" s="10">
        <v>254142.59861057287</v>
      </c>
      <c r="F2429" s="1">
        <v>4706</v>
      </c>
      <c r="G2429" s="1">
        <v>2905</v>
      </c>
      <c r="H2429">
        <f t="shared" si="111"/>
        <v>2020</v>
      </c>
      <c r="I2429">
        <f t="shared" si="112"/>
        <v>2020</v>
      </c>
      <c r="J2429" s="7">
        <f t="shared" si="113"/>
        <v>1018028.2649816584</v>
      </c>
      <c r="K2429" s="7"/>
    </row>
    <row r="2430" spans="1:11" x14ac:dyDescent="0.25">
      <c r="A2430" s="1" t="s">
        <v>19</v>
      </c>
      <c r="B2430" s="2">
        <v>202001</v>
      </c>
      <c r="C2430" s="2">
        <v>202003</v>
      </c>
      <c r="D2430" s="10">
        <v>231570.9960006678</v>
      </c>
      <c r="E2430" s="10">
        <v>201877.94252288016</v>
      </c>
      <c r="F2430" s="1">
        <v>677</v>
      </c>
      <c r="G2430" s="1">
        <v>2024</v>
      </c>
      <c r="H2430">
        <f t="shared" si="111"/>
        <v>2020</v>
      </c>
      <c r="I2430">
        <f t="shared" si="112"/>
        <v>2020</v>
      </c>
      <c r="J2430" s="7">
        <f t="shared" si="113"/>
        <v>433448.93852354796</v>
      </c>
      <c r="K2430" s="7"/>
    </row>
    <row r="2431" spans="1:11" x14ac:dyDescent="0.25">
      <c r="A2431" s="1" t="s">
        <v>19</v>
      </c>
      <c r="B2431" s="2">
        <v>202001</v>
      </c>
      <c r="C2431" s="2">
        <v>202004</v>
      </c>
      <c r="D2431" s="10">
        <v>233406.39880597393</v>
      </c>
      <c r="E2431" s="10">
        <v>145743.75698975011</v>
      </c>
      <c r="F2431" s="1">
        <v>245</v>
      </c>
      <c r="G2431" s="1">
        <v>1613</v>
      </c>
      <c r="H2431">
        <f t="shared" si="111"/>
        <v>2020</v>
      </c>
      <c r="I2431">
        <f t="shared" si="112"/>
        <v>2020</v>
      </c>
      <c r="J2431" s="7">
        <f t="shared" si="113"/>
        <v>379150.15579572401</v>
      </c>
      <c r="K2431" s="7"/>
    </row>
    <row r="2432" spans="1:11" x14ac:dyDescent="0.25">
      <c r="A2432" s="1" t="s">
        <v>19</v>
      </c>
      <c r="B2432" s="2">
        <v>202001</v>
      </c>
      <c r="C2432" s="2">
        <v>202101</v>
      </c>
      <c r="D2432" s="10">
        <v>89964.214740058218</v>
      </c>
      <c r="E2432" s="10">
        <v>145112.00231810383</v>
      </c>
      <c r="F2432" s="1">
        <v>240</v>
      </c>
      <c r="G2432" s="1">
        <v>1095</v>
      </c>
      <c r="H2432">
        <f t="shared" si="111"/>
        <v>2020</v>
      </c>
      <c r="I2432">
        <f t="shared" si="112"/>
        <v>2021</v>
      </c>
      <c r="J2432" s="7">
        <f t="shared" si="113"/>
        <v>235076.21705816203</v>
      </c>
      <c r="K2432" s="7"/>
    </row>
    <row r="2433" spans="1:11" x14ac:dyDescent="0.25">
      <c r="A2433" s="1" t="s">
        <v>19</v>
      </c>
      <c r="B2433" s="2">
        <v>202001</v>
      </c>
      <c r="C2433" s="2">
        <v>202102</v>
      </c>
      <c r="D2433" s="10">
        <v>17599.95898889286</v>
      </c>
      <c r="E2433" s="10">
        <v>145171.88701495485</v>
      </c>
      <c r="F2433" s="1">
        <v>61</v>
      </c>
      <c r="G2433" s="1">
        <v>754</v>
      </c>
      <c r="H2433">
        <f t="shared" si="111"/>
        <v>2020</v>
      </c>
      <c r="I2433">
        <f t="shared" si="112"/>
        <v>2021</v>
      </c>
      <c r="J2433" s="7">
        <f t="shared" si="113"/>
        <v>162771.84600384772</v>
      </c>
      <c r="K2433" s="7"/>
    </row>
    <row r="2434" spans="1:11" x14ac:dyDescent="0.25">
      <c r="A2434" s="1" t="s">
        <v>19</v>
      </c>
      <c r="B2434" s="2">
        <v>202001</v>
      </c>
      <c r="C2434" s="2">
        <v>202103</v>
      </c>
      <c r="D2434" s="10">
        <v>8176.2582520927208</v>
      </c>
      <c r="E2434" s="10">
        <v>145316.86614468545</v>
      </c>
      <c r="F2434" s="1">
        <v>17</v>
      </c>
      <c r="G2434" s="1">
        <v>566</v>
      </c>
      <c r="H2434">
        <f t="shared" si="111"/>
        <v>2020</v>
      </c>
      <c r="I2434">
        <f t="shared" si="112"/>
        <v>2021</v>
      </c>
      <c r="J2434" s="7">
        <f t="shared" si="113"/>
        <v>153493.12439677818</v>
      </c>
      <c r="K2434" s="7"/>
    </row>
    <row r="2435" spans="1:11" x14ac:dyDescent="0.25">
      <c r="A2435" s="1" t="s">
        <v>19</v>
      </c>
      <c r="B2435" s="2">
        <v>202001</v>
      </c>
      <c r="C2435" s="2">
        <v>202104</v>
      </c>
      <c r="D2435" s="10">
        <v>7463.3643855991804</v>
      </c>
      <c r="E2435" s="10">
        <v>23601.883036296324</v>
      </c>
      <c r="F2435" s="1">
        <v>21</v>
      </c>
      <c r="G2435" s="1">
        <v>349</v>
      </c>
      <c r="H2435">
        <f t="shared" si="111"/>
        <v>2020</v>
      </c>
      <c r="I2435">
        <f t="shared" si="112"/>
        <v>2021</v>
      </c>
      <c r="J2435" s="7">
        <f t="shared" si="113"/>
        <v>31065.247421895503</v>
      </c>
      <c r="K2435" s="7"/>
    </row>
    <row r="2436" spans="1:11" x14ac:dyDescent="0.25">
      <c r="A2436" s="1" t="s">
        <v>19</v>
      </c>
      <c r="B2436" s="2">
        <v>202002</v>
      </c>
      <c r="C2436" s="2">
        <v>202002</v>
      </c>
      <c r="D2436" s="10">
        <v>798650.6356190301</v>
      </c>
      <c r="E2436" s="10">
        <v>751830.5391060171</v>
      </c>
      <c r="F2436" s="1">
        <v>18498</v>
      </c>
      <c r="G2436" s="1">
        <v>7357</v>
      </c>
      <c r="H2436">
        <f t="shared" ref="H2436:H2463" si="114">VALUE(LEFT(B2436,4))</f>
        <v>2020</v>
      </c>
      <c r="I2436">
        <f t="shared" ref="I2436:I2463" si="115">VALUE(LEFT(C2436,4))</f>
        <v>2020</v>
      </c>
      <c r="J2436" s="7">
        <f t="shared" si="113"/>
        <v>1550481.1747250473</v>
      </c>
      <c r="K2436" s="7"/>
    </row>
    <row r="2437" spans="1:11" x14ac:dyDescent="0.25">
      <c r="A2437" s="1" t="s">
        <v>19</v>
      </c>
      <c r="B2437" s="2">
        <v>202002</v>
      </c>
      <c r="C2437" s="2">
        <v>202003</v>
      </c>
      <c r="D2437" s="10">
        <v>850827.60954215855</v>
      </c>
      <c r="E2437" s="10">
        <v>268971.35346455441</v>
      </c>
      <c r="F2437" s="1">
        <v>4366</v>
      </c>
      <c r="G2437" s="1">
        <v>3519</v>
      </c>
      <c r="H2437">
        <f t="shared" si="114"/>
        <v>2020</v>
      </c>
      <c r="I2437">
        <f t="shared" si="115"/>
        <v>2020</v>
      </c>
      <c r="J2437" s="7">
        <f t="shared" ref="J2437:J2463" si="116">D2437+E2437</f>
        <v>1119798.963006713</v>
      </c>
      <c r="K2437" s="7"/>
    </row>
    <row r="2438" spans="1:11" x14ac:dyDescent="0.25">
      <c r="A2438" s="1" t="s">
        <v>19</v>
      </c>
      <c r="B2438" s="2">
        <v>202002</v>
      </c>
      <c r="C2438" s="2">
        <v>202004</v>
      </c>
      <c r="D2438" s="10">
        <v>154501.91700180143</v>
      </c>
      <c r="E2438" s="10">
        <v>160097.03825054836</v>
      </c>
      <c r="F2438" s="1">
        <v>656</v>
      </c>
      <c r="G2438" s="1">
        <v>2312</v>
      </c>
      <c r="H2438">
        <f t="shared" si="114"/>
        <v>2020</v>
      </c>
      <c r="I2438">
        <f t="shared" si="115"/>
        <v>2020</v>
      </c>
      <c r="J2438" s="7">
        <f t="shared" si="116"/>
        <v>314598.95525234978</v>
      </c>
      <c r="K2438" s="7"/>
    </row>
    <row r="2439" spans="1:11" x14ac:dyDescent="0.25">
      <c r="A2439" s="1" t="s">
        <v>19</v>
      </c>
      <c r="B2439" s="2">
        <v>202002</v>
      </c>
      <c r="C2439" s="2">
        <v>202101</v>
      </c>
      <c r="D2439" s="10">
        <v>27551.982639807546</v>
      </c>
      <c r="E2439" s="10">
        <v>161983.85938269811</v>
      </c>
      <c r="F2439" s="1">
        <v>197</v>
      </c>
      <c r="G2439" s="1">
        <v>1805</v>
      </c>
      <c r="H2439">
        <f t="shared" si="114"/>
        <v>2020</v>
      </c>
      <c r="I2439">
        <f t="shared" si="115"/>
        <v>2021</v>
      </c>
      <c r="J2439" s="7">
        <f t="shared" si="116"/>
        <v>189535.84202250565</v>
      </c>
      <c r="K2439" s="7"/>
    </row>
    <row r="2440" spans="1:11" x14ac:dyDescent="0.25">
      <c r="A2440" s="1" t="s">
        <v>19</v>
      </c>
      <c r="B2440" s="2">
        <v>202002</v>
      </c>
      <c r="C2440" s="2">
        <v>202102</v>
      </c>
      <c r="D2440" s="10">
        <v>23467.979676312665</v>
      </c>
      <c r="E2440" s="10">
        <v>158961.31407176651</v>
      </c>
      <c r="F2440" s="1">
        <v>151</v>
      </c>
      <c r="G2440" s="1">
        <v>1217</v>
      </c>
      <c r="H2440">
        <f t="shared" si="114"/>
        <v>2020</v>
      </c>
      <c r="I2440">
        <f t="shared" si="115"/>
        <v>2021</v>
      </c>
      <c r="J2440" s="7">
        <f t="shared" si="116"/>
        <v>182429.29374807916</v>
      </c>
      <c r="K2440" s="7"/>
    </row>
    <row r="2441" spans="1:11" x14ac:dyDescent="0.25">
      <c r="A2441" s="1" t="s">
        <v>19</v>
      </c>
      <c r="B2441" s="2">
        <v>202002</v>
      </c>
      <c r="C2441" s="2">
        <v>202103</v>
      </c>
      <c r="D2441" s="10">
        <v>6046.2700685878744</v>
      </c>
      <c r="E2441" s="10">
        <v>158621.0425435619</v>
      </c>
      <c r="F2441" s="1">
        <v>52</v>
      </c>
      <c r="G2441" s="1">
        <v>840</v>
      </c>
      <c r="H2441">
        <f t="shared" si="114"/>
        <v>2020</v>
      </c>
      <c r="I2441">
        <f t="shared" si="115"/>
        <v>2021</v>
      </c>
      <c r="J2441" s="7">
        <f t="shared" si="116"/>
        <v>164667.31261214978</v>
      </c>
      <c r="K2441" s="7"/>
    </row>
    <row r="2442" spans="1:11" x14ac:dyDescent="0.25">
      <c r="A2442" s="1" t="s">
        <v>19</v>
      </c>
      <c r="B2442" s="2">
        <v>202002</v>
      </c>
      <c r="C2442" s="2">
        <v>202104</v>
      </c>
      <c r="D2442" s="10">
        <v>5807.6106949267742</v>
      </c>
      <c r="E2442" s="10">
        <v>36006.12085216392</v>
      </c>
      <c r="F2442" s="1">
        <v>37</v>
      </c>
      <c r="G2442" s="1">
        <v>481</v>
      </c>
      <c r="H2442">
        <f t="shared" si="114"/>
        <v>2020</v>
      </c>
      <c r="I2442">
        <f t="shared" si="115"/>
        <v>2021</v>
      </c>
      <c r="J2442" s="7">
        <f t="shared" si="116"/>
        <v>41813.731547090691</v>
      </c>
      <c r="K2442" s="7"/>
    </row>
    <row r="2443" spans="1:11" x14ac:dyDescent="0.25">
      <c r="A2443" s="1" t="s">
        <v>19</v>
      </c>
      <c r="B2443" s="2">
        <v>202003</v>
      </c>
      <c r="C2443" s="2">
        <v>202003</v>
      </c>
      <c r="D2443" s="10">
        <v>1097830.7935410626</v>
      </c>
      <c r="E2443" s="10">
        <v>923074.52763559681</v>
      </c>
      <c r="F2443" s="1">
        <v>19054</v>
      </c>
      <c r="G2443" s="1">
        <v>7877</v>
      </c>
      <c r="H2443">
        <f t="shared" si="114"/>
        <v>2020</v>
      </c>
      <c r="I2443">
        <f t="shared" si="115"/>
        <v>2020</v>
      </c>
      <c r="J2443" s="7">
        <f t="shared" si="116"/>
        <v>2020905.3211766593</v>
      </c>
      <c r="K2443" s="7"/>
    </row>
    <row r="2444" spans="1:11" x14ac:dyDescent="0.25">
      <c r="A2444" s="1" t="s">
        <v>19</v>
      </c>
      <c r="B2444" s="2">
        <v>202003</v>
      </c>
      <c r="C2444" s="2">
        <v>202004</v>
      </c>
      <c r="D2444" s="10">
        <v>966288.28367179388</v>
      </c>
      <c r="E2444" s="10">
        <v>314817.68244195264</v>
      </c>
      <c r="F2444" s="1">
        <v>3878</v>
      </c>
      <c r="G2444" s="1">
        <v>3515</v>
      </c>
      <c r="H2444">
        <f t="shared" si="114"/>
        <v>2020</v>
      </c>
      <c r="I2444">
        <f t="shared" si="115"/>
        <v>2020</v>
      </c>
      <c r="J2444" s="7">
        <f t="shared" si="116"/>
        <v>1281105.9661137466</v>
      </c>
      <c r="K2444" s="7"/>
    </row>
    <row r="2445" spans="1:11" x14ac:dyDescent="0.25">
      <c r="A2445" s="1" t="s">
        <v>19</v>
      </c>
      <c r="B2445" s="2">
        <v>202003</v>
      </c>
      <c r="C2445" s="2">
        <v>202101</v>
      </c>
      <c r="D2445" s="10">
        <v>140700.84118183565</v>
      </c>
      <c r="E2445" s="10">
        <v>310818.31554854388</v>
      </c>
      <c r="F2445" s="1">
        <v>534</v>
      </c>
      <c r="G2445" s="1">
        <v>2361</v>
      </c>
      <c r="H2445">
        <f t="shared" si="114"/>
        <v>2020</v>
      </c>
      <c r="I2445">
        <f t="shared" si="115"/>
        <v>2021</v>
      </c>
      <c r="J2445" s="7">
        <f t="shared" si="116"/>
        <v>451519.15673037956</v>
      </c>
      <c r="K2445" s="7"/>
    </row>
    <row r="2446" spans="1:11" x14ac:dyDescent="0.25">
      <c r="A2446" s="1" t="s">
        <v>19</v>
      </c>
      <c r="B2446" s="2">
        <v>202003</v>
      </c>
      <c r="C2446" s="2">
        <v>202102</v>
      </c>
      <c r="D2446" s="10">
        <v>53156.343934486198</v>
      </c>
      <c r="E2446" s="10">
        <v>308384.09186350461</v>
      </c>
      <c r="F2446" s="1">
        <v>287</v>
      </c>
      <c r="G2446" s="1">
        <v>1912</v>
      </c>
      <c r="H2446">
        <f t="shared" si="114"/>
        <v>2020</v>
      </c>
      <c r="I2446">
        <f t="shared" si="115"/>
        <v>2021</v>
      </c>
      <c r="J2446" s="7">
        <f t="shared" si="116"/>
        <v>361540.43579799082</v>
      </c>
      <c r="K2446" s="7"/>
    </row>
    <row r="2447" spans="1:11" x14ac:dyDescent="0.25">
      <c r="A2447" s="1" t="s">
        <v>19</v>
      </c>
      <c r="B2447" s="2">
        <v>202003</v>
      </c>
      <c r="C2447" s="2">
        <v>202103</v>
      </c>
      <c r="D2447" s="10">
        <v>26170.391115430448</v>
      </c>
      <c r="E2447" s="10">
        <v>306462.48130060226</v>
      </c>
      <c r="F2447" s="1">
        <v>122</v>
      </c>
      <c r="G2447" s="1">
        <v>1293</v>
      </c>
      <c r="H2447">
        <f t="shared" si="114"/>
        <v>2020</v>
      </c>
      <c r="I2447">
        <f t="shared" si="115"/>
        <v>2021</v>
      </c>
      <c r="J2447" s="7">
        <f t="shared" si="116"/>
        <v>332632.87241603271</v>
      </c>
      <c r="K2447" s="7"/>
    </row>
    <row r="2448" spans="1:11" x14ac:dyDescent="0.25">
      <c r="A2448" s="1" t="s">
        <v>19</v>
      </c>
      <c r="B2448" s="2">
        <v>202003</v>
      </c>
      <c r="C2448" s="2">
        <v>202104</v>
      </c>
      <c r="D2448" s="10">
        <v>10039.385156823451</v>
      </c>
      <c r="E2448" s="10">
        <v>73471.39929152235</v>
      </c>
      <c r="F2448" s="1">
        <v>56</v>
      </c>
      <c r="G2448" s="1">
        <v>680</v>
      </c>
      <c r="H2448">
        <f t="shared" si="114"/>
        <v>2020</v>
      </c>
      <c r="I2448">
        <f t="shared" si="115"/>
        <v>2021</v>
      </c>
      <c r="J2448" s="7">
        <f t="shared" si="116"/>
        <v>83510.784448345803</v>
      </c>
      <c r="K2448" s="7"/>
    </row>
    <row r="2449" spans="1:11" x14ac:dyDescent="0.25">
      <c r="A2449" s="1" t="s">
        <v>19</v>
      </c>
      <c r="B2449" s="2">
        <v>202004</v>
      </c>
      <c r="C2449" s="2">
        <v>202004</v>
      </c>
      <c r="D2449" s="10">
        <v>752432.41848990833</v>
      </c>
      <c r="E2449" s="10">
        <v>629382.57416685927</v>
      </c>
      <c r="F2449" s="1">
        <v>14981</v>
      </c>
      <c r="G2449" s="1">
        <v>5877</v>
      </c>
      <c r="H2449">
        <f t="shared" si="114"/>
        <v>2020</v>
      </c>
      <c r="I2449">
        <f t="shared" si="115"/>
        <v>2020</v>
      </c>
      <c r="J2449" s="7">
        <f t="shared" si="116"/>
        <v>1381814.9926567676</v>
      </c>
      <c r="K2449" s="7"/>
    </row>
    <row r="2450" spans="1:11" x14ac:dyDescent="0.25">
      <c r="A2450" s="1" t="s">
        <v>19</v>
      </c>
      <c r="B2450" s="2">
        <v>202004</v>
      </c>
      <c r="C2450" s="2">
        <v>202101</v>
      </c>
      <c r="D2450" s="10">
        <v>685811.0101197121</v>
      </c>
      <c r="E2450" s="10">
        <v>639477.0696823186</v>
      </c>
      <c r="F2450" s="1">
        <v>3911</v>
      </c>
      <c r="G2450" s="1">
        <v>2824</v>
      </c>
      <c r="H2450">
        <f t="shared" si="114"/>
        <v>2020</v>
      </c>
      <c r="I2450">
        <f t="shared" si="115"/>
        <v>2021</v>
      </c>
      <c r="J2450" s="7">
        <f t="shared" si="116"/>
        <v>1325288.0798020307</v>
      </c>
      <c r="K2450" s="7"/>
    </row>
    <row r="2451" spans="1:11" x14ac:dyDescent="0.25">
      <c r="A2451" s="1" t="s">
        <v>19</v>
      </c>
      <c r="B2451" s="2">
        <v>202004</v>
      </c>
      <c r="C2451" s="2">
        <v>202102</v>
      </c>
      <c r="D2451" s="10">
        <v>89986.700963362891</v>
      </c>
      <c r="E2451" s="10">
        <v>626345.64422419283</v>
      </c>
      <c r="F2451" s="1">
        <v>640</v>
      </c>
      <c r="G2451" s="1">
        <v>1981</v>
      </c>
      <c r="H2451">
        <f t="shared" si="114"/>
        <v>2020</v>
      </c>
      <c r="I2451">
        <f t="shared" si="115"/>
        <v>2021</v>
      </c>
      <c r="J2451" s="7">
        <f t="shared" si="116"/>
        <v>716332.34518755577</v>
      </c>
      <c r="K2451" s="7"/>
    </row>
    <row r="2452" spans="1:11" x14ac:dyDescent="0.25">
      <c r="A2452" s="1" t="s">
        <v>19</v>
      </c>
      <c r="B2452" s="2">
        <v>202004</v>
      </c>
      <c r="C2452" s="2">
        <v>202103</v>
      </c>
      <c r="D2452" s="10">
        <v>30834.642060511713</v>
      </c>
      <c r="E2452" s="10">
        <v>630088.35038602958</v>
      </c>
      <c r="F2452" s="1">
        <v>185</v>
      </c>
      <c r="G2452" s="1">
        <v>1462</v>
      </c>
      <c r="H2452">
        <f t="shared" si="114"/>
        <v>2020</v>
      </c>
      <c r="I2452">
        <f t="shared" si="115"/>
        <v>2021</v>
      </c>
      <c r="J2452" s="7">
        <f t="shared" si="116"/>
        <v>660922.99244654132</v>
      </c>
      <c r="K2452" s="7"/>
    </row>
    <row r="2453" spans="1:11" x14ac:dyDescent="0.25">
      <c r="A2453" s="1" t="s">
        <v>19</v>
      </c>
      <c r="B2453" s="2">
        <v>202004</v>
      </c>
      <c r="C2453" s="2">
        <v>202104</v>
      </c>
      <c r="D2453" s="10">
        <v>18617.947363274248</v>
      </c>
      <c r="E2453" s="10">
        <v>70033.451958563703</v>
      </c>
      <c r="F2453" s="1">
        <v>102</v>
      </c>
      <c r="G2453" s="1">
        <v>950</v>
      </c>
      <c r="H2453">
        <f t="shared" si="114"/>
        <v>2020</v>
      </c>
      <c r="I2453">
        <f t="shared" si="115"/>
        <v>2021</v>
      </c>
      <c r="J2453" s="7">
        <f t="shared" si="116"/>
        <v>88651.399321837947</v>
      </c>
      <c r="K2453" s="7"/>
    </row>
    <row r="2454" spans="1:11" x14ac:dyDescent="0.25">
      <c r="A2454" s="1" t="s">
        <v>19</v>
      </c>
      <c r="B2454" s="2">
        <v>202101</v>
      </c>
      <c r="C2454" s="2">
        <v>202101</v>
      </c>
      <c r="D2454" s="10">
        <v>929791.16123621108</v>
      </c>
      <c r="E2454" s="10">
        <v>0</v>
      </c>
      <c r="F2454" s="1">
        <v>17582</v>
      </c>
      <c r="G2454" s="1">
        <v>5981</v>
      </c>
      <c r="H2454">
        <f t="shared" si="114"/>
        <v>2021</v>
      </c>
      <c r="I2454">
        <f t="shared" si="115"/>
        <v>2021</v>
      </c>
      <c r="J2454" s="7">
        <f t="shared" si="116"/>
        <v>929791.16123621108</v>
      </c>
      <c r="K2454" s="7"/>
    </row>
    <row r="2455" spans="1:11" x14ac:dyDescent="0.25">
      <c r="A2455" s="1" t="s">
        <v>19</v>
      </c>
      <c r="B2455" s="2">
        <v>202101</v>
      </c>
      <c r="C2455" s="2">
        <v>202102</v>
      </c>
      <c r="D2455" s="10">
        <v>797669.7688518042</v>
      </c>
      <c r="E2455" s="10">
        <v>66.725681933442459</v>
      </c>
      <c r="F2455" s="1">
        <v>4885</v>
      </c>
      <c r="G2455" s="1">
        <v>3030</v>
      </c>
      <c r="H2455">
        <f t="shared" si="114"/>
        <v>2021</v>
      </c>
      <c r="I2455">
        <f t="shared" si="115"/>
        <v>2021</v>
      </c>
      <c r="J2455" s="7">
        <f t="shared" si="116"/>
        <v>797736.49453373766</v>
      </c>
      <c r="K2455" s="7"/>
    </row>
    <row r="2456" spans="1:11" x14ac:dyDescent="0.25">
      <c r="A2456" s="1" t="s">
        <v>19</v>
      </c>
      <c r="B2456" s="2">
        <v>202101</v>
      </c>
      <c r="C2456" s="2">
        <v>202103</v>
      </c>
      <c r="D2456" s="10">
        <v>237601.25700614578</v>
      </c>
      <c r="E2456" s="10">
        <v>0</v>
      </c>
      <c r="F2456" s="1">
        <v>812</v>
      </c>
      <c r="G2456" s="1">
        <v>2052</v>
      </c>
      <c r="H2456">
        <f t="shared" si="114"/>
        <v>2021</v>
      </c>
      <c r="I2456">
        <f t="shared" si="115"/>
        <v>2021</v>
      </c>
      <c r="J2456" s="7">
        <f t="shared" si="116"/>
        <v>237601.25700614578</v>
      </c>
      <c r="K2456" s="7"/>
    </row>
    <row r="2457" spans="1:11" x14ac:dyDescent="0.25">
      <c r="A2457" s="1" t="s">
        <v>19</v>
      </c>
      <c r="B2457" s="2">
        <v>202101</v>
      </c>
      <c r="C2457" s="2">
        <v>202104</v>
      </c>
      <c r="D2457" s="10">
        <v>128445.10663855977</v>
      </c>
      <c r="E2457" s="10">
        <v>114856.08977802852</v>
      </c>
      <c r="F2457" s="1">
        <v>243</v>
      </c>
      <c r="G2457" s="1">
        <v>1568</v>
      </c>
      <c r="H2457">
        <f t="shared" si="114"/>
        <v>2021</v>
      </c>
      <c r="I2457">
        <f t="shared" si="115"/>
        <v>2021</v>
      </c>
      <c r="J2457" s="7">
        <f t="shared" si="116"/>
        <v>243301.19641658827</v>
      </c>
      <c r="K2457" s="7"/>
    </row>
    <row r="2458" spans="1:11" x14ac:dyDescent="0.25">
      <c r="A2458" s="1" t="s">
        <v>19</v>
      </c>
      <c r="B2458" s="2">
        <v>202102</v>
      </c>
      <c r="C2458" s="2">
        <v>202102</v>
      </c>
      <c r="D2458" s="10">
        <v>877196.96728303609</v>
      </c>
      <c r="E2458" s="10">
        <v>0</v>
      </c>
      <c r="F2458" s="1">
        <v>19292</v>
      </c>
      <c r="G2458" s="1">
        <v>7480</v>
      </c>
      <c r="H2458">
        <f t="shared" si="114"/>
        <v>2021</v>
      </c>
      <c r="I2458">
        <f t="shared" si="115"/>
        <v>2021</v>
      </c>
      <c r="J2458" s="7">
        <f t="shared" si="116"/>
        <v>877196.96728303609</v>
      </c>
      <c r="K2458" s="7"/>
    </row>
    <row r="2459" spans="1:11" x14ac:dyDescent="0.25">
      <c r="A2459" s="1" t="s">
        <v>19</v>
      </c>
      <c r="B2459" s="2">
        <v>202102</v>
      </c>
      <c r="C2459" s="2">
        <v>202103</v>
      </c>
      <c r="D2459" s="10">
        <v>920674.07452267152</v>
      </c>
      <c r="E2459" s="10">
        <v>0</v>
      </c>
      <c r="F2459" s="1">
        <v>4768</v>
      </c>
      <c r="G2459" s="1">
        <v>3496</v>
      </c>
      <c r="H2459">
        <f t="shared" si="114"/>
        <v>2021</v>
      </c>
      <c r="I2459">
        <f t="shared" si="115"/>
        <v>2021</v>
      </c>
      <c r="J2459" s="7">
        <f t="shared" si="116"/>
        <v>920674.07452267152</v>
      </c>
      <c r="K2459" s="7"/>
    </row>
    <row r="2460" spans="1:11" x14ac:dyDescent="0.25">
      <c r="A2460" s="1" t="s">
        <v>19</v>
      </c>
      <c r="B2460" s="2">
        <v>202102</v>
      </c>
      <c r="C2460" s="2">
        <v>202104</v>
      </c>
      <c r="D2460" s="10">
        <v>152445.85487782315</v>
      </c>
      <c r="E2460" s="10">
        <v>180103.79163517852</v>
      </c>
      <c r="F2460" s="1">
        <v>634</v>
      </c>
      <c r="G2460" s="1">
        <v>2315</v>
      </c>
      <c r="H2460">
        <f t="shared" si="114"/>
        <v>2021</v>
      </c>
      <c r="I2460">
        <f t="shared" si="115"/>
        <v>2021</v>
      </c>
      <c r="J2460" s="7">
        <f t="shared" si="116"/>
        <v>332549.64651300164</v>
      </c>
      <c r="K2460" s="7"/>
    </row>
    <row r="2461" spans="1:11" x14ac:dyDescent="0.25">
      <c r="A2461" s="1" t="s">
        <v>19</v>
      </c>
      <c r="B2461" s="2">
        <v>202103</v>
      </c>
      <c r="C2461" s="2">
        <v>202103</v>
      </c>
      <c r="D2461" s="10">
        <v>899194.74292843405</v>
      </c>
      <c r="E2461" s="10">
        <v>0</v>
      </c>
      <c r="F2461" s="1">
        <v>16328</v>
      </c>
      <c r="G2461" s="1">
        <v>6256</v>
      </c>
      <c r="H2461">
        <f t="shared" si="114"/>
        <v>2021</v>
      </c>
      <c r="I2461">
        <f t="shared" si="115"/>
        <v>2021</v>
      </c>
      <c r="J2461" s="7">
        <f t="shared" si="116"/>
        <v>899194.74292843405</v>
      </c>
      <c r="K2461" s="7"/>
    </row>
    <row r="2462" spans="1:11" x14ac:dyDescent="0.25">
      <c r="A2462" s="1" t="s">
        <v>19</v>
      </c>
      <c r="B2462" s="2">
        <v>202103</v>
      </c>
      <c r="C2462" s="2">
        <v>202104</v>
      </c>
      <c r="D2462" s="10">
        <v>697567.37789172842</v>
      </c>
      <c r="E2462" s="10">
        <v>241075.57858579251</v>
      </c>
      <c r="F2462" s="1">
        <v>3511</v>
      </c>
      <c r="G2462" s="1">
        <v>3026</v>
      </c>
      <c r="H2462">
        <f t="shared" si="114"/>
        <v>2021</v>
      </c>
      <c r="I2462">
        <f t="shared" si="115"/>
        <v>2021</v>
      </c>
      <c r="J2462" s="7">
        <f t="shared" si="116"/>
        <v>938642.95647752099</v>
      </c>
      <c r="K2462" s="7"/>
    </row>
    <row r="2463" spans="1:11" x14ac:dyDescent="0.25">
      <c r="A2463" s="1" t="s">
        <v>19</v>
      </c>
      <c r="B2463" s="2">
        <v>202104</v>
      </c>
      <c r="C2463" s="2">
        <v>202104</v>
      </c>
      <c r="D2463" s="10">
        <v>787726.96496063913</v>
      </c>
      <c r="E2463" s="10">
        <v>613332.48502157745</v>
      </c>
      <c r="F2463" s="1">
        <v>15135</v>
      </c>
      <c r="G2463" s="1">
        <v>6095</v>
      </c>
      <c r="H2463">
        <f t="shared" si="114"/>
        <v>2021</v>
      </c>
      <c r="I2463">
        <f t="shared" si="115"/>
        <v>2021</v>
      </c>
      <c r="J2463" s="7">
        <f t="shared" si="116"/>
        <v>1401059.4499822166</v>
      </c>
      <c r="K2463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B7756-4883-4BCE-8769-001E0351EA71}">
  <sheetPr codeName="Arkusz5"/>
  <dimension ref="A1:P43"/>
  <sheetViews>
    <sheetView workbookViewId="0">
      <selection activeCell="M38" sqref="M38"/>
    </sheetView>
  </sheetViews>
  <sheetFormatPr defaultRowHeight="15" x14ac:dyDescent="0.25"/>
  <cols>
    <col min="1" max="1" width="16.5703125" bestFit="1" customWidth="1"/>
    <col min="2" max="2" width="17.28515625" bestFit="1" customWidth="1"/>
  </cols>
  <sheetData>
    <row r="1" spans="1:16" x14ac:dyDescent="0.25">
      <c r="A1" s="3" t="s">
        <v>17</v>
      </c>
      <c r="P1" s="4" t="s">
        <v>20</v>
      </c>
    </row>
    <row r="2" spans="1:16" x14ac:dyDescent="0.25">
      <c r="B2" t="s">
        <v>21</v>
      </c>
    </row>
    <row r="3" spans="1:16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1:16" x14ac:dyDescent="0.25">
      <c r="A4">
        <v>2012</v>
      </c>
      <c r="B4" s="71">
        <f>SUMIFS(Dane!$D$4:$D$2463,Dane!$A$4:$A$2463,'Trójkąty wzrostowe'!$A$1,Dane!$H$4:$H$2463,'Trójkąty wzrostowe'!$A4,Dane!$I$4:$I$2463,$A4+B$3)</f>
        <v>1088980.6210946122</v>
      </c>
      <c r="C4" s="71">
        <f>SUMIFS(Dane!$D$4:$D$2463,Dane!$A$4:$A$2463,'Trójkąty wzrostowe'!$A$1,Dane!$H$4:$H$2463,'Trójkąty wzrostowe'!$A4,Dane!$I$4:$I$2463,$A4+C$3)</f>
        <v>1042686.5616945685</v>
      </c>
      <c r="D4" s="71">
        <f>SUMIFS(Dane!$D$4:$D$2463,Dane!$A$4:$A$2463,'Trójkąty wzrostowe'!$A$1,Dane!$H$4:$H$2463,'Trójkąty wzrostowe'!$A4,Dane!$I$4:$I$2463,$A4+D$3)</f>
        <v>443328.2369702743</v>
      </c>
      <c r="E4" s="71">
        <f>SUMIFS(Dane!$D$4:$D$2463,Dane!$A$4:$A$2463,'Trójkąty wzrostowe'!$A$1,Dane!$H$4:$H$2463,'Trójkąty wzrostowe'!$A4,Dane!$I$4:$I$2463,$A4+E$3)</f>
        <v>304590.8263065003</v>
      </c>
      <c r="F4" s="71">
        <f>SUMIFS(Dane!$D$4:$D$2463,Dane!$A$4:$A$2463,'Trójkąty wzrostowe'!$A$1,Dane!$H$4:$H$2463,'Trójkąty wzrostowe'!$A4,Dane!$I$4:$I$2463,$A4+F$3)</f>
        <v>265969.7695202842</v>
      </c>
      <c r="G4" s="71">
        <f>SUMIFS(Dane!$D$4:$D$2463,Dane!$A$4:$A$2463,'Trójkąty wzrostowe'!$A$1,Dane!$H$4:$H$2463,'Trójkąty wzrostowe'!$A4,Dane!$I$4:$I$2463,$A4+G$3)</f>
        <v>365086.29363058106</v>
      </c>
      <c r="H4" s="71">
        <f>SUMIFS(Dane!$D$4:$D$2463,Dane!$A$4:$A$2463,'Trójkąty wzrostowe'!$A$1,Dane!$H$4:$H$2463,'Trójkąty wzrostowe'!$A4,Dane!$I$4:$I$2463,$A4+H$3)</f>
        <v>224441.2565054188</v>
      </c>
      <c r="I4" s="71">
        <f>SUMIFS(Dane!$D$4:$D$2463,Dane!$A$4:$A$2463,'Trójkąty wzrostowe'!$A$1,Dane!$H$4:$H$2463,'Trójkąty wzrostowe'!$A4,Dane!$I$4:$I$2463,$A4+I$3)</f>
        <v>116540.30956893128</v>
      </c>
      <c r="J4" s="71">
        <f>SUMIFS(Dane!$D$4:$D$2463,Dane!$A$4:$A$2463,'Trójkąty wzrostowe'!$A$1,Dane!$H$4:$H$2463,'Trójkąty wzrostowe'!$A4,Dane!$I$4:$I$2463,$A4+J$3)</f>
        <v>67827.490999715388</v>
      </c>
      <c r="K4" s="71">
        <f>SUMIFS(Dane!$D$4:$D$2463,Dane!$A$4:$A$2463,'Trójkąty wzrostowe'!$A$1,Dane!$H$4:$H$2463,'Trójkąty wzrostowe'!$A4,Dane!$I$4:$I$2463,$A4+K$3)</f>
        <v>128442.00640711164</v>
      </c>
    </row>
    <row r="5" spans="1:16" x14ac:dyDescent="0.25">
      <c r="A5">
        <v>2013</v>
      </c>
      <c r="B5" s="71">
        <f>SUMIFS(Dane!$D$4:$D$2463,Dane!$A$4:$A$2463,'Trójkąty wzrostowe'!$A$1,Dane!$H$4:$H$2463,'Trójkąty wzrostowe'!$A5,Dane!$I$4:$I$2463,$A5+B$3)</f>
        <v>1306152.7922672718</v>
      </c>
      <c r="C5" s="71">
        <f>SUMIFS(Dane!$D$4:$D$2463,Dane!$A$4:$A$2463,'Trójkąty wzrostowe'!$A$1,Dane!$H$4:$H$2463,'Trójkąty wzrostowe'!$A5,Dane!$I$4:$I$2463,$A5+C$3)</f>
        <v>1116945.2850286446</v>
      </c>
      <c r="D5" s="71">
        <f>SUMIFS(Dane!$D$4:$D$2463,Dane!$A$4:$A$2463,'Trójkąty wzrostowe'!$A$1,Dane!$H$4:$H$2463,'Trójkąty wzrostowe'!$A5,Dane!$I$4:$I$2463,$A5+D$3)</f>
        <v>651920.03606265073</v>
      </c>
      <c r="E5" s="71">
        <f>SUMIFS(Dane!$D$4:$D$2463,Dane!$A$4:$A$2463,'Trójkąty wzrostowe'!$A$1,Dane!$H$4:$H$2463,'Trójkąty wzrostowe'!$A5,Dane!$I$4:$I$2463,$A5+E$3)</f>
        <v>401606.56656821008</v>
      </c>
      <c r="F5" s="71">
        <f>SUMIFS(Dane!$D$4:$D$2463,Dane!$A$4:$A$2463,'Trójkąty wzrostowe'!$A$1,Dane!$H$4:$H$2463,'Trójkąty wzrostowe'!$A5,Dane!$I$4:$I$2463,$A5+F$3)</f>
        <v>318266.2820446486</v>
      </c>
      <c r="G5" s="71">
        <f>SUMIFS(Dane!$D$4:$D$2463,Dane!$A$4:$A$2463,'Trójkąty wzrostowe'!$A$1,Dane!$H$4:$H$2463,'Trójkąty wzrostowe'!$A5,Dane!$I$4:$I$2463,$A5+G$3)</f>
        <v>489235.10602856171</v>
      </c>
      <c r="H5" s="71">
        <f>SUMIFS(Dane!$D$4:$D$2463,Dane!$A$4:$A$2463,'Trójkąty wzrostowe'!$A$1,Dane!$H$4:$H$2463,'Trójkąty wzrostowe'!$A5,Dane!$I$4:$I$2463,$A5+H$3)</f>
        <v>228598.94452826181</v>
      </c>
      <c r="I5" s="71">
        <f>SUMIFS(Dane!$D$4:$D$2463,Dane!$A$4:$A$2463,'Trójkąty wzrostowe'!$A$1,Dane!$H$4:$H$2463,'Trójkąty wzrostowe'!$A5,Dane!$I$4:$I$2463,$A5+I$3)</f>
        <v>363587.26261398458</v>
      </c>
      <c r="J5" s="71">
        <f>SUMIFS(Dane!$D$4:$D$2463,Dane!$A$4:$A$2463,'Trójkąty wzrostowe'!$A$1,Dane!$H$4:$H$2463,'Trójkąty wzrostowe'!$A5,Dane!$I$4:$I$2463,$A5+J$3)</f>
        <v>321467.19862381514</v>
      </c>
      <c r="K5" s="71">
        <f>SUMIFS(Dane!$D$4:$D$2463,Dane!$A$4:$A$2463,'Trójkąty wzrostowe'!$A$1,Dane!$H$4:$H$2463,'Trójkąty wzrostowe'!$A5,Dane!$I$4:$I$2463,$A5+K$3)</f>
        <v>0</v>
      </c>
    </row>
    <row r="6" spans="1:16" x14ac:dyDescent="0.25">
      <c r="A6">
        <v>2014</v>
      </c>
      <c r="B6" s="71">
        <f>SUMIFS(Dane!$D$4:$D$2463,Dane!$A$4:$A$2463,'Trójkąty wzrostowe'!$A$1,Dane!$H$4:$H$2463,'Trójkąty wzrostowe'!$A6,Dane!$I$4:$I$2463,$A6+B$3)</f>
        <v>1249812.5880425794</v>
      </c>
      <c r="C6" s="71">
        <f>SUMIFS(Dane!$D$4:$D$2463,Dane!$A$4:$A$2463,'Trójkąty wzrostowe'!$A$1,Dane!$H$4:$H$2463,'Trójkąty wzrostowe'!$A6,Dane!$I$4:$I$2463,$A6+C$3)</f>
        <v>1246574.9029496547</v>
      </c>
      <c r="D6" s="71">
        <f>SUMIFS(Dane!$D$4:$D$2463,Dane!$A$4:$A$2463,'Trójkąty wzrostowe'!$A$1,Dane!$H$4:$H$2463,'Trójkąty wzrostowe'!$A6,Dane!$I$4:$I$2463,$A6+D$3)</f>
        <v>610787.96457205142</v>
      </c>
      <c r="E6" s="71">
        <f>SUMIFS(Dane!$D$4:$D$2463,Dane!$A$4:$A$2463,'Trójkąty wzrostowe'!$A$1,Dane!$H$4:$H$2463,'Trójkąty wzrostowe'!$A6,Dane!$I$4:$I$2463,$A6+E$3)</f>
        <v>580126.17197617062</v>
      </c>
      <c r="F6" s="71">
        <f>SUMIFS(Dane!$D$4:$D$2463,Dane!$A$4:$A$2463,'Trójkąty wzrostowe'!$A$1,Dane!$H$4:$H$2463,'Trójkąty wzrostowe'!$A6,Dane!$I$4:$I$2463,$A6+F$3)</f>
        <v>453542.54058140243</v>
      </c>
      <c r="G6" s="71">
        <f>SUMIFS(Dane!$D$4:$D$2463,Dane!$A$4:$A$2463,'Trójkąty wzrostowe'!$A$1,Dane!$H$4:$H$2463,'Trójkąty wzrostowe'!$A6,Dane!$I$4:$I$2463,$A6+G$3)</f>
        <v>219877.98953814484</v>
      </c>
      <c r="H6" s="71">
        <f>SUMIFS(Dane!$D$4:$D$2463,Dane!$A$4:$A$2463,'Trójkąty wzrostowe'!$A$1,Dane!$H$4:$H$2463,'Trójkąty wzrostowe'!$A6,Dane!$I$4:$I$2463,$A6+H$3)</f>
        <v>172987.05269209048</v>
      </c>
      <c r="I6" s="71">
        <f>SUMIFS(Dane!$D$4:$D$2463,Dane!$A$4:$A$2463,'Trójkąty wzrostowe'!$A$1,Dane!$H$4:$H$2463,'Trójkąty wzrostowe'!$A6,Dane!$I$4:$I$2463,$A6+I$3)</f>
        <v>274393.30699101649</v>
      </c>
      <c r="J6" s="71">
        <f>SUMIFS(Dane!$D$4:$D$2463,Dane!$A$4:$A$2463,'Trójkąty wzrostowe'!$A$1,Dane!$H$4:$H$2463,'Trójkąty wzrostowe'!$A6,Dane!$I$4:$I$2463,$A6+J$3)</f>
        <v>0</v>
      </c>
      <c r="K6" s="71">
        <f>SUMIFS(Dane!$D$4:$D$2463,Dane!$A$4:$A$2463,'Trójkąty wzrostowe'!$A$1,Dane!$H$4:$H$2463,'Trójkąty wzrostowe'!$A6,Dane!$I$4:$I$2463,$A6+K$3)</f>
        <v>0</v>
      </c>
    </row>
    <row r="7" spans="1:16" x14ac:dyDescent="0.25">
      <c r="A7">
        <v>2015</v>
      </c>
      <c r="B7" s="71">
        <f>SUMIFS(Dane!$D$4:$D$2463,Dane!$A$4:$A$2463,'Trójkąty wzrostowe'!$A$1,Dane!$H$4:$H$2463,'Trójkąty wzrostowe'!$A7,Dane!$I$4:$I$2463,$A7+B$3)</f>
        <v>1189810.0064459562</v>
      </c>
      <c r="C7" s="71">
        <f>SUMIFS(Dane!$D$4:$D$2463,Dane!$A$4:$A$2463,'Trójkąty wzrostowe'!$A$1,Dane!$H$4:$H$2463,'Trójkąty wzrostowe'!$A7,Dane!$I$4:$I$2463,$A7+C$3)</f>
        <v>1341059.5888022094</v>
      </c>
      <c r="D7" s="71">
        <f>SUMIFS(Dane!$D$4:$D$2463,Dane!$A$4:$A$2463,'Trójkąty wzrostowe'!$A$1,Dane!$H$4:$H$2463,'Trójkąty wzrostowe'!$A7,Dane!$I$4:$I$2463,$A7+D$3)</f>
        <v>566114.85836522316</v>
      </c>
      <c r="E7" s="71">
        <f>SUMIFS(Dane!$D$4:$D$2463,Dane!$A$4:$A$2463,'Trójkąty wzrostowe'!$A$1,Dane!$H$4:$H$2463,'Trójkąty wzrostowe'!$A7,Dane!$I$4:$I$2463,$A7+E$3)</f>
        <v>780861.88051905425</v>
      </c>
      <c r="F7" s="71">
        <f>SUMIFS(Dane!$D$4:$D$2463,Dane!$A$4:$A$2463,'Trójkąty wzrostowe'!$A$1,Dane!$H$4:$H$2463,'Trójkąty wzrostowe'!$A7,Dane!$I$4:$I$2463,$A7+F$3)</f>
        <v>926162.24298202514</v>
      </c>
      <c r="G7" s="71">
        <f>SUMIFS(Dane!$D$4:$D$2463,Dane!$A$4:$A$2463,'Trójkąty wzrostowe'!$A$1,Dane!$H$4:$H$2463,'Trójkąty wzrostowe'!$A7,Dane!$I$4:$I$2463,$A7+G$3)</f>
        <v>450487.42800383217</v>
      </c>
      <c r="H7" s="71">
        <f>SUMIFS(Dane!$D$4:$D$2463,Dane!$A$4:$A$2463,'Trójkąty wzrostowe'!$A$1,Dane!$H$4:$H$2463,'Trójkąty wzrostowe'!$A7,Dane!$I$4:$I$2463,$A7+H$3)</f>
        <v>314815.18199885858</v>
      </c>
      <c r="I7" s="71">
        <f>SUMIFS(Dane!$D$4:$D$2463,Dane!$A$4:$A$2463,'Trójkąty wzrostowe'!$A$1,Dane!$H$4:$H$2463,'Trójkąty wzrostowe'!$A7,Dane!$I$4:$I$2463,$A7+I$3)</f>
        <v>0</v>
      </c>
      <c r="J7" s="71">
        <f>SUMIFS(Dane!$D$4:$D$2463,Dane!$A$4:$A$2463,'Trójkąty wzrostowe'!$A$1,Dane!$H$4:$H$2463,'Trójkąty wzrostowe'!$A7,Dane!$I$4:$I$2463,$A7+J$3)</f>
        <v>0</v>
      </c>
      <c r="K7" s="71">
        <f>SUMIFS(Dane!$D$4:$D$2463,Dane!$A$4:$A$2463,'Trójkąty wzrostowe'!$A$1,Dane!$H$4:$H$2463,'Trójkąty wzrostowe'!$A7,Dane!$I$4:$I$2463,$A7+K$3)</f>
        <v>0</v>
      </c>
    </row>
    <row r="8" spans="1:16" x14ac:dyDescent="0.25">
      <c r="A8">
        <v>2016</v>
      </c>
      <c r="B8" s="71">
        <f>SUMIFS(Dane!$D$4:$D$2463,Dane!$A$4:$A$2463,'Trójkąty wzrostowe'!$A$1,Dane!$H$4:$H$2463,'Trójkąty wzrostowe'!$A8,Dane!$I$4:$I$2463,$A8+B$3)</f>
        <v>1306513.6047854258</v>
      </c>
      <c r="C8" s="71">
        <f>SUMIFS(Dane!$D$4:$D$2463,Dane!$A$4:$A$2463,'Trójkąty wzrostowe'!$A$1,Dane!$H$4:$H$2463,'Trójkąty wzrostowe'!$A8,Dane!$I$4:$I$2463,$A8+C$3)</f>
        <v>1467183.754620082</v>
      </c>
      <c r="D8" s="71">
        <f>SUMIFS(Dane!$D$4:$D$2463,Dane!$A$4:$A$2463,'Trójkąty wzrostowe'!$A$1,Dane!$H$4:$H$2463,'Trójkąty wzrostowe'!$A8,Dane!$I$4:$I$2463,$A8+D$3)</f>
        <v>753850.98722188233</v>
      </c>
      <c r="E8" s="71">
        <f>SUMIFS(Dane!$D$4:$D$2463,Dane!$A$4:$A$2463,'Trójkąty wzrostowe'!$A$1,Dane!$H$4:$H$2463,'Trójkąty wzrostowe'!$A8,Dane!$I$4:$I$2463,$A8+E$3)</f>
        <v>597794.76375340344</v>
      </c>
      <c r="F8" s="71">
        <f>SUMIFS(Dane!$D$4:$D$2463,Dane!$A$4:$A$2463,'Trójkąty wzrostowe'!$A$1,Dane!$H$4:$H$2463,'Trójkąty wzrostowe'!$A8,Dane!$I$4:$I$2463,$A8+F$3)</f>
        <v>396515.13032512896</v>
      </c>
      <c r="G8" s="71">
        <f>SUMIFS(Dane!$D$4:$D$2463,Dane!$A$4:$A$2463,'Trójkąty wzrostowe'!$A$1,Dane!$H$4:$H$2463,'Trójkąty wzrostowe'!$A8,Dane!$I$4:$I$2463,$A8+G$3)</f>
        <v>420343.66118839296</v>
      </c>
      <c r="H8" s="71">
        <f>SUMIFS(Dane!$D$4:$D$2463,Dane!$A$4:$A$2463,'Trójkąty wzrostowe'!$A$1,Dane!$H$4:$H$2463,'Trójkąty wzrostowe'!$A8,Dane!$I$4:$I$2463,$A8+H$3)</f>
        <v>0</v>
      </c>
      <c r="I8" s="71">
        <f>SUMIFS(Dane!$D$4:$D$2463,Dane!$A$4:$A$2463,'Trójkąty wzrostowe'!$A$1,Dane!$H$4:$H$2463,'Trójkąty wzrostowe'!$A8,Dane!$I$4:$I$2463,$A8+I$3)</f>
        <v>0</v>
      </c>
      <c r="J8" s="71">
        <f>SUMIFS(Dane!$D$4:$D$2463,Dane!$A$4:$A$2463,'Trójkąty wzrostowe'!$A$1,Dane!$H$4:$H$2463,'Trójkąty wzrostowe'!$A8,Dane!$I$4:$I$2463,$A8+J$3)</f>
        <v>0</v>
      </c>
      <c r="K8" s="71">
        <f>SUMIFS(Dane!$D$4:$D$2463,Dane!$A$4:$A$2463,'Trójkąty wzrostowe'!$A$1,Dane!$H$4:$H$2463,'Trójkąty wzrostowe'!$A8,Dane!$I$4:$I$2463,$A8+K$3)</f>
        <v>0</v>
      </c>
    </row>
    <row r="9" spans="1:16" x14ac:dyDescent="0.25">
      <c r="A9">
        <v>2017</v>
      </c>
      <c r="B9" s="71">
        <f>SUMIFS(Dane!$D$4:$D$2463,Dane!$A$4:$A$2463,'Trójkąty wzrostowe'!$A$1,Dane!$H$4:$H$2463,'Trójkąty wzrostowe'!$A9,Dane!$I$4:$I$2463,$A9+B$3)</f>
        <v>1300441.1763369546</v>
      </c>
      <c r="C9" s="71">
        <f>SUMIFS(Dane!$D$4:$D$2463,Dane!$A$4:$A$2463,'Trójkąty wzrostowe'!$A$1,Dane!$H$4:$H$2463,'Trójkąty wzrostowe'!$A9,Dane!$I$4:$I$2463,$A9+C$3)</f>
        <v>1620546.6040275355</v>
      </c>
      <c r="D9" s="71">
        <f>SUMIFS(Dane!$D$4:$D$2463,Dane!$A$4:$A$2463,'Trójkąty wzrostowe'!$A$1,Dane!$H$4:$H$2463,'Trójkąty wzrostowe'!$A9,Dane!$I$4:$I$2463,$A9+D$3)</f>
        <v>779361.82532468927</v>
      </c>
      <c r="E9" s="71">
        <f>SUMIFS(Dane!$D$4:$D$2463,Dane!$A$4:$A$2463,'Trójkąty wzrostowe'!$A$1,Dane!$H$4:$H$2463,'Trójkąty wzrostowe'!$A9,Dane!$I$4:$I$2463,$A9+E$3)</f>
        <v>742564.6650489585</v>
      </c>
      <c r="F9" s="71">
        <f>SUMIFS(Dane!$D$4:$D$2463,Dane!$A$4:$A$2463,'Trójkąty wzrostowe'!$A$1,Dane!$H$4:$H$2463,'Trójkąty wzrostowe'!$A9,Dane!$I$4:$I$2463,$A9+F$3)</f>
        <v>370408.46443732164</v>
      </c>
      <c r="G9" s="71">
        <f>SUMIFS(Dane!$D$4:$D$2463,Dane!$A$4:$A$2463,'Trójkąty wzrostowe'!$A$1,Dane!$H$4:$H$2463,'Trójkąty wzrostowe'!$A9,Dane!$I$4:$I$2463,$A9+G$3)</f>
        <v>0</v>
      </c>
      <c r="H9" s="71">
        <f>SUMIFS(Dane!$D$4:$D$2463,Dane!$A$4:$A$2463,'Trójkąty wzrostowe'!$A$1,Dane!$H$4:$H$2463,'Trójkąty wzrostowe'!$A9,Dane!$I$4:$I$2463,$A9+H$3)</f>
        <v>0</v>
      </c>
      <c r="I9" s="71">
        <f>SUMIFS(Dane!$D$4:$D$2463,Dane!$A$4:$A$2463,'Trójkąty wzrostowe'!$A$1,Dane!$H$4:$H$2463,'Trójkąty wzrostowe'!$A9,Dane!$I$4:$I$2463,$A9+I$3)</f>
        <v>0</v>
      </c>
      <c r="J9" s="71">
        <f>SUMIFS(Dane!$D$4:$D$2463,Dane!$A$4:$A$2463,'Trójkąty wzrostowe'!$A$1,Dane!$H$4:$H$2463,'Trójkąty wzrostowe'!$A9,Dane!$I$4:$I$2463,$A9+J$3)</f>
        <v>0</v>
      </c>
      <c r="K9" s="71">
        <f>SUMIFS(Dane!$D$4:$D$2463,Dane!$A$4:$A$2463,'Trójkąty wzrostowe'!$A$1,Dane!$H$4:$H$2463,'Trójkąty wzrostowe'!$A9,Dane!$I$4:$I$2463,$A9+K$3)</f>
        <v>0</v>
      </c>
    </row>
    <row r="10" spans="1:16" x14ac:dyDescent="0.25">
      <c r="A10">
        <v>2018</v>
      </c>
      <c r="B10" s="71">
        <f>SUMIFS(Dane!$D$4:$D$2463,Dane!$A$4:$A$2463,'Trójkąty wzrostowe'!$A$1,Dane!$H$4:$H$2463,'Trójkąty wzrostowe'!$A10,Dane!$I$4:$I$2463,$A10+B$3)</f>
        <v>1397368.0926729222</v>
      </c>
      <c r="C10" s="71">
        <f>SUMIFS(Dane!$D$4:$D$2463,Dane!$A$4:$A$2463,'Trójkąty wzrostowe'!$A$1,Dane!$H$4:$H$2463,'Trójkąty wzrostowe'!$A10,Dane!$I$4:$I$2463,$A10+C$3)</f>
        <v>1846121.9802392467</v>
      </c>
      <c r="D10" s="71">
        <f>SUMIFS(Dane!$D$4:$D$2463,Dane!$A$4:$A$2463,'Trójkąty wzrostowe'!$A$1,Dane!$H$4:$H$2463,'Trójkąty wzrostowe'!$A10,Dane!$I$4:$I$2463,$A10+D$3)</f>
        <v>721028.74214362109</v>
      </c>
      <c r="E10" s="71">
        <f>SUMIFS(Dane!$D$4:$D$2463,Dane!$A$4:$A$2463,'Trójkąty wzrostowe'!$A$1,Dane!$H$4:$H$2463,'Trójkąty wzrostowe'!$A10,Dane!$I$4:$I$2463,$A10+E$3)</f>
        <v>697186.51967944624</v>
      </c>
      <c r="F10" s="71">
        <f>SUMIFS(Dane!$D$4:$D$2463,Dane!$A$4:$A$2463,'Trójkąty wzrostowe'!$A$1,Dane!$H$4:$H$2463,'Trójkąty wzrostowe'!$A10,Dane!$I$4:$I$2463,$A10+F$3)</f>
        <v>0</v>
      </c>
      <c r="G10" s="71">
        <f>SUMIFS(Dane!$D$4:$D$2463,Dane!$A$4:$A$2463,'Trójkąty wzrostowe'!$A$1,Dane!$H$4:$H$2463,'Trójkąty wzrostowe'!$A10,Dane!$I$4:$I$2463,$A10+G$3)</f>
        <v>0</v>
      </c>
      <c r="H10" s="71">
        <f>SUMIFS(Dane!$D$4:$D$2463,Dane!$A$4:$A$2463,'Trójkąty wzrostowe'!$A$1,Dane!$H$4:$H$2463,'Trójkąty wzrostowe'!$A10,Dane!$I$4:$I$2463,$A10+H$3)</f>
        <v>0</v>
      </c>
      <c r="I10" s="71">
        <f>SUMIFS(Dane!$D$4:$D$2463,Dane!$A$4:$A$2463,'Trójkąty wzrostowe'!$A$1,Dane!$H$4:$H$2463,'Trójkąty wzrostowe'!$A10,Dane!$I$4:$I$2463,$A10+I$3)</f>
        <v>0</v>
      </c>
      <c r="J10" s="71">
        <f>SUMIFS(Dane!$D$4:$D$2463,Dane!$A$4:$A$2463,'Trójkąty wzrostowe'!$A$1,Dane!$H$4:$H$2463,'Trójkąty wzrostowe'!$A10,Dane!$I$4:$I$2463,$A10+J$3)</f>
        <v>0</v>
      </c>
      <c r="K10" s="71">
        <f>SUMIFS(Dane!$D$4:$D$2463,Dane!$A$4:$A$2463,'Trójkąty wzrostowe'!$A$1,Dane!$H$4:$H$2463,'Trójkąty wzrostowe'!$A10,Dane!$I$4:$I$2463,$A10+K$3)</f>
        <v>0</v>
      </c>
    </row>
    <row r="11" spans="1:16" x14ac:dyDescent="0.25">
      <c r="A11">
        <v>2019</v>
      </c>
      <c r="B11" s="71">
        <f>SUMIFS(Dane!$D$4:$D$2463,Dane!$A$4:$A$2463,'Trójkąty wzrostowe'!$A$1,Dane!$H$4:$H$2463,'Trójkąty wzrostowe'!$A11,Dane!$I$4:$I$2463,$A11+B$3)</f>
        <v>1570945.7683077177</v>
      </c>
      <c r="C11" s="71">
        <f>SUMIFS(Dane!$D$4:$D$2463,Dane!$A$4:$A$2463,'Trójkąty wzrostowe'!$A$1,Dane!$H$4:$H$2463,'Trójkąty wzrostowe'!$A11,Dane!$I$4:$I$2463,$A11+C$3)</f>
        <v>1668729.8773089354</v>
      </c>
      <c r="D11" s="71">
        <f>SUMIFS(Dane!$D$4:$D$2463,Dane!$A$4:$A$2463,'Trójkąty wzrostowe'!$A$1,Dane!$H$4:$H$2463,'Trójkąty wzrostowe'!$A11,Dane!$I$4:$I$2463,$A11+D$3)</f>
        <v>1045490.4166603795</v>
      </c>
      <c r="E11" s="71">
        <f>SUMIFS(Dane!$D$4:$D$2463,Dane!$A$4:$A$2463,'Trójkąty wzrostowe'!$A$1,Dane!$H$4:$H$2463,'Trójkąty wzrostowe'!$A11,Dane!$I$4:$I$2463,$A11+E$3)</f>
        <v>0</v>
      </c>
      <c r="F11" s="71">
        <f>SUMIFS(Dane!$D$4:$D$2463,Dane!$A$4:$A$2463,'Trójkąty wzrostowe'!$A$1,Dane!$H$4:$H$2463,'Trójkąty wzrostowe'!$A11,Dane!$I$4:$I$2463,$A11+F$3)</f>
        <v>0</v>
      </c>
      <c r="G11" s="71">
        <f>SUMIFS(Dane!$D$4:$D$2463,Dane!$A$4:$A$2463,'Trójkąty wzrostowe'!$A$1,Dane!$H$4:$H$2463,'Trójkąty wzrostowe'!$A11,Dane!$I$4:$I$2463,$A11+G$3)</f>
        <v>0</v>
      </c>
      <c r="H11" s="71">
        <f>SUMIFS(Dane!$D$4:$D$2463,Dane!$A$4:$A$2463,'Trójkąty wzrostowe'!$A$1,Dane!$H$4:$H$2463,'Trójkąty wzrostowe'!$A11,Dane!$I$4:$I$2463,$A11+H$3)</f>
        <v>0</v>
      </c>
      <c r="I11" s="71">
        <f>SUMIFS(Dane!$D$4:$D$2463,Dane!$A$4:$A$2463,'Trójkąty wzrostowe'!$A$1,Dane!$H$4:$H$2463,'Trójkąty wzrostowe'!$A11,Dane!$I$4:$I$2463,$A11+I$3)</f>
        <v>0</v>
      </c>
      <c r="J11" s="71">
        <f>SUMIFS(Dane!$D$4:$D$2463,Dane!$A$4:$A$2463,'Trójkąty wzrostowe'!$A$1,Dane!$H$4:$H$2463,'Trójkąty wzrostowe'!$A11,Dane!$I$4:$I$2463,$A11+J$3)</f>
        <v>0</v>
      </c>
      <c r="K11" s="71">
        <f>SUMIFS(Dane!$D$4:$D$2463,Dane!$A$4:$A$2463,'Trójkąty wzrostowe'!$A$1,Dane!$H$4:$H$2463,'Trójkąty wzrostowe'!$A11,Dane!$I$4:$I$2463,$A11+K$3)</f>
        <v>0</v>
      </c>
    </row>
    <row r="12" spans="1:16" x14ac:dyDescent="0.25">
      <c r="A12">
        <v>2020</v>
      </c>
      <c r="B12" s="71">
        <f>SUMIFS(Dane!$D$4:$D$2463,Dane!$A$4:$A$2463,'Trójkąty wzrostowe'!$A$1,Dane!$H$4:$H$2463,'Trójkąty wzrostowe'!$A12,Dane!$I$4:$I$2463,$A12+B$3)</f>
        <v>1381532.6675622216</v>
      </c>
      <c r="C12" s="71">
        <f>SUMIFS(Dane!$D$4:$D$2463,Dane!$A$4:$A$2463,'Trójkąty wzrostowe'!$A$1,Dane!$H$4:$H$2463,'Trójkąty wzrostowe'!$A12,Dane!$I$4:$I$2463,$A12+C$3)</f>
        <v>1649834.6459248313</v>
      </c>
      <c r="D12" s="71">
        <f>SUMIFS(Dane!$D$4:$D$2463,Dane!$A$4:$A$2463,'Trójkąty wzrostowe'!$A$1,Dane!$H$4:$H$2463,'Trójkąty wzrostowe'!$A12,Dane!$I$4:$I$2463,$A12+D$3)</f>
        <v>0</v>
      </c>
      <c r="E12" s="71">
        <f>SUMIFS(Dane!$D$4:$D$2463,Dane!$A$4:$A$2463,'Trójkąty wzrostowe'!$A$1,Dane!$H$4:$H$2463,'Trójkąty wzrostowe'!$A12,Dane!$I$4:$I$2463,$A12+E$3)</f>
        <v>0</v>
      </c>
      <c r="F12" s="71">
        <f>SUMIFS(Dane!$D$4:$D$2463,Dane!$A$4:$A$2463,'Trójkąty wzrostowe'!$A$1,Dane!$H$4:$H$2463,'Trójkąty wzrostowe'!$A12,Dane!$I$4:$I$2463,$A12+F$3)</f>
        <v>0</v>
      </c>
      <c r="G12" s="71">
        <f>SUMIFS(Dane!$D$4:$D$2463,Dane!$A$4:$A$2463,'Trójkąty wzrostowe'!$A$1,Dane!$H$4:$H$2463,'Trójkąty wzrostowe'!$A12,Dane!$I$4:$I$2463,$A12+G$3)</f>
        <v>0</v>
      </c>
      <c r="H12" s="71">
        <f>SUMIFS(Dane!$D$4:$D$2463,Dane!$A$4:$A$2463,'Trójkąty wzrostowe'!$A$1,Dane!$H$4:$H$2463,'Trójkąty wzrostowe'!$A12,Dane!$I$4:$I$2463,$A12+H$3)</f>
        <v>0</v>
      </c>
      <c r="I12" s="71">
        <f>SUMIFS(Dane!$D$4:$D$2463,Dane!$A$4:$A$2463,'Trójkąty wzrostowe'!$A$1,Dane!$H$4:$H$2463,'Trójkąty wzrostowe'!$A12,Dane!$I$4:$I$2463,$A12+I$3)</f>
        <v>0</v>
      </c>
      <c r="J12" s="71">
        <f>SUMIFS(Dane!$D$4:$D$2463,Dane!$A$4:$A$2463,'Trójkąty wzrostowe'!$A$1,Dane!$H$4:$H$2463,'Trójkąty wzrostowe'!$A12,Dane!$I$4:$I$2463,$A12+J$3)</f>
        <v>0</v>
      </c>
      <c r="K12" s="71">
        <f>SUMIFS(Dane!$D$4:$D$2463,Dane!$A$4:$A$2463,'Trójkąty wzrostowe'!$A$1,Dane!$H$4:$H$2463,'Trójkąty wzrostowe'!$A12,Dane!$I$4:$I$2463,$A12+K$3)</f>
        <v>0</v>
      </c>
    </row>
    <row r="13" spans="1:16" x14ac:dyDescent="0.25">
      <c r="A13">
        <v>2021</v>
      </c>
      <c r="B13" s="71">
        <f>SUMIFS(Dane!$D$4:$D$2463,Dane!$A$4:$A$2463,'Trójkąty wzrostowe'!$A$1,Dane!$H$4:$H$2463,'Trójkąty wzrostowe'!$A13,Dane!$I$4:$I$2463,$A13+B$3)</f>
        <v>1346802.3542128429</v>
      </c>
      <c r="C13" s="71">
        <f>SUMIFS(Dane!$D$4:$D$2463,Dane!$A$4:$A$2463,'Trójkąty wzrostowe'!$A$1,Dane!$H$4:$H$2463,'Trójkąty wzrostowe'!$A13,Dane!$I$4:$I$2463,$A13+C$3)</f>
        <v>0</v>
      </c>
      <c r="D13" s="71">
        <f>SUMIFS(Dane!$D$4:$D$2463,Dane!$A$4:$A$2463,'Trójkąty wzrostowe'!$A$1,Dane!$H$4:$H$2463,'Trójkąty wzrostowe'!$A13,Dane!$I$4:$I$2463,$A13+D$3)</f>
        <v>0</v>
      </c>
      <c r="E13" s="71">
        <f>SUMIFS(Dane!$D$4:$D$2463,Dane!$A$4:$A$2463,'Trójkąty wzrostowe'!$A$1,Dane!$H$4:$H$2463,'Trójkąty wzrostowe'!$A13,Dane!$I$4:$I$2463,$A13+E$3)</f>
        <v>0</v>
      </c>
      <c r="F13" s="71">
        <f>SUMIFS(Dane!$D$4:$D$2463,Dane!$A$4:$A$2463,'Trójkąty wzrostowe'!$A$1,Dane!$H$4:$H$2463,'Trójkąty wzrostowe'!$A13,Dane!$I$4:$I$2463,$A13+F$3)</f>
        <v>0</v>
      </c>
      <c r="G13" s="71">
        <f>SUMIFS(Dane!$D$4:$D$2463,Dane!$A$4:$A$2463,'Trójkąty wzrostowe'!$A$1,Dane!$H$4:$H$2463,'Trójkąty wzrostowe'!$A13,Dane!$I$4:$I$2463,$A13+G$3)</f>
        <v>0</v>
      </c>
      <c r="H13" s="71">
        <f>SUMIFS(Dane!$D$4:$D$2463,Dane!$A$4:$A$2463,'Trójkąty wzrostowe'!$A$1,Dane!$H$4:$H$2463,'Trójkąty wzrostowe'!$A13,Dane!$I$4:$I$2463,$A13+H$3)</f>
        <v>0</v>
      </c>
      <c r="I13" s="71">
        <f>SUMIFS(Dane!$D$4:$D$2463,Dane!$A$4:$A$2463,'Trójkąty wzrostowe'!$A$1,Dane!$H$4:$H$2463,'Trójkąty wzrostowe'!$A13,Dane!$I$4:$I$2463,$A13+I$3)</f>
        <v>0</v>
      </c>
      <c r="J13" s="71">
        <f>SUMIFS(Dane!$D$4:$D$2463,Dane!$A$4:$A$2463,'Trójkąty wzrostowe'!$A$1,Dane!$H$4:$H$2463,'Trójkąty wzrostowe'!$A13,Dane!$I$4:$I$2463,$A13+J$3)</f>
        <v>0</v>
      </c>
      <c r="K13" s="71">
        <f>SUMIFS(Dane!$D$4:$D$2463,Dane!$A$4:$A$2463,'Trójkąty wzrostowe'!$A$1,Dane!$H$4:$H$2463,'Trójkąty wzrostowe'!$A13,Dane!$I$4:$I$2463,$A13+K$3)</f>
        <v>0</v>
      </c>
    </row>
    <row r="16" spans="1:16" x14ac:dyDescent="0.25">
      <c r="A16" s="3" t="s">
        <v>19</v>
      </c>
    </row>
    <row r="17" spans="1:11" x14ac:dyDescent="0.25">
      <c r="B17" t="s">
        <v>21</v>
      </c>
    </row>
    <row r="18" spans="1:11" x14ac:dyDescent="0.25">
      <c r="A18" t="s">
        <v>22</v>
      </c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</row>
    <row r="19" spans="1:11" x14ac:dyDescent="0.25">
      <c r="A19">
        <v>2012</v>
      </c>
      <c r="B19" s="71">
        <f>SUMIFS(Dane!$D$4:$D$2463,Dane!$A$4:$A$2463,'Trójkąty wzrostowe'!$A$16,Dane!$H$4:$H$2463,'Trójkąty wzrostowe'!$A19,Dane!$I$4:$I$2463,$A19+B$18)</f>
        <v>4262147.3800735464</v>
      </c>
      <c r="C19" s="71">
        <f>SUMIFS(Dane!$D$4:$D$2463,Dane!$A$4:$A$2463,'Trójkąty wzrostowe'!$A$16,Dane!$H$4:$H$2463,'Trójkąty wzrostowe'!$A19,Dane!$I$4:$I$2463,$A19+C$18)</f>
        <v>908893.17755922838</v>
      </c>
      <c r="D19" s="71">
        <f>SUMIFS(Dane!$D$4:$D$2463,Dane!$A$4:$A$2463,'Trójkąty wzrostowe'!$A$16,Dane!$H$4:$H$2463,'Trójkąty wzrostowe'!$A19,Dane!$I$4:$I$2463,$A19+D$18)</f>
        <v>35487.603232796755</v>
      </c>
      <c r="E19" s="71">
        <f>SUMIFS(Dane!$D$4:$D$2463,Dane!$A$4:$A$2463,'Trójkąty wzrostowe'!$A$16,Dane!$H$4:$H$2463,'Trójkąty wzrostowe'!$A19,Dane!$I$4:$I$2463,$A19+E$18)</f>
        <v>11207.11784976508</v>
      </c>
      <c r="F19" s="71">
        <f>SUMIFS(Dane!$D$4:$D$2463,Dane!$A$4:$A$2463,'Trójkąty wzrostowe'!$A$16,Dane!$H$4:$H$2463,'Trójkąty wzrostowe'!$A19,Dane!$I$4:$I$2463,$A19+F$18)</f>
        <v>-1313.7383251261158</v>
      </c>
      <c r="G19" s="71">
        <f>SUMIFS(Dane!$D$4:$D$2463,Dane!$A$4:$A$2463,'Trójkąty wzrostowe'!$A$16,Dane!$H$4:$H$2463,'Trójkąty wzrostowe'!$A19,Dane!$I$4:$I$2463,$A19+G$18)</f>
        <v>-2946.1481124190636</v>
      </c>
      <c r="H19" s="71">
        <f>SUMIFS(Dane!$D$4:$D$2463,Dane!$A$4:$A$2463,'Trójkąty wzrostowe'!$A$16,Dane!$H$4:$H$2463,'Trójkąty wzrostowe'!$A19,Dane!$I$4:$I$2463,$A19+H$18)</f>
        <v>-1448.5906384238419</v>
      </c>
      <c r="I19" s="71">
        <f>SUMIFS(Dane!$D$4:$D$2463,Dane!$A$4:$A$2463,'Trójkąty wzrostowe'!$A$16,Dane!$H$4:$H$2463,'Trójkąty wzrostowe'!$A19,Dane!$I$4:$I$2463,$A19+I$18)</f>
        <v>-982.44667590606366</v>
      </c>
      <c r="J19" s="71">
        <f>SUMIFS(Dane!$D$4:$D$2463,Dane!$A$4:$A$2463,'Trójkąty wzrostowe'!$A$16,Dane!$H$4:$H$2463,'Trójkąty wzrostowe'!$A19,Dane!$I$4:$I$2463,$A19+J$18)</f>
        <v>-618.6080317016374</v>
      </c>
      <c r="K19" s="71">
        <f>SUMIFS(Dane!$D$4:$D$2463,Dane!$A$4:$A$2463,'Trójkąty wzrostowe'!$A$16,Dane!$H$4:$H$2463,'Trójkąty wzrostowe'!$A19,Dane!$I$4:$I$2463,$A19+K$18)</f>
        <v>-437.58184350393395</v>
      </c>
    </row>
    <row r="20" spans="1:11" x14ac:dyDescent="0.25">
      <c r="A20">
        <v>2013</v>
      </c>
      <c r="B20" s="71">
        <f>SUMIFS(Dane!$D$4:$D$2463,Dane!$A$4:$A$2463,'Trójkąty wzrostowe'!$A$16,Dane!$H$4:$H$2463,'Trójkąty wzrostowe'!$A20,Dane!$I$4:$I$2463,$A20+B$18)</f>
        <v>4103976.8489649151</v>
      </c>
      <c r="C20" s="71">
        <f>SUMIFS(Dane!$D$4:$D$2463,Dane!$A$4:$A$2463,'Trójkąty wzrostowe'!$A$16,Dane!$H$4:$H$2463,'Trójkąty wzrostowe'!$A20,Dane!$I$4:$I$2463,$A20+C$18)</f>
        <v>896515.92783033766</v>
      </c>
      <c r="D20" s="71">
        <f>SUMIFS(Dane!$D$4:$D$2463,Dane!$A$4:$A$2463,'Trójkąty wzrostowe'!$A$16,Dane!$H$4:$H$2463,'Trójkąty wzrostowe'!$A20,Dane!$I$4:$I$2463,$A20+D$18)</f>
        <v>29343.597195155689</v>
      </c>
      <c r="E20" s="71">
        <f>SUMIFS(Dane!$D$4:$D$2463,Dane!$A$4:$A$2463,'Trójkąty wzrostowe'!$A$16,Dane!$H$4:$H$2463,'Trójkąty wzrostowe'!$A20,Dane!$I$4:$I$2463,$A20+E$18)</f>
        <v>10491.042096997793</v>
      </c>
      <c r="F20" s="71">
        <f>SUMIFS(Dane!$D$4:$D$2463,Dane!$A$4:$A$2463,'Trójkąty wzrostowe'!$A$16,Dane!$H$4:$H$2463,'Trójkąty wzrostowe'!$A20,Dane!$I$4:$I$2463,$A20+F$18)</f>
        <v>-228.59647583371779</v>
      </c>
      <c r="G20" s="71">
        <f>SUMIFS(Dane!$D$4:$D$2463,Dane!$A$4:$A$2463,'Trójkąty wzrostowe'!$A$16,Dane!$H$4:$H$2463,'Trójkąty wzrostowe'!$A20,Dane!$I$4:$I$2463,$A20+G$18)</f>
        <v>-1451.4653707883845</v>
      </c>
      <c r="H20" s="71">
        <f>SUMIFS(Dane!$D$4:$D$2463,Dane!$A$4:$A$2463,'Trójkąty wzrostowe'!$A$16,Dane!$H$4:$H$2463,'Trójkąty wzrostowe'!$A20,Dane!$I$4:$I$2463,$A20+H$18)</f>
        <v>-121.09377657258804</v>
      </c>
      <c r="I20" s="71">
        <f>SUMIFS(Dane!$D$4:$D$2463,Dane!$A$4:$A$2463,'Trójkąty wzrostowe'!$A$16,Dane!$H$4:$H$2463,'Trójkąty wzrostowe'!$A20,Dane!$I$4:$I$2463,$A20+I$18)</f>
        <v>-339.04256559867918</v>
      </c>
      <c r="J20" s="71">
        <f>SUMIFS(Dane!$D$4:$D$2463,Dane!$A$4:$A$2463,'Trójkąty wzrostowe'!$A$16,Dane!$H$4:$H$2463,'Trójkąty wzrostowe'!$A20,Dane!$I$4:$I$2463,$A20+J$18)</f>
        <v>-669.31752524285616</v>
      </c>
      <c r="K20" s="71">
        <f>SUMIFS(Dane!$D$4:$D$2463,Dane!$A$4:$A$2463,'Trójkąty wzrostowe'!$A$16,Dane!$H$4:$H$2463,'Trójkąty wzrostowe'!$A20,Dane!$I$4:$I$2463,$A20+K$18)</f>
        <v>0</v>
      </c>
    </row>
    <row r="21" spans="1:11" x14ac:dyDescent="0.25">
      <c r="A21">
        <v>2014</v>
      </c>
      <c r="B21" s="71">
        <f>SUMIFS(Dane!$D$4:$D$2463,Dane!$A$4:$A$2463,'Trójkąty wzrostowe'!$A$16,Dane!$H$4:$H$2463,'Trójkąty wzrostowe'!$A21,Dane!$I$4:$I$2463,$A21+B$18)</f>
        <v>4144525.2888819813</v>
      </c>
      <c r="C21" s="71">
        <f>SUMIFS(Dane!$D$4:$D$2463,Dane!$A$4:$A$2463,'Trójkąty wzrostowe'!$A$16,Dane!$H$4:$H$2463,'Trójkąty wzrostowe'!$A21,Dane!$I$4:$I$2463,$A21+C$18)</f>
        <v>864793.05942539976</v>
      </c>
      <c r="D21" s="71">
        <f>SUMIFS(Dane!$D$4:$D$2463,Dane!$A$4:$A$2463,'Trójkąty wzrostowe'!$A$16,Dane!$H$4:$H$2463,'Trójkąty wzrostowe'!$A21,Dane!$I$4:$I$2463,$A21+D$18)</f>
        <v>38342.631712481991</v>
      </c>
      <c r="E21" s="71">
        <f>SUMIFS(Dane!$D$4:$D$2463,Dane!$A$4:$A$2463,'Trójkąty wzrostowe'!$A$16,Dane!$H$4:$H$2463,'Trójkąty wzrostowe'!$A21,Dane!$I$4:$I$2463,$A21+E$18)</f>
        <v>4969.668212999778</v>
      </c>
      <c r="F21" s="71">
        <f>SUMIFS(Dane!$D$4:$D$2463,Dane!$A$4:$A$2463,'Trójkąty wzrostowe'!$A$16,Dane!$H$4:$H$2463,'Trójkąty wzrostowe'!$A21,Dane!$I$4:$I$2463,$A21+F$18)</f>
        <v>-2186.4133393119864</v>
      </c>
      <c r="G21" s="71">
        <f>SUMIFS(Dane!$D$4:$D$2463,Dane!$A$4:$A$2463,'Trójkąty wzrostowe'!$A$16,Dane!$H$4:$H$2463,'Trójkąty wzrostowe'!$A21,Dane!$I$4:$I$2463,$A21+G$18)</f>
        <v>-2106.5650030474885</v>
      </c>
      <c r="H21" s="71">
        <f>SUMIFS(Dane!$D$4:$D$2463,Dane!$A$4:$A$2463,'Trójkąty wzrostowe'!$A$16,Dane!$H$4:$H$2463,'Trójkąty wzrostowe'!$A21,Dane!$I$4:$I$2463,$A21+H$18)</f>
        <v>-276.7961643232299</v>
      </c>
      <c r="I21" s="71">
        <f>SUMIFS(Dane!$D$4:$D$2463,Dane!$A$4:$A$2463,'Trójkąty wzrostowe'!$A$16,Dane!$H$4:$H$2463,'Trójkąty wzrostowe'!$A21,Dane!$I$4:$I$2463,$A21+I$18)</f>
        <v>-1212.8593238383617</v>
      </c>
      <c r="J21" s="71">
        <f>SUMIFS(Dane!$D$4:$D$2463,Dane!$A$4:$A$2463,'Trójkąty wzrostowe'!$A$16,Dane!$H$4:$H$2463,'Trójkąty wzrostowe'!$A21,Dane!$I$4:$I$2463,$A21+J$18)</f>
        <v>0</v>
      </c>
      <c r="K21" s="71">
        <f>SUMIFS(Dane!$D$4:$D$2463,Dane!$A$4:$A$2463,'Trójkąty wzrostowe'!$A$16,Dane!$H$4:$H$2463,'Trójkąty wzrostowe'!$A21,Dane!$I$4:$I$2463,$A21+K$18)</f>
        <v>0</v>
      </c>
    </row>
    <row r="22" spans="1:11" x14ac:dyDescent="0.25">
      <c r="A22">
        <v>2015</v>
      </c>
      <c r="B22" s="71">
        <f>SUMIFS(Dane!$D$4:$D$2463,Dane!$A$4:$A$2463,'Trójkąty wzrostowe'!$A$16,Dane!$H$4:$H$2463,'Trójkąty wzrostowe'!$A22,Dane!$I$4:$I$2463,$A22+B$18)</f>
        <v>4297632.8479463691</v>
      </c>
      <c r="C22" s="71">
        <f>SUMIFS(Dane!$D$4:$D$2463,Dane!$A$4:$A$2463,'Trójkąty wzrostowe'!$A$16,Dane!$H$4:$H$2463,'Trójkąty wzrostowe'!$A22,Dane!$I$4:$I$2463,$A22+C$18)</f>
        <v>894010.06168234604</v>
      </c>
      <c r="D22" s="71">
        <f>SUMIFS(Dane!$D$4:$D$2463,Dane!$A$4:$A$2463,'Trójkąty wzrostowe'!$A$16,Dane!$H$4:$H$2463,'Trójkąty wzrostowe'!$A22,Dane!$I$4:$I$2463,$A22+D$18)</f>
        <v>36420.573818587931</v>
      </c>
      <c r="E22" s="71">
        <f>SUMIFS(Dane!$D$4:$D$2463,Dane!$A$4:$A$2463,'Trójkąty wzrostowe'!$A$16,Dane!$H$4:$H$2463,'Trójkąty wzrostowe'!$A22,Dane!$I$4:$I$2463,$A22+E$18)</f>
        <v>6401.2619378613717</v>
      </c>
      <c r="F22" s="71">
        <f>SUMIFS(Dane!$D$4:$D$2463,Dane!$A$4:$A$2463,'Trójkąty wzrostowe'!$A$16,Dane!$H$4:$H$2463,'Trójkąty wzrostowe'!$A22,Dane!$I$4:$I$2463,$A22+F$18)</f>
        <v>213.56671267833926</v>
      </c>
      <c r="G22" s="71">
        <f>SUMIFS(Dane!$D$4:$D$2463,Dane!$A$4:$A$2463,'Trójkąty wzrostowe'!$A$16,Dane!$H$4:$H$2463,'Trójkąty wzrostowe'!$A22,Dane!$I$4:$I$2463,$A22+G$18)</f>
        <v>-822.65620988848752</v>
      </c>
      <c r="H22" s="71">
        <f>SUMIFS(Dane!$D$4:$D$2463,Dane!$A$4:$A$2463,'Trójkąty wzrostowe'!$A$16,Dane!$H$4:$H$2463,'Trójkąty wzrostowe'!$A22,Dane!$I$4:$I$2463,$A22+H$18)</f>
        <v>-462.97187245477642</v>
      </c>
      <c r="I22" s="71">
        <f>SUMIFS(Dane!$D$4:$D$2463,Dane!$A$4:$A$2463,'Trójkąty wzrostowe'!$A$16,Dane!$H$4:$H$2463,'Trójkąty wzrostowe'!$A22,Dane!$I$4:$I$2463,$A22+I$18)</f>
        <v>0</v>
      </c>
      <c r="J22" s="71">
        <f>SUMIFS(Dane!$D$4:$D$2463,Dane!$A$4:$A$2463,'Trójkąty wzrostowe'!$A$16,Dane!$H$4:$H$2463,'Trójkąty wzrostowe'!$A22,Dane!$I$4:$I$2463,$A22+J$18)</f>
        <v>0</v>
      </c>
      <c r="K22" s="71">
        <f>SUMIFS(Dane!$D$4:$D$2463,Dane!$A$4:$A$2463,'Trójkąty wzrostowe'!$A$16,Dane!$H$4:$H$2463,'Trójkąty wzrostowe'!$A22,Dane!$I$4:$I$2463,$A22+K$18)</f>
        <v>0</v>
      </c>
    </row>
    <row r="23" spans="1:11" x14ac:dyDescent="0.25">
      <c r="A23">
        <v>2016</v>
      </c>
      <c r="B23" s="71">
        <f>SUMIFS(Dane!$D$4:$D$2463,Dane!$A$4:$A$2463,'Trójkąty wzrostowe'!$A$16,Dane!$H$4:$H$2463,'Trójkąty wzrostowe'!$A23,Dane!$I$4:$I$2463,$A23+B$18)</f>
        <v>4725123.086187331</v>
      </c>
      <c r="C23" s="71">
        <f>SUMIFS(Dane!$D$4:$D$2463,Dane!$A$4:$A$2463,'Trójkąty wzrostowe'!$A$16,Dane!$H$4:$H$2463,'Trójkąty wzrostowe'!$A23,Dane!$I$4:$I$2463,$A23+C$18)</f>
        <v>1111860.4123792057</v>
      </c>
      <c r="D23" s="71">
        <f>SUMIFS(Dane!$D$4:$D$2463,Dane!$A$4:$A$2463,'Trójkąty wzrostowe'!$A$16,Dane!$H$4:$H$2463,'Trójkąty wzrostowe'!$A23,Dane!$I$4:$I$2463,$A23+D$18)</f>
        <v>36060.883490913126</v>
      </c>
      <c r="E23" s="71">
        <f>SUMIFS(Dane!$D$4:$D$2463,Dane!$A$4:$A$2463,'Trójkąty wzrostowe'!$A$16,Dane!$H$4:$H$2463,'Trójkąty wzrostowe'!$A23,Dane!$I$4:$I$2463,$A23+E$18)</f>
        <v>10026.600016701173</v>
      </c>
      <c r="F23" s="71">
        <f>SUMIFS(Dane!$D$4:$D$2463,Dane!$A$4:$A$2463,'Trójkąty wzrostowe'!$A$16,Dane!$H$4:$H$2463,'Trójkąty wzrostowe'!$A23,Dane!$I$4:$I$2463,$A23+F$18)</f>
        <v>1556.4220230507076</v>
      </c>
      <c r="G23" s="71">
        <f>SUMIFS(Dane!$D$4:$D$2463,Dane!$A$4:$A$2463,'Trójkąty wzrostowe'!$A$16,Dane!$H$4:$H$2463,'Trójkąty wzrostowe'!$A23,Dane!$I$4:$I$2463,$A23+G$18)</f>
        <v>1954.9811085403626</v>
      </c>
      <c r="H23" s="71">
        <f>SUMIFS(Dane!$D$4:$D$2463,Dane!$A$4:$A$2463,'Trójkąty wzrostowe'!$A$16,Dane!$H$4:$H$2463,'Trójkąty wzrostowe'!$A23,Dane!$I$4:$I$2463,$A23+H$18)</f>
        <v>0</v>
      </c>
      <c r="I23" s="71">
        <f>SUMIFS(Dane!$D$4:$D$2463,Dane!$A$4:$A$2463,'Trójkąty wzrostowe'!$A$16,Dane!$H$4:$H$2463,'Trójkąty wzrostowe'!$A23,Dane!$I$4:$I$2463,$A23+I$18)</f>
        <v>0</v>
      </c>
      <c r="J23" s="71">
        <f>SUMIFS(Dane!$D$4:$D$2463,Dane!$A$4:$A$2463,'Trójkąty wzrostowe'!$A$16,Dane!$H$4:$H$2463,'Trójkąty wzrostowe'!$A23,Dane!$I$4:$I$2463,$A23+J$18)</f>
        <v>0</v>
      </c>
      <c r="K23" s="71">
        <f>SUMIFS(Dane!$D$4:$D$2463,Dane!$A$4:$A$2463,'Trójkąty wzrostowe'!$A$16,Dane!$H$4:$H$2463,'Trójkąty wzrostowe'!$A23,Dane!$I$4:$I$2463,$A23+K$18)</f>
        <v>0</v>
      </c>
    </row>
    <row r="24" spans="1:11" x14ac:dyDescent="0.25">
      <c r="A24">
        <v>2017</v>
      </c>
      <c r="B24" s="71">
        <f>SUMIFS(Dane!$D$4:$D$2463,Dane!$A$4:$A$2463,'Trójkąty wzrostowe'!$A$16,Dane!$H$4:$H$2463,'Trójkąty wzrostowe'!$A24,Dane!$I$4:$I$2463,$A24+B$18)</f>
        <v>5597984.1078659333</v>
      </c>
      <c r="C24" s="71">
        <f>SUMIFS(Dane!$D$4:$D$2463,Dane!$A$4:$A$2463,'Trójkąty wzrostowe'!$A$16,Dane!$H$4:$H$2463,'Trójkąty wzrostowe'!$A24,Dane!$I$4:$I$2463,$A24+C$18)</f>
        <v>1372630.0821177366</v>
      </c>
      <c r="D24" s="71">
        <f>SUMIFS(Dane!$D$4:$D$2463,Dane!$A$4:$A$2463,'Trójkąty wzrostowe'!$A$16,Dane!$H$4:$H$2463,'Trójkąty wzrostowe'!$A24,Dane!$I$4:$I$2463,$A24+D$18)</f>
        <v>96231.663269106866</v>
      </c>
      <c r="E24" s="71">
        <f>SUMIFS(Dane!$D$4:$D$2463,Dane!$A$4:$A$2463,'Trójkąty wzrostowe'!$A$16,Dane!$H$4:$H$2463,'Trójkąty wzrostowe'!$A24,Dane!$I$4:$I$2463,$A24+E$18)</f>
        <v>1985.1601775173385</v>
      </c>
      <c r="F24" s="71">
        <f>SUMIFS(Dane!$D$4:$D$2463,Dane!$A$4:$A$2463,'Trójkąty wzrostowe'!$A$16,Dane!$H$4:$H$2463,'Trójkąty wzrostowe'!$A24,Dane!$I$4:$I$2463,$A24+F$18)</f>
        <v>-1138.7440518128872</v>
      </c>
      <c r="G24" s="71">
        <f>SUMIFS(Dane!$D$4:$D$2463,Dane!$A$4:$A$2463,'Trójkąty wzrostowe'!$A$16,Dane!$H$4:$H$2463,'Trójkąty wzrostowe'!$A24,Dane!$I$4:$I$2463,$A24+G$18)</f>
        <v>0</v>
      </c>
      <c r="H24" s="71">
        <f>SUMIFS(Dane!$D$4:$D$2463,Dane!$A$4:$A$2463,'Trójkąty wzrostowe'!$A$16,Dane!$H$4:$H$2463,'Trójkąty wzrostowe'!$A24,Dane!$I$4:$I$2463,$A24+H$18)</f>
        <v>0</v>
      </c>
      <c r="I24" s="71">
        <f>SUMIFS(Dane!$D$4:$D$2463,Dane!$A$4:$A$2463,'Trójkąty wzrostowe'!$A$16,Dane!$H$4:$H$2463,'Trójkąty wzrostowe'!$A24,Dane!$I$4:$I$2463,$A24+I$18)</f>
        <v>0</v>
      </c>
      <c r="J24" s="71">
        <f>SUMIFS(Dane!$D$4:$D$2463,Dane!$A$4:$A$2463,'Trójkąty wzrostowe'!$A$16,Dane!$H$4:$H$2463,'Trójkąty wzrostowe'!$A24,Dane!$I$4:$I$2463,$A24+J$18)</f>
        <v>0</v>
      </c>
      <c r="K24" s="71">
        <f>SUMIFS(Dane!$D$4:$D$2463,Dane!$A$4:$A$2463,'Trójkąty wzrostowe'!$A$16,Dane!$H$4:$H$2463,'Trójkąty wzrostowe'!$A24,Dane!$I$4:$I$2463,$A24+K$18)</f>
        <v>0</v>
      </c>
    </row>
    <row r="25" spans="1:11" x14ac:dyDescent="0.25">
      <c r="A25">
        <v>2018</v>
      </c>
      <c r="B25" s="71">
        <f>SUMIFS(Dane!$D$4:$D$2463,Dane!$A$4:$A$2463,'Trójkąty wzrostowe'!$A$16,Dane!$H$4:$H$2463,'Trójkąty wzrostowe'!$A25,Dane!$I$4:$I$2463,$A25+B$18)</f>
        <v>5550939.8858195748</v>
      </c>
      <c r="C25" s="71">
        <f>SUMIFS(Dane!$D$4:$D$2463,Dane!$A$4:$A$2463,'Trójkąty wzrostowe'!$A$16,Dane!$H$4:$H$2463,'Trójkąty wzrostowe'!$A25,Dane!$I$4:$I$2463,$A25+C$18)</f>
        <v>1270324.1244757227</v>
      </c>
      <c r="D25" s="71">
        <f>SUMIFS(Dane!$D$4:$D$2463,Dane!$A$4:$A$2463,'Trójkąty wzrostowe'!$A$16,Dane!$H$4:$H$2463,'Trójkąty wzrostowe'!$A25,Dane!$I$4:$I$2463,$A25+D$18)</f>
        <v>44717.052294957204</v>
      </c>
      <c r="E25" s="71">
        <f>SUMIFS(Dane!$D$4:$D$2463,Dane!$A$4:$A$2463,'Trójkąty wzrostowe'!$A$16,Dane!$H$4:$H$2463,'Trójkąty wzrostowe'!$A25,Dane!$I$4:$I$2463,$A25+E$18)</f>
        <v>15053.193476970619</v>
      </c>
      <c r="F25" s="71">
        <f>SUMIFS(Dane!$D$4:$D$2463,Dane!$A$4:$A$2463,'Trójkąty wzrostowe'!$A$16,Dane!$H$4:$H$2463,'Trójkąty wzrostowe'!$A25,Dane!$I$4:$I$2463,$A25+F$18)</f>
        <v>0</v>
      </c>
      <c r="G25" s="71">
        <f>SUMIFS(Dane!$D$4:$D$2463,Dane!$A$4:$A$2463,'Trójkąty wzrostowe'!$A$16,Dane!$H$4:$H$2463,'Trójkąty wzrostowe'!$A25,Dane!$I$4:$I$2463,$A25+G$18)</f>
        <v>0</v>
      </c>
      <c r="H25" s="71">
        <f>SUMIFS(Dane!$D$4:$D$2463,Dane!$A$4:$A$2463,'Trójkąty wzrostowe'!$A$16,Dane!$H$4:$H$2463,'Trójkąty wzrostowe'!$A25,Dane!$I$4:$I$2463,$A25+H$18)</f>
        <v>0</v>
      </c>
      <c r="I25" s="71">
        <f>SUMIFS(Dane!$D$4:$D$2463,Dane!$A$4:$A$2463,'Trójkąty wzrostowe'!$A$16,Dane!$H$4:$H$2463,'Trójkąty wzrostowe'!$A25,Dane!$I$4:$I$2463,$A25+I$18)</f>
        <v>0</v>
      </c>
      <c r="J25" s="71">
        <f>SUMIFS(Dane!$D$4:$D$2463,Dane!$A$4:$A$2463,'Trójkąty wzrostowe'!$A$16,Dane!$H$4:$H$2463,'Trójkąty wzrostowe'!$A25,Dane!$I$4:$I$2463,$A25+J$18)</f>
        <v>0</v>
      </c>
      <c r="K25" s="71">
        <f>SUMIFS(Dane!$D$4:$D$2463,Dane!$A$4:$A$2463,'Trójkąty wzrostowe'!$A$16,Dane!$H$4:$H$2463,'Trójkąty wzrostowe'!$A25,Dane!$I$4:$I$2463,$A25+K$18)</f>
        <v>0</v>
      </c>
    </row>
    <row r="26" spans="1:11" x14ac:dyDescent="0.25">
      <c r="A26">
        <v>2019</v>
      </c>
      <c r="B26" s="71">
        <f>SUMIFS(Dane!$D$4:$D$2463,Dane!$A$4:$A$2463,'Trójkąty wzrostowe'!$A$16,Dane!$H$4:$H$2463,'Trójkąty wzrostowe'!$A26,Dane!$I$4:$I$2463,$A26+B$18)</f>
        <v>5825184.4614891456</v>
      </c>
      <c r="C26" s="71">
        <f>SUMIFS(Dane!$D$4:$D$2463,Dane!$A$4:$A$2463,'Trójkąty wzrostowe'!$A$16,Dane!$H$4:$H$2463,'Trójkąty wzrostowe'!$A26,Dane!$I$4:$I$2463,$A26+C$18)</f>
        <v>1177063.1355320369</v>
      </c>
      <c r="D26" s="71">
        <f>SUMIFS(Dane!$D$4:$D$2463,Dane!$A$4:$A$2463,'Trójkąty wzrostowe'!$A$16,Dane!$H$4:$H$2463,'Trójkąty wzrostowe'!$A26,Dane!$I$4:$I$2463,$A26+D$18)</f>
        <v>29925.513889095171</v>
      </c>
      <c r="E26" s="71">
        <f>SUMIFS(Dane!$D$4:$D$2463,Dane!$A$4:$A$2463,'Trójkąty wzrostowe'!$A$16,Dane!$H$4:$H$2463,'Trójkąty wzrostowe'!$A26,Dane!$I$4:$I$2463,$A26+E$18)</f>
        <v>0</v>
      </c>
      <c r="F26" s="71">
        <f>SUMIFS(Dane!$D$4:$D$2463,Dane!$A$4:$A$2463,'Trójkąty wzrostowe'!$A$16,Dane!$H$4:$H$2463,'Trójkąty wzrostowe'!$A26,Dane!$I$4:$I$2463,$A26+F$18)</f>
        <v>0</v>
      </c>
      <c r="G26" s="71">
        <f>SUMIFS(Dane!$D$4:$D$2463,Dane!$A$4:$A$2463,'Trójkąty wzrostowe'!$A$16,Dane!$H$4:$H$2463,'Trójkąty wzrostowe'!$A26,Dane!$I$4:$I$2463,$A26+G$18)</f>
        <v>0</v>
      </c>
      <c r="H26" s="71">
        <f>SUMIFS(Dane!$D$4:$D$2463,Dane!$A$4:$A$2463,'Trójkąty wzrostowe'!$A$16,Dane!$H$4:$H$2463,'Trójkąty wzrostowe'!$A26,Dane!$I$4:$I$2463,$A26+H$18)</f>
        <v>0</v>
      </c>
      <c r="I26" s="71">
        <f>SUMIFS(Dane!$D$4:$D$2463,Dane!$A$4:$A$2463,'Trójkąty wzrostowe'!$A$16,Dane!$H$4:$H$2463,'Trójkąty wzrostowe'!$A26,Dane!$I$4:$I$2463,$A26+I$18)</f>
        <v>0</v>
      </c>
      <c r="J26" s="71">
        <f>SUMIFS(Dane!$D$4:$D$2463,Dane!$A$4:$A$2463,'Trójkąty wzrostowe'!$A$16,Dane!$H$4:$H$2463,'Trójkąty wzrostowe'!$A26,Dane!$I$4:$I$2463,$A26+J$18)</f>
        <v>0</v>
      </c>
      <c r="K26" s="71">
        <f>SUMIFS(Dane!$D$4:$D$2463,Dane!$A$4:$A$2463,'Trójkąty wzrostowe'!$A$16,Dane!$H$4:$H$2463,'Trójkąty wzrostowe'!$A26,Dane!$I$4:$I$2463,$A26+K$18)</f>
        <v>0</v>
      </c>
    </row>
    <row r="27" spans="1:11" x14ac:dyDescent="0.25">
      <c r="A27">
        <v>2020</v>
      </c>
      <c r="B27" s="71">
        <f>SUMIFS(Dane!$D$4:$D$2463,Dane!$A$4:$A$2463,'Trójkąty wzrostowe'!$A$16,Dane!$H$4:$H$2463,'Trójkąty wzrostowe'!$A27,Dane!$I$4:$I$2463,$A27+B$18)</f>
        <v>6735078.0685242079</v>
      </c>
      <c r="C27" s="71">
        <f>SUMIFS(Dane!$D$4:$D$2463,Dane!$A$4:$A$2463,'Trójkąty wzrostowe'!$A$16,Dane!$H$4:$H$2463,'Trójkąty wzrostowe'!$A27,Dane!$I$4:$I$2463,$A27+C$18)</f>
        <v>1241394.9013417144</v>
      </c>
      <c r="D27" s="71">
        <f>SUMIFS(Dane!$D$4:$D$2463,Dane!$A$4:$A$2463,'Trójkąty wzrostowe'!$A$16,Dane!$H$4:$H$2463,'Trójkąty wzrostowe'!$A27,Dane!$I$4:$I$2463,$A27+D$18)</f>
        <v>0</v>
      </c>
      <c r="E27" s="71">
        <f>SUMIFS(Dane!$D$4:$D$2463,Dane!$A$4:$A$2463,'Trójkąty wzrostowe'!$A$16,Dane!$H$4:$H$2463,'Trójkąty wzrostowe'!$A27,Dane!$I$4:$I$2463,$A27+E$18)</f>
        <v>0</v>
      </c>
      <c r="F27" s="71">
        <f>SUMIFS(Dane!$D$4:$D$2463,Dane!$A$4:$A$2463,'Trójkąty wzrostowe'!$A$16,Dane!$H$4:$H$2463,'Trójkąty wzrostowe'!$A27,Dane!$I$4:$I$2463,$A27+F$18)</f>
        <v>0</v>
      </c>
      <c r="G27" s="71">
        <f>SUMIFS(Dane!$D$4:$D$2463,Dane!$A$4:$A$2463,'Trójkąty wzrostowe'!$A$16,Dane!$H$4:$H$2463,'Trójkąty wzrostowe'!$A27,Dane!$I$4:$I$2463,$A27+G$18)</f>
        <v>0</v>
      </c>
      <c r="H27" s="71">
        <f>SUMIFS(Dane!$D$4:$D$2463,Dane!$A$4:$A$2463,'Trójkąty wzrostowe'!$A$16,Dane!$H$4:$H$2463,'Trójkąty wzrostowe'!$A27,Dane!$I$4:$I$2463,$A27+H$18)</f>
        <v>0</v>
      </c>
      <c r="I27" s="71">
        <f>SUMIFS(Dane!$D$4:$D$2463,Dane!$A$4:$A$2463,'Trójkąty wzrostowe'!$A$16,Dane!$H$4:$H$2463,'Trójkąty wzrostowe'!$A27,Dane!$I$4:$I$2463,$A27+I$18)</f>
        <v>0</v>
      </c>
      <c r="J27" s="71">
        <f>SUMIFS(Dane!$D$4:$D$2463,Dane!$A$4:$A$2463,'Trójkąty wzrostowe'!$A$16,Dane!$H$4:$H$2463,'Trójkąty wzrostowe'!$A27,Dane!$I$4:$I$2463,$A27+J$18)</f>
        <v>0</v>
      </c>
      <c r="K27" s="71">
        <f>SUMIFS(Dane!$D$4:$D$2463,Dane!$A$4:$A$2463,'Trójkąty wzrostowe'!$A$16,Dane!$H$4:$H$2463,'Trójkąty wzrostowe'!$A27,Dane!$I$4:$I$2463,$A27+K$18)</f>
        <v>0</v>
      </c>
    </row>
    <row r="28" spans="1:11" x14ac:dyDescent="0.25">
      <c r="A28">
        <v>2021</v>
      </c>
      <c r="B28" s="71">
        <f>SUMIFS(Dane!$D$4:$D$2463,Dane!$A$4:$A$2463,'Trójkąty wzrostowe'!$A$16,Dane!$H$4:$H$2463,'Trójkąty wzrostowe'!$A28,Dane!$I$4:$I$2463,$A28+B$18)</f>
        <v>6428313.2761970535</v>
      </c>
      <c r="C28" s="71">
        <f>SUMIFS(Dane!$D$4:$D$2463,Dane!$A$4:$A$2463,'Trójkąty wzrostowe'!$A$16,Dane!$H$4:$H$2463,'Trójkąty wzrostowe'!$A28,Dane!$I$4:$I$2463,$A28+C$18)</f>
        <v>0</v>
      </c>
      <c r="D28" s="71">
        <f>SUMIFS(Dane!$D$4:$D$2463,Dane!$A$4:$A$2463,'Trójkąty wzrostowe'!$A$16,Dane!$H$4:$H$2463,'Trójkąty wzrostowe'!$A28,Dane!$I$4:$I$2463,$A28+D$18)</f>
        <v>0</v>
      </c>
      <c r="E28" s="71">
        <f>SUMIFS(Dane!$D$4:$D$2463,Dane!$A$4:$A$2463,'Trójkąty wzrostowe'!$A$16,Dane!$H$4:$H$2463,'Trójkąty wzrostowe'!$A28,Dane!$I$4:$I$2463,$A28+E$18)</f>
        <v>0</v>
      </c>
      <c r="F28" s="71">
        <f>SUMIFS(Dane!$D$4:$D$2463,Dane!$A$4:$A$2463,'Trójkąty wzrostowe'!$A$16,Dane!$H$4:$H$2463,'Trójkąty wzrostowe'!$A28,Dane!$I$4:$I$2463,$A28+F$18)</f>
        <v>0</v>
      </c>
      <c r="G28" s="71">
        <f>SUMIFS(Dane!$D$4:$D$2463,Dane!$A$4:$A$2463,'Trójkąty wzrostowe'!$A$16,Dane!$H$4:$H$2463,'Trójkąty wzrostowe'!$A28,Dane!$I$4:$I$2463,$A28+G$18)</f>
        <v>0</v>
      </c>
      <c r="H28" s="71">
        <f>SUMIFS(Dane!$D$4:$D$2463,Dane!$A$4:$A$2463,'Trójkąty wzrostowe'!$A$16,Dane!$H$4:$H$2463,'Trójkąty wzrostowe'!$A28,Dane!$I$4:$I$2463,$A28+H$18)</f>
        <v>0</v>
      </c>
      <c r="I28" s="71">
        <f>SUMIFS(Dane!$D$4:$D$2463,Dane!$A$4:$A$2463,'Trójkąty wzrostowe'!$A$16,Dane!$H$4:$H$2463,'Trójkąty wzrostowe'!$A28,Dane!$I$4:$I$2463,$A28+I$18)</f>
        <v>0</v>
      </c>
      <c r="J28" s="71">
        <f>SUMIFS(Dane!$D$4:$D$2463,Dane!$A$4:$A$2463,'Trójkąty wzrostowe'!$A$16,Dane!$H$4:$H$2463,'Trójkąty wzrostowe'!$A28,Dane!$I$4:$I$2463,$A28+J$18)</f>
        <v>0</v>
      </c>
      <c r="K28" s="71">
        <f>SUMIFS(Dane!$D$4:$D$2463,Dane!$A$4:$A$2463,'Trójkąty wzrostowe'!$A$16,Dane!$H$4:$H$2463,'Trójkąty wzrostowe'!$A28,Dane!$I$4:$I$2463,$A28+K$18)</f>
        <v>0</v>
      </c>
    </row>
    <row r="31" spans="1:11" x14ac:dyDescent="0.25">
      <c r="A31" s="3" t="s">
        <v>18</v>
      </c>
    </row>
    <row r="32" spans="1:11" x14ac:dyDescent="0.25">
      <c r="B32" t="s">
        <v>21</v>
      </c>
    </row>
    <row r="33" spans="1:11" x14ac:dyDescent="0.25">
      <c r="A33" t="s">
        <v>22</v>
      </c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</row>
    <row r="34" spans="1:11" x14ac:dyDescent="0.25">
      <c r="A34">
        <v>2012</v>
      </c>
      <c r="B34" s="71">
        <f>SUMIFS(Dane!$D$4:$D$2463,Dane!$A$4:$A$2463,'Trójkąty wzrostowe'!$A$31,Dane!$H$4:$H$2463,'Trójkąty wzrostowe'!$A34,Dane!$I$4:$I$2463,$A34+B$33)</f>
        <v>5581442.6576523483</v>
      </c>
      <c r="C34" s="71">
        <f>SUMIFS(Dane!$D$4:$D$2463,Dane!$A$4:$A$2463,'Trójkąty wzrostowe'!$A$31,Dane!$H$4:$H$2463,'Trójkąty wzrostowe'!$A34,Dane!$I$4:$I$2463,$A34+C$33)</f>
        <v>2625210.113135444</v>
      </c>
      <c r="D34" s="71">
        <f>SUMIFS(Dane!$D$4:$D$2463,Dane!$A$4:$A$2463,'Trójkąty wzrostowe'!$A$31,Dane!$H$4:$H$2463,'Trójkąty wzrostowe'!$A34,Dane!$I$4:$I$2463,$A34+D$33)</f>
        <v>691549.15824054903</v>
      </c>
      <c r="E34" s="71">
        <f>SUMIFS(Dane!$D$4:$D$2463,Dane!$A$4:$A$2463,'Trójkąty wzrostowe'!$A$31,Dane!$H$4:$H$2463,'Trójkąty wzrostowe'!$A34,Dane!$I$4:$I$2463,$A34+E$33)</f>
        <v>322372.719582399</v>
      </c>
      <c r="F34" s="71">
        <f>SUMIFS(Dane!$D$4:$D$2463,Dane!$A$4:$A$2463,'Trójkąty wzrostowe'!$A$31,Dane!$H$4:$H$2463,'Trójkąty wzrostowe'!$A34,Dane!$I$4:$I$2463,$A34+F$33)</f>
        <v>205279.06823869896</v>
      </c>
      <c r="G34" s="71">
        <f>SUMIFS(Dane!$D$4:$D$2463,Dane!$A$4:$A$2463,'Trójkąty wzrostowe'!$A$31,Dane!$H$4:$H$2463,'Trójkąty wzrostowe'!$A34,Dane!$I$4:$I$2463,$A34+G$33)</f>
        <v>105899.42056843232</v>
      </c>
      <c r="H34" s="71">
        <f>SUMIFS(Dane!$D$4:$D$2463,Dane!$A$4:$A$2463,'Trójkąty wzrostowe'!$A$31,Dane!$H$4:$H$2463,'Trójkąty wzrostowe'!$A34,Dane!$I$4:$I$2463,$A34+H$33)</f>
        <v>70797.36508183791</v>
      </c>
      <c r="I34" s="71">
        <f>SUMIFS(Dane!$D$4:$D$2463,Dane!$A$4:$A$2463,'Trójkąty wzrostowe'!$A$31,Dane!$H$4:$H$2463,'Trójkąty wzrostowe'!$A34,Dane!$I$4:$I$2463,$A34+I$33)</f>
        <v>62234.678272342921</v>
      </c>
      <c r="J34" s="71">
        <f>SUMIFS(Dane!$D$4:$D$2463,Dane!$A$4:$A$2463,'Trójkąty wzrostowe'!$A$31,Dane!$H$4:$H$2463,'Trójkąty wzrostowe'!$A34,Dane!$I$4:$I$2463,$A34+J$33)</f>
        <v>79405.986339088922</v>
      </c>
      <c r="K34" s="71">
        <f>SUMIFS(Dane!$D$4:$D$2463,Dane!$A$4:$A$2463,'Trójkąty wzrostowe'!$A$31,Dane!$H$4:$H$2463,'Trójkąty wzrostowe'!$A34,Dane!$I$4:$I$2463,$A34+K$33)</f>
        <v>92694.004999771583</v>
      </c>
    </row>
    <row r="35" spans="1:11" x14ac:dyDescent="0.25">
      <c r="A35">
        <v>2013</v>
      </c>
      <c r="B35" s="71">
        <f>SUMIFS(Dane!$D$4:$D$2463,Dane!$A$4:$A$2463,'Trójkąty wzrostowe'!$A$31,Dane!$H$4:$H$2463,'Trójkąty wzrostowe'!$A35,Dane!$I$4:$I$2463,$A35+B$33)</f>
        <v>5411379.5550185256</v>
      </c>
      <c r="C35" s="71">
        <f>SUMIFS(Dane!$D$4:$D$2463,Dane!$A$4:$A$2463,'Trójkąty wzrostowe'!$A$31,Dane!$H$4:$H$2463,'Trójkąty wzrostowe'!$A35,Dane!$I$4:$I$2463,$A35+C$33)</f>
        <v>2489214.3426408647</v>
      </c>
      <c r="D35" s="71">
        <f>SUMIFS(Dane!$D$4:$D$2463,Dane!$A$4:$A$2463,'Trójkąty wzrostowe'!$A$31,Dane!$H$4:$H$2463,'Trójkąty wzrostowe'!$A35,Dane!$I$4:$I$2463,$A35+D$33)</f>
        <v>552215.63223277009</v>
      </c>
      <c r="E35" s="71">
        <f>SUMIFS(Dane!$D$4:$D$2463,Dane!$A$4:$A$2463,'Trójkąty wzrostowe'!$A$31,Dane!$H$4:$H$2463,'Trójkąty wzrostowe'!$A35,Dane!$I$4:$I$2463,$A35+E$33)</f>
        <v>286781.20796264295</v>
      </c>
      <c r="F35" s="71">
        <f>SUMIFS(Dane!$D$4:$D$2463,Dane!$A$4:$A$2463,'Trójkąty wzrostowe'!$A$31,Dane!$H$4:$H$2463,'Trójkąty wzrostowe'!$A35,Dane!$I$4:$I$2463,$A35+F$33)</f>
        <v>142690.95239705517</v>
      </c>
      <c r="G35" s="71">
        <f>SUMIFS(Dane!$D$4:$D$2463,Dane!$A$4:$A$2463,'Trójkąty wzrostowe'!$A$31,Dane!$H$4:$H$2463,'Trójkąty wzrostowe'!$A35,Dane!$I$4:$I$2463,$A35+G$33)</f>
        <v>139577.1557528952</v>
      </c>
      <c r="H35" s="71">
        <f>SUMIFS(Dane!$D$4:$D$2463,Dane!$A$4:$A$2463,'Trójkąty wzrostowe'!$A$31,Dane!$H$4:$H$2463,'Trójkąty wzrostowe'!$A35,Dane!$I$4:$I$2463,$A35+H$33)</f>
        <v>80138.282089585366</v>
      </c>
      <c r="I35" s="71">
        <f>SUMIFS(Dane!$D$4:$D$2463,Dane!$A$4:$A$2463,'Trójkąty wzrostowe'!$A$31,Dane!$H$4:$H$2463,'Trójkąty wzrostowe'!$A35,Dane!$I$4:$I$2463,$A35+I$33)</f>
        <v>75707.975272332667</v>
      </c>
      <c r="J35" s="71">
        <f>SUMIFS(Dane!$D$4:$D$2463,Dane!$A$4:$A$2463,'Trójkąty wzrostowe'!$A$31,Dane!$H$4:$H$2463,'Trójkąty wzrostowe'!$A35,Dane!$I$4:$I$2463,$A35+J$33)</f>
        <v>54428.063752158349</v>
      </c>
      <c r="K35" s="71">
        <f>SUMIFS(Dane!$D$4:$D$2463,Dane!$A$4:$A$2463,'Trójkąty wzrostowe'!$A$31,Dane!$H$4:$H$2463,'Trójkąty wzrostowe'!$A35,Dane!$I$4:$I$2463,$A35+K$33)</f>
        <v>0</v>
      </c>
    </row>
    <row r="36" spans="1:11" x14ac:dyDescent="0.25">
      <c r="A36">
        <v>2014</v>
      </c>
      <c r="B36" s="71">
        <f>SUMIFS(Dane!$D$4:$D$2463,Dane!$A$4:$A$2463,'Trójkąty wzrostowe'!$A$31,Dane!$H$4:$H$2463,'Trójkąty wzrostowe'!$A36,Dane!$I$4:$I$2463,$A36+B$33)</f>
        <v>5125655.4854002073</v>
      </c>
      <c r="C36" s="71">
        <f>SUMIFS(Dane!$D$4:$D$2463,Dane!$A$4:$A$2463,'Trójkąty wzrostowe'!$A$31,Dane!$H$4:$H$2463,'Trójkąty wzrostowe'!$A36,Dane!$I$4:$I$2463,$A36+C$33)</f>
        <v>2294020.0503576775</v>
      </c>
      <c r="D36" s="71">
        <f>SUMIFS(Dane!$D$4:$D$2463,Dane!$A$4:$A$2463,'Trójkąty wzrostowe'!$A$31,Dane!$H$4:$H$2463,'Trójkąty wzrostowe'!$A36,Dane!$I$4:$I$2463,$A36+D$33)</f>
        <v>615519.01164511091</v>
      </c>
      <c r="E36" s="71">
        <f>SUMIFS(Dane!$D$4:$D$2463,Dane!$A$4:$A$2463,'Trójkąty wzrostowe'!$A$31,Dane!$H$4:$H$2463,'Trójkąty wzrostowe'!$A36,Dane!$I$4:$I$2463,$A36+E$33)</f>
        <v>276099.01908228453</v>
      </c>
      <c r="F36" s="71">
        <f>SUMIFS(Dane!$D$4:$D$2463,Dane!$A$4:$A$2463,'Trójkąty wzrostowe'!$A$31,Dane!$H$4:$H$2463,'Trójkąty wzrostowe'!$A36,Dane!$I$4:$I$2463,$A36+F$33)</f>
        <v>174545.42676688317</v>
      </c>
      <c r="G36" s="71">
        <f>SUMIFS(Dane!$D$4:$D$2463,Dane!$A$4:$A$2463,'Trójkąty wzrostowe'!$A$31,Dane!$H$4:$H$2463,'Trójkąty wzrostowe'!$A36,Dane!$I$4:$I$2463,$A36+G$33)</f>
        <v>126914.23017111614</v>
      </c>
      <c r="H36" s="71">
        <f>SUMIFS(Dane!$D$4:$D$2463,Dane!$A$4:$A$2463,'Trójkąty wzrostowe'!$A$31,Dane!$H$4:$H$2463,'Trójkąty wzrostowe'!$A36,Dane!$I$4:$I$2463,$A36+H$33)</f>
        <v>92336.623873337259</v>
      </c>
      <c r="I36" s="71">
        <f>SUMIFS(Dane!$D$4:$D$2463,Dane!$A$4:$A$2463,'Trójkąty wzrostowe'!$A$31,Dane!$H$4:$H$2463,'Trójkąty wzrostowe'!$A36,Dane!$I$4:$I$2463,$A36+I$33)</f>
        <v>85102.217876027615</v>
      </c>
      <c r="J36" s="71">
        <f>SUMIFS(Dane!$D$4:$D$2463,Dane!$A$4:$A$2463,'Trójkąty wzrostowe'!$A$31,Dane!$H$4:$H$2463,'Trójkąty wzrostowe'!$A36,Dane!$I$4:$I$2463,$A36+J$33)</f>
        <v>0</v>
      </c>
      <c r="K36" s="71">
        <f>SUMIFS(Dane!$D$4:$D$2463,Dane!$A$4:$A$2463,'Trójkąty wzrostowe'!$A$31,Dane!$H$4:$H$2463,'Trójkąty wzrostowe'!$A36,Dane!$I$4:$I$2463,$A36+K$33)</f>
        <v>0</v>
      </c>
    </row>
    <row r="37" spans="1:11" x14ac:dyDescent="0.25">
      <c r="A37">
        <v>2015</v>
      </c>
      <c r="B37" s="71">
        <f>SUMIFS(Dane!$D$4:$D$2463,Dane!$A$4:$A$2463,'Trójkąty wzrostowe'!$A$31,Dane!$H$4:$H$2463,'Trójkąty wzrostowe'!$A37,Dane!$I$4:$I$2463,$A37+B$33)</f>
        <v>4937863.1805621143</v>
      </c>
      <c r="C37" s="71">
        <f>SUMIFS(Dane!$D$4:$D$2463,Dane!$A$4:$A$2463,'Trójkąty wzrostowe'!$A$31,Dane!$H$4:$H$2463,'Trójkąty wzrostowe'!$A37,Dane!$I$4:$I$2463,$A37+C$33)</f>
        <v>2342355.3522657119</v>
      </c>
      <c r="D37" s="71">
        <f>SUMIFS(Dane!$D$4:$D$2463,Dane!$A$4:$A$2463,'Trójkąty wzrostowe'!$A$31,Dane!$H$4:$H$2463,'Trójkąty wzrostowe'!$A37,Dane!$I$4:$I$2463,$A37+D$33)</f>
        <v>480840.58482082398</v>
      </c>
      <c r="E37" s="71">
        <f>SUMIFS(Dane!$D$4:$D$2463,Dane!$A$4:$A$2463,'Trójkąty wzrostowe'!$A$31,Dane!$H$4:$H$2463,'Trójkąty wzrostowe'!$A37,Dane!$I$4:$I$2463,$A37+E$33)</f>
        <v>309535.3860075511</v>
      </c>
      <c r="F37" s="71">
        <f>SUMIFS(Dane!$D$4:$D$2463,Dane!$A$4:$A$2463,'Trójkąty wzrostowe'!$A$31,Dane!$H$4:$H$2463,'Trójkąty wzrostowe'!$A37,Dane!$I$4:$I$2463,$A37+F$33)</f>
        <v>287092.33522857545</v>
      </c>
      <c r="G37" s="71">
        <f>SUMIFS(Dane!$D$4:$D$2463,Dane!$A$4:$A$2463,'Trójkąty wzrostowe'!$A$31,Dane!$H$4:$H$2463,'Trójkąty wzrostowe'!$A37,Dane!$I$4:$I$2463,$A37+G$33)</f>
        <v>151047.47754490265</v>
      </c>
      <c r="H37" s="71">
        <f>SUMIFS(Dane!$D$4:$D$2463,Dane!$A$4:$A$2463,'Trójkąty wzrostowe'!$A$31,Dane!$H$4:$H$2463,'Trójkąty wzrostowe'!$A37,Dane!$I$4:$I$2463,$A37+H$33)</f>
        <v>88564.352231611483</v>
      </c>
      <c r="I37" s="71">
        <f>SUMIFS(Dane!$D$4:$D$2463,Dane!$A$4:$A$2463,'Trójkąty wzrostowe'!$A$31,Dane!$H$4:$H$2463,'Trójkąty wzrostowe'!$A37,Dane!$I$4:$I$2463,$A37+I$33)</f>
        <v>0</v>
      </c>
      <c r="J37" s="71">
        <f>SUMIFS(Dane!$D$4:$D$2463,Dane!$A$4:$A$2463,'Trójkąty wzrostowe'!$A$31,Dane!$H$4:$H$2463,'Trójkąty wzrostowe'!$A37,Dane!$I$4:$I$2463,$A37+J$33)</f>
        <v>0</v>
      </c>
      <c r="K37" s="71">
        <f>SUMIFS(Dane!$D$4:$D$2463,Dane!$A$4:$A$2463,'Trójkąty wzrostowe'!$A$31,Dane!$H$4:$H$2463,'Trójkąty wzrostowe'!$A37,Dane!$I$4:$I$2463,$A37+K$33)</f>
        <v>0</v>
      </c>
    </row>
    <row r="38" spans="1:11" x14ac:dyDescent="0.25">
      <c r="A38">
        <v>2016</v>
      </c>
      <c r="B38" s="71">
        <f>SUMIFS(Dane!$D$4:$D$2463,Dane!$A$4:$A$2463,'Trójkąty wzrostowe'!$A$31,Dane!$H$4:$H$2463,'Trójkąty wzrostowe'!$A38,Dane!$I$4:$I$2463,$A38+B$33)</f>
        <v>4897019.6391870324</v>
      </c>
      <c r="C38" s="71">
        <f>SUMIFS(Dane!$D$4:$D$2463,Dane!$A$4:$A$2463,'Trójkąty wzrostowe'!$A$31,Dane!$H$4:$H$2463,'Trójkąty wzrostowe'!$A38,Dane!$I$4:$I$2463,$A38+C$33)</f>
        <v>2349269.5292963753</v>
      </c>
      <c r="D38" s="71">
        <f>SUMIFS(Dane!$D$4:$D$2463,Dane!$A$4:$A$2463,'Trójkąty wzrostowe'!$A$31,Dane!$H$4:$H$2463,'Trójkąty wzrostowe'!$A38,Dane!$I$4:$I$2463,$A38+D$33)</f>
        <v>583763.5253358084</v>
      </c>
      <c r="E38" s="71">
        <f>SUMIFS(Dane!$D$4:$D$2463,Dane!$A$4:$A$2463,'Trójkąty wzrostowe'!$A$31,Dane!$H$4:$H$2463,'Trójkąty wzrostowe'!$A38,Dane!$I$4:$I$2463,$A38+E$33)</f>
        <v>339893.61050129635</v>
      </c>
      <c r="F38" s="71">
        <f>SUMIFS(Dane!$D$4:$D$2463,Dane!$A$4:$A$2463,'Trójkąty wzrostowe'!$A$31,Dane!$H$4:$H$2463,'Trójkąty wzrostowe'!$A38,Dane!$I$4:$I$2463,$A38+F$33)</f>
        <v>229524.13320632826</v>
      </c>
      <c r="G38" s="71">
        <f>SUMIFS(Dane!$D$4:$D$2463,Dane!$A$4:$A$2463,'Trójkąty wzrostowe'!$A$31,Dane!$H$4:$H$2463,'Trójkąty wzrostowe'!$A38,Dane!$I$4:$I$2463,$A38+G$33)</f>
        <v>153831.80135228956</v>
      </c>
      <c r="H38" s="71">
        <f>SUMIFS(Dane!$D$4:$D$2463,Dane!$A$4:$A$2463,'Trójkąty wzrostowe'!$A$31,Dane!$H$4:$H$2463,'Trójkąty wzrostowe'!$A38,Dane!$I$4:$I$2463,$A38+H$33)</f>
        <v>0</v>
      </c>
      <c r="I38" s="71">
        <f>SUMIFS(Dane!$D$4:$D$2463,Dane!$A$4:$A$2463,'Trójkąty wzrostowe'!$A$31,Dane!$H$4:$H$2463,'Trójkąty wzrostowe'!$A38,Dane!$I$4:$I$2463,$A38+I$33)</f>
        <v>0</v>
      </c>
      <c r="J38" s="71">
        <f>SUMIFS(Dane!$D$4:$D$2463,Dane!$A$4:$A$2463,'Trójkąty wzrostowe'!$A$31,Dane!$H$4:$H$2463,'Trójkąty wzrostowe'!$A38,Dane!$I$4:$I$2463,$A38+J$33)</f>
        <v>0</v>
      </c>
      <c r="K38" s="71">
        <f>SUMIFS(Dane!$D$4:$D$2463,Dane!$A$4:$A$2463,'Trójkąty wzrostowe'!$A$31,Dane!$H$4:$H$2463,'Trójkąty wzrostowe'!$A38,Dane!$I$4:$I$2463,$A38+K$33)</f>
        <v>0</v>
      </c>
    </row>
    <row r="39" spans="1:11" x14ac:dyDescent="0.25">
      <c r="A39">
        <v>2017</v>
      </c>
      <c r="B39" s="71">
        <f>SUMIFS(Dane!$D$4:$D$2463,Dane!$A$4:$A$2463,'Trójkąty wzrostowe'!$A$31,Dane!$H$4:$H$2463,'Trójkąty wzrostowe'!$A39,Dane!$I$4:$I$2463,$A39+B$33)</f>
        <v>5014791.9572833572</v>
      </c>
      <c r="C39" s="71">
        <f>SUMIFS(Dane!$D$4:$D$2463,Dane!$A$4:$A$2463,'Trójkąty wzrostowe'!$A$31,Dane!$H$4:$H$2463,'Trójkąty wzrostowe'!$A39,Dane!$I$4:$I$2463,$A39+C$33)</f>
        <v>2458564.5270255394</v>
      </c>
      <c r="D39" s="71">
        <f>SUMIFS(Dane!$D$4:$D$2463,Dane!$A$4:$A$2463,'Trójkąty wzrostowe'!$A$31,Dane!$H$4:$H$2463,'Trójkąty wzrostowe'!$A39,Dane!$I$4:$I$2463,$A39+D$33)</f>
        <v>578249.26005438843</v>
      </c>
      <c r="E39" s="71">
        <f>SUMIFS(Dane!$D$4:$D$2463,Dane!$A$4:$A$2463,'Trójkąty wzrostowe'!$A$31,Dane!$H$4:$H$2463,'Trójkąty wzrostowe'!$A39,Dane!$I$4:$I$2463,$A39+E$33)</f>
        <v>329828.04761590646</v>
      </c>
      <c r="F39" s="71">
        <f>SUMIFS(Dane!$D$4:$D$2463,Dane!$A$4:$A$2463,'Trójkąty wzrostowe'!$A$31,Dane!$H$4:$H$2463,'Trójkąty wzrostowe'!$A39,Dane!$I$4:$I$2463,$A39+F$33)</f>
        <v>157573.70324112102</v>
      </c>
      <c r="G39" s="71">
        <f>SUMIFS(Dane!$D$4:$D$2463,Dane!$A$4:$A$2463,'Trójkąty wzrostowe'!$A$31,Dane!$H$4:$H$2463,'Trójkąty wzrostowe'!$A39,Dane!$I$4:$I$2463,$A39+G$33)</f>
        <v>0</v>
      </c>
      <c r="H39" s="71">
        <f>SUMIFS(Dane!$D$4:$D$2463,Dane!$A$4:$A$2463,'Trójkąty wzrostowe'!$A$31,Dane!$H$4:$H$2463,'Trójkąty wzrostowe'!$A39,Dane!$I$4:$I$2463,$A39+H$33)</f>
        <v>0</v>
      </c>
      <c r="I39" s="71">
        <f>SUMIFS(Dane!$D$4:$D$2463,Dane!$A$4:$A$2463,'Trójkąty wzrostowe'!$A$31,Dane!$H$4:$H$2463,'Trójkąty wzrostowe'!$A39,Dane!$I$4:$I$2463,$A39+I$33)</f>
        <v>0</v>
      </c>
      <c r="J39" s="71">
        <f>SUMIFS(Dane!$D$4:$D$2463,Dane!$A$4:$A$2463,'Trójkąty wzrostowe'!$A$31,Dane!$H$4:$H$2463,'Trójkąty wzrostowe'!$A39,Dane!$I$4:$I$2463,$A39+J$33)</f>
        <v>0</v>
      </c>
      <c r="K39" s="71">
        <f>SUMIFS(Dane!$D$4:$D$2463,Dane!$A$4:$A$2463,'Trójkąty wzrostowe'!$A$31,Dane!$H$4:$H$2463,'Trójkąty wzrostowe'!$A39,Dane!$I$4:$I$2463,$A39+K$33)</f>
        <v>0</v>
      </c>
    </row>
    <row r="40" spans="1:11" x14ac:dyDescent="0.25">
      <c r="A40">
        <v>2018</v>
      </c>
      <c r="B40" s="71">
        <f>SUMIFS(Dane!$D$4:$D$2463,Dane!$A$4:$A$2463,'Trójkąty wzrostowe'!$A$31,Dane!$H$4:$H$2463,'Trójkąty wzrostowe'!$A40,Dane!$I$4:$I$2463,$A40+B$33)</f>
        <v>5289023.9552167226</v>
      </c>
      <c r="C40" s="71">
        <f>SUMIFS(Dane!$D$4:$D$2463,Dane!$A$4:$A$2463,'Trójkąty wzrostowe'!$A$31,Dane!$H$4:$H$2463,'Trójkąty wzrostowe'!$A40,Dane!$I$4:$I$2463,$A40+C$33)</f>
        <v>2476419.9811593844</v>
      </c>
      <c r="D40" s="71">
        <f>SUMIFS(Dane!$D$4:$D$2463,Dane!$A$4:$A$2463,'Trójkąty wzrostowe'!$A$31,Dane!$H$4:$H$2463,'Trójkąty wzrostowe'!$A40,Dane!$I$4:$I$2463,$A40+D$33)</f>
        <v>477333.50411586079</v>
      </c>
      <c r="E40" s="71">
        <f>SUMIFS(Dane!$D$4:$D$2463,Dane!$A$4:$A$2463,'Trójkąty wzrostowe'!$A$31,Dane!$H$4:$H$2463,'Trójkąty wzrostowe'!$A40,Dane!$I$4:$I$2463,$A40+E$33)</f>
        <v>225375.58762025338</v>
      </c>
      <c r="F40" s="71">
        <f>SUMIFS(Dane!$D$4:$D$2463,Dane!$A$4:$A$2463,'Trójkąty wzrostowe'!$A$31,Dane!$H$4:$H$2463,'Trójkąty wzrostowe'!$A40,Dane!$I$4:$I$2463,$A40+F$33)</f>
        <v>0</v>
      </c>
      <c r="G40" s="71">
        <f>SUMIFS(Dane!$D$4:$D$2463,Dane!$A$4:$A$2463,'Trójkąty wzrostowe'!$A$31,Dane!$H$4:$H$2463,'Trójkąty wzrostowe'!$A40,Dane!$I$4:$I$2463,$A40+G$33)</f>
        <v>0</v>
      </c>
      <c r="H40" s="71">
        <f>SUMIFS(Dane!$D$4:$D$2463,Dane!$A$4:$A$2463,'Trójkąty wzrostowe'!$A$31,Dane!$H$4:$H$2463,'Trójkąty wzrostowe'!$A40,Dane!$I$4:$I$2463,$A40+H$33)</f>
        <v>0</v>
      </c>
      <c r="I40" s="71">
        <f>SUMIFS(Dane!$D$4:$D$2463,Dane!$A$4:$A$2463,'Trójkąty wzrostowe'!$A$31,Dane!$H$4:$H$2463,'Trójkąty wzrostowe'!$A40,Dane!$I$4:$I$2463,$A40+I$33)</f>
        <v>0</v>
      </c>
      <c r="J40" s="71">
        <f>SUMIFS(Dane!$D$4:$D$2463,Dane!$A$4:$A$2463,'Trójkąty wzrostowe'!$A$31,Dane!$H$4:$H$2463,'Trójkąty wzrostowe'!$A40,Dane!$I$4:$I$2463,$A40+J$33)</f>
        <v>0</v>
      </c>
      <c r="K40" s="71">
        <f>SUMIFS(Dane!$D$4:$D$2463,Dane!$A$4:$A$2463,'Trójkąty wzrostowe'!$A$31,Dane!$H$4:$H$2463,'Trójkąty wzrostowe'!$A40,Dane!$I$4:$I$2463,$A40+K$33)</f>
        <v>0</v>
      </c>
    </row>
    <row r="41" spans="1:11" x14ac:dyDescent="0.25">
      <c r="A41">
        <v>2019</v>
      </c>
      <c r="B41" s="71">
        <f>SUMIFS(Dane!$D$4:$D$2463,Dane!$A$4:$A$2463,'Trójkąty wzrostowe'!$A$31,Dane!$H$4:$H$2463,'Trójkąty wzrostowe'!$A41,Dane!$I$4:$I$2463,$A41+B$33)</f>
        <v>5361675.0260812119</v>
      </c>
      <c r="C41" s="71">
        <f>SUMIFS(Dane!$D$4:$D$2463,Dane!$A$4:$A$2463,'Trójkąty wzrostowe'!$A$31,Dane!$H$4:$H$2463,'Trójkąty wzrostowe'!$A41,Dane!$I$4:$I$2463,$A41+C$33)</f>
        <v>2190595.4248107569</v>
      </c>
      <c r="D41" s="71">
        <f>SUMIFS(Dane!$D$4:$D$2463,Dane!$A$4:$A$2463,'Trójkąty wzrostowe'!$A$31,Dane!$H$4:$H$2463,'Trójkąty wzrostowe'!$A41,Dane!$I$4:$I$2463,$A41+D$33)</f>
        <v>513918.22285779048</v>
      </c>
      <c r="E41" s="71">
        <f>SUMIFS(Dane!$D$4:$D$2463,Dane!$A$4:$A$2463,'Trójkąty wzrostowe'!$A$31,Dane!$H$4:$H$2463,'Trójkąty wzrostowe'!$A41,Dane!$I$4:$I$2463,$A41+E$33)</f>
        <v>0</v>
      </c>
      <c r="F41" s="71">
        <f>SUMIFS(Dane!$D$4:$D$2463,Dane!$A$4:$A$2463,'Trójkąty wzrostowe'!$A$31,Dane!$H$4:$H$2463,'Trójkąty wzrostowe'!$A41,Dane!$I$4:$I$2463,$A41+F$33)</f>
        <v>0</v>
      </c>
      <c r="G41" s="71">
        <f>SUMIFS(Dane!$D$4:$D$2463,Dane!$A$4:$A$2463,'Trójkąty wzrostowe'!$A$31,Dane!$H$4:$H$2463,'Trójkąty wzrostowe'!$A41,Dane!$I$4:$I$2463,$A41+G$33)</f>
        <v>0</v>
      </c>
      <c r="H41" s="71">
        <f>SUMIFS(Dane!$D$4:$D$2463,Dane!$A$4:$A$2463,'Trójkąty wzrostowe'!$A$31,Dane!$H$4:$H$2463,'Trójkąty wzrostowe'!$A41,Dane!$I$4:$I$2463,$A41+H$33)</f>
        <v>0</v>
      </c>
      <c r="I41" s="71">
        <f>SUMIFS(Dane!$D$4:$D$2463,Dane!$A$4:$A$2463,'Trójkąty wzrostowe'!$A$31,Dane!$H$4:$H$2463,'Trójkąty wzrostowe'!$A41,Dane!$I$4:$I$2463,$A41+I$33)</f>
        <v>0</v>
      </c>
      <c r="J41" s="71">
        <f>SUMIFS(Dane!$D$4:$D$2463,Dane!$A$4:$A$2463,'Trójkąty wzrostowe'!$A$31,Dane!$H$4:$H$2463,'Trójkąty wzrostowe'!$A41,Dane!$I$4:$I$2463,$A41+J$33)</f>
        <v>0</v>
      </c>
      <c r="K41" s="71">
        <f>SUMIFS(Dane!$D$4:$D$2463,Dane!$A$4:$A$2463,'Trójkąty wzrostowe'!$A$31,Dane!$H$4:$H$2463,'Trójkąty wzrostowe'!$A41,Dane!$I$4:$I$2463,$A41+K$33)</f>
        <v>0</v>
      </c>
    </row>
    <row r="42" spans="1:11" x14ac:dyDescent="0.25">
      <c r="A42">
        <v>2020</v>
      </c>
      <c r="B42" s="71">
        <f>SUMIFS(Dane!$D$4:$D$2463,Dane!$A$4:$A$2463,'Trójkąty wzrostowe'!$A$31,Dane!$H$4:$H$2463,'Trójkąty wzrostowe'!$A42,Dane!$I$4:$I$2463,$A42+B$33)</f>
        <v>5311015.510566188</v>
      </c>
      <c r="C42" s="71">
        <f>SUMIFS(Dane!$D$4:$D$2463,Dane!$A$4:$A$2463,'Trójkąty wzrostowe'!$A$31,Dane!$H$4:$H$2463,'Trójkąty wzrostowe'!$A42,Dane!$I$4:$I$2463,$A42+C$33)</f>
        <v>2072861.4239341568</v>
      </c>
      <c r="D42" s="71">
        <f>SUMIFS(Dane!$D$4:$D$2463,Dane!$A$4:$A$2463,'Trójkąty wzrostowe'!$A$31,Dane!$H$4:$H$2463,'Trójkąty wzrostowe'!$A42,Dane!$I$4:$I$2463,$A42+D$33)</f>
        <v>0</v>
      </c>
      <c r="E42" s="71">
        <f>SUMIFS(Dane!$D$4:$D$2463,Dane!$A$4:$A$2463,'Trójkąty wzrostowe'!$A$31,Dane!$H$4:$H$2463,'Trójkąty wzrostowe'!$A42,Dane!$I$4:$I$2463,$A42+E$33)</f>
        <v>0</v>
      </c>
      <c r="F42" s="71">
        <f>SUMIFS(Dane!$D$4:$D$2463,Dane!$A$4:$A$2463,'Trójkąty wzrostowe'!$A$31,Dane!$H$4:$H$2463,'Trójkąty wzrostowe'!$A42,Dane!$I$4:$I$2463,$A42+F$33)</f>
        <v>0</v>
      </c>
      <c r="G42" s="71">
        <f>SUMIFS(Dane!$D$4:$D$2463,Dane!$A$4:$A$2463,'Trójkąty wzrostowe'!$A$31,Dane!$H$4:$H$2463,'Trójkąty wzrostowe'!$A42,Dane!$I$4:$I$2463,$A42+G$33)</f>
        <v>0</v>
      </c>
      <c r="H42" s="71">
        <f>SUMIFS(Dane!$D$4:$D$2463,Dane!$A$4:$A$2463,'Trójkąty wzrostowe'!$A$31,Dane!$H$4:$H$2463,'Trójkąty wzrostowe'!$A42,Dane!$I$4:$I$2463,$A42+H$33)</f>
        <v>0</v>
      </c>
      <c r="I42" s="71">
        <f>SUMIFS(Dane!$D$4:$D$2463,Dane!$A$4:$A$2463,'Trójkąty wzrostowe'!$A$31,Dane!$H$4:$H$2463,'Trójkąty wzrostowe'!$A42,Dane!$I$4:$I$2463,$A42+I$33)</f>
        <v>0</v>
      </c>
      <c r="J42" s="71">
        <f>SUMIFS(Dane!$D$4:$D$2463,Dane!$A$4:$A$2463,'Trójkąty wzrostowe'!$A$31,Dane!$H$4:$H$2463,'Trójkąty wzrostowe'!$A42,Dane!$I$4:$I$2463,$A42+J$33)</f>
        <v>0</v>
      </c>
      <c r="K42" s="71">
        <f>SUMIFS(Dane!$D$4:$D$2463,Dane!$A$4:$A$2463,'Trójkąty wzrostowe'!$A$31,Dane!$H$4:$H$2463,'Trójkąty wzrostowe'!$A42,Dane!$I$4:$I$2463,$A42+K$33)</f>
        <v>0</v>
      </c>
    </row>
    <row r="43" spans="1:11" x14ac:dyDescent="0.25">
      <c r="A43">
        <v>2021</v>
      </c>
      <c r="B43" s="71">
        <f>SUMIFS(Dane!$D$4:$D$2463,Dane!$A$4:$A$2463,'Trójkąty wzrostowe'!$A$31,Dane!$H$4:$H$2463,'Trójkąty wzrostowe'!$A43,Dane!$I$4:$I$2463,$A43+B$33)</f>
        <v>5299650.8412340274</v>
      </c>
      <c r="C43" s="71">
        <f>SUMIFS(Dane!$D$4:$D$2463,Dane!$A$4:$A$2463,'Trójkąty wzrostowe'!$A$31,Dane!$H$4:$H$2463,'Trójkąty wzrostowe'!$A43,Dane!$I$4:$I$2463,$A43+C$33)</f>
        <v>0</v>
      </c>
      <c r="D43" s="71">
        <f>SUMIFS(Dane!$D$4:$D$2463,Dane!$A$4:$A$2463,'Trójkąty wzrostowe'!$A$31,Dane!$H$4:$H$2463,'Trójkąty wzrostowe'!$A43,Dane!$I$4:$I$2463,$A43+D$33)</f>
        <v>0</v>
      </c>
      <c r="E43" s="71">
        <f>SUMIFS(Dane!$D$4:$D$2463,Dane!$A$4:$A$2463,'Trójkąty wzrostowe'!$A$31,Dane!$H$4:$H$2463,'Trójkąty wzrostowe'!$A43,Dane!$I$4:$I$2463,$A43+E$33)</f>
        <v>0</v>
      </c>
      <c r="F43" s="71">
        <f>SUMIFS(Dane!$D$4:$D$2463,Dane!$A$4:$A$2463,'Trójkąty wzrostowe'!$A$31,Dane!$H$4:$H$2463,'Trójkąty wzrostowe'!$A43,Dane!$I$4:$I$2463,$A43+F$33)</f>
        <v>0</v>
      </c>
      <c r="G43" s="71">
        <f>SUMIFS(Dane!$D$4:$D$2463,Dane!$A$4:$A$2463,'Trójkąty wzrostowe'!$A$31,Dane!$H$4:$H$2463,'Trójkąty wzrostowe'!$A43,Dane!$I$4:$I$2463,$A43+G$33)</f>
        <v>0</v>
      </c>
      <c r="H43" s="71">
        <f>SUMIFS(Dane!$D$4:$D$2463,Dane!$A$4:$A$2463,'Trójkąty wzrostowe'!$A$31,Dane!$H$4:$H$2463,'Trójkąty wzrostowe'!$A43,Dane!$I$4:$I$2463,$A43+H$33)</f>
        <v>0</v>
      </c>
      <c r="I43" s="71">
        <f>SUMIFS(Dane!$D$4:$D$2463,Dane!$A$4:$A$2463,'Trójkąty wzrostowe'!$A$31,Dane!$H$4:$H$2463,'Trójkąty wzrostowe'!$A43,Dane!$I$4:$I$2463,$A43+I$33)</f>
        <v>0</v>
      </c>
      <c r="J43" s="71">
        <f>SUMIFS(Dane!$D$4:$D$2463,Dane!$A$4:$A$2463,'Trójkąty wzrostowe'!$A$31,Dane!$H$4:$H$2463,'Trójkąty wzrostowe'!$A43,Dane!$I$4:$I$2463,$A43+J$33)</f>
        <v>0</v>
      </c>
      <c r="K43" s="71">
        <f>SUMIFS(Dane!$D$4:$D$2463,Dane!$A$4:$A$2463,'Trójkąty wzrostowe'!$A$31,Dane!$H$4:$H$2463,'Trójkąty wzrostowe'!$A43,Dane!$I$4:$I$2463,$A43+K$33)</f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17007-B09A-4C66-8B25-2AF99BC4A6F7}">
  <sheetPr codeName="Arkusz6"/>
  <dimension ref="A1:P43"/>
  <sheetViews>
    <sheetView zoomScale="70" zoomScaleNormal="70" workbookViewId="0">
      <selection activeCell="L32" sqref="L32"/>
    </sheetView>
  </sheetViews>
  <sheetFormatPr defaultRowHeight="15" x14ac:dyDescent="0.25"/>
  <cols>
    <col min="1" max="1" width="16.5703125" bestFit="1" customWidth="1"/>
    <col min="2" max="2" width="17.28515625" bestFit="1" customWidth="1"/>
  </cols>
  <sheetData>
    <row r="1" spans="1:16" x14ac:dyDescent="0.25">
      <c r="A1" s="3" t="s">
        <v>17</v>
      </c>
      <c r="P1" s="4" t="s">
        <v>20</v>
      </c>
    </row>
    <row r="2" spans="1:16" x14ac:dyDescent="0.25">
      <c r="B2" t="s">
        <v>21</v>
      </c>
    </row>
    <row r="3" spans="1:16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1:16" x14ac:dyDescent="0.25">
      <c r="A4">
        <v>2012</v>
      </c>
      <c r="B4" s="71">
        <f>SUMIFS(Dane!$D$4:$D$2463,Dane!$A$4:$A$2463,'Trójkąty skumulowane'!$A$1,Dane!$H$4:$H$2463,'Trójkąty skumulowane'!$A4,Dane!$I$4:$I$2463,$A4+B$3)</f>
        <v>1088980.6210946122</v>
      </c>
      <c r="C4" s="71">
        <f>SUMIFS(Dane!$D$4:$D$2463,Dane!$A$4:$A$2463,'Trójkąty skumulowane'!$A$1,Dane!$H$4:$H$2463,'Trójkąty skumulowane'!$A4,Dane!$I$4:$I$2463,$A4+C$3)+B4</f>
        <v>2131667.1827891804</v>
      </c>
      <c r="D4" s="71">
        <f>SUMIFS(Dane!$D$4:$D$2463,Dane!$A$4:$A$2463,'Trójkąty skumulowane'!$A$1,Dane!$H$4:$H$2463,'Trójkąty skumulowane'!$A4,Dane!$I$4:$I$2463,$A4+D$3)+C4</f>
        <v>2574995.4197594547</v>
      </c>
      <c r="E4" s="71">
        <f>SUMIFS(Dane!$D$4:$D$2463,Dane!$A$4:$A$2463,'Trójkąty skumulowane'!$A$1,Dane!$H$4:$H$2463,'Trójkąty skumulowane'!$A4,Dane!$I$4:$I$2463,$A4+E$3)+D4</f>
        <v>2879586.2460659551</v>
      </c>
      <c r="F4" s="71">
        <f>SUMIFS(Dane!$D$4:$D$2463,Dane!$A$4:$A$2463,'Trójkąty skumulowane'!$A$1,Dane!$H$4:$H$2463,'Trójkąty skumulowane'!$A4,Dane!$I$4:$I$2463,$A4+F$3)+E4</f>
        <v>3145556.0155862393</v>
      </c>
      <c r="G4" s="71">
        <f>SUMIFS(Dane!$D$4:$D$2463,Dane!$A$4:$A$2463,'Trójkąty skumulowane'!$A$1,Dane!$H$4:$H$2463,'Trójkąty skumulowane'!$A4,Dane!$I$4:$I$2463,$A4+G$3)+F4</f>
        <v>3510642.3092168202</v>
      </c>
      <c r="H4" s="71">
        <f>SUMIFS(Dane!$D$4:$D$2463,Dane!$A$4:$A$2463,'Trójkąty skumulowane'!$A$1,Dane!$H$4:$H$2463,'Trójkąty skumulowane'!$A4,Dane!$I$4:$I$2463,$A4+H$3)+G4</f>
        <v>3735083.5657222392</v>
      </c>
      <c r="I4" s="71">
        <f>SUMIFS(Dane!$D$4:$D$2463,Dane!$A$4:$A$2463,'Trójkąty skumulowane'!$A$1,Dane!$H$4:$H$2463,'Trójkąty skumulowane'!$A4,Dane!$I$4:$I$2463,$A4+I$3)+H4</f>
        <v>3851623.8752911706</v>
      </c>
      <c r="J4" s="71">
        <f>SUMIFS(Dane!$D$4:$D$2463,Dane!$A$4:$A$2463,'Trójkąty skumulowane'!$A$1,Dane!$H$4:$H$2463,'Trójkąty skumulowane'!$A4,Dane!$I$4:$I$2463,$A4+J$3)+I4</f>
        <v>3919451.366290886</v>
      </c>
      <c r="K4" s="71">
        <f>SUMIFS(Dane!$D$4:$D$2463,Dane!$A$4:$A$2463,'Trójkąty skumulowane'!$A$1,Dane!$H$4:$H$2463,'Trójkąty skumulowane'!$A4,Dane!$I$4:$I$2463,$A4+K$3)+J4</f>
        <v>4047893.3726979974</v>
      </c>
    </row>
    <row r="5" spans="1:16" x14ac:dyDescent="0.25">
      <c r="A5">
        <v>2013</v>
      </c>
      <c r="B5" s="71">
        <f>SUMIFS(Dane!$D$4:$D$2463,Dane!$A$4:$A$2463,'Trójkąty skumulowane'!$A$1,Dane!$H$4:$H$2463,'Trójkąty skumulowane'!$A5,Dane!$I$4:$I$2463,$A5+B$3)</f>
        <v>1306152.7922672718</v>
      </c>
      <c r="C5" s="71">
        <f>SUMIFS(Dane!$D$4:$D$2463,Dane!$A$4:$A$2463,'Trójkąty skumulowane'!$A$1,Dane!$H$4:$H$2463,'Trójkąty skumulowane'!$A5,Dane!$I$4:$I$2463,$A5+C$3)+B5</f>
        <v>2423098.0772959162</v>
      </c>
      <c r="D5" s="71">
        <f>SUMIFS(Dane!$D$4:$D$2463,Dane!$A$4:$A$2463,'Trójkąty skumulowane'!$A$1,Dane!$H$4:$H$2463,'Trójkąty skumulowane'!$A5,Dane!$I$4:$I$2463,$A5+D$3)+C5</f>
        <v>3075018.113358567</v>
      </c>
      <c r="E5" s="71">
        <f>SUMIFS(Dane!$D$4:$D$2463,Dane!$A$4:$A$2463,'Trójkąty skumulowane'!$A$1,Dane!$H$4:$H$2463,'Trójkąty skumulowane'!$A5,Dane!$I$4:$I$2463,$A5+E$3)+D5</f>
        <v>3476624.6799267773</v>
      </c>
      <c r="F5" s="71">
        <f>SUMIFS(Dane!$D$4:$D$2463,Dane!$A$4:$A$2463,'Trójkąty skumulowane'!$A$1,Dane!$H$4:$H$2463,'Trójkąty skumulowane'!$A5,Dane!$I$4:$I$2463,$A5+F$3)+E5</f>
        <v>3794890.9619714259</v>
      </c>
      <c r="G5" s="71">
        <f>SUMIFS(Dane!$D$4:$D$2463,Dane!$A$4:$A$2463,'Trójkąty skumulowane'!$A$1,Dane!$H$4:$H$2463,'Trójkąty skumulowane'!$A5,Dane!$I$4:$I$2463,$A5+G$3)+F5</f>
        <v>4284126.0679999879</v>
      </c>
      <c r="H5" s="71">
        <f>SUMIFS(Dane!$D$4:$D$2463,Dane!$A$4:$A$2463,'Trójkąty skumulowane'!$A$1,Dane!$H$4:$H$2463,'Trójkąty skumulowane'!$A5,Dane!$I$4:$I$2463,$A5+H$3)+G5</f>
        <v>4512725.01252825</v>
      </c>
      <c r="I5" s="71">
        <f>SUMIFS(Dane!$D$4:$D$2463,Dane!$A$4:$A$2463,'Trójkąty skumulowane'!$A$1,Dane!$H$4:$H$2463,'Trójkąty skumulowane'!$A5,Dane!$I$4:$I$2463,$A5+I$3)+H5</f>
        <v>4876312.2751422348</v>
      </c>
      <c r="J5" s="71">
        <f>SUMIFS(Dane!$D$4:$D$2463,Dane!$A$4:$A$2463,'Trójkąty skumulowane'!$A$1,Dane!$H$4:$H$2463,'Trójkąty skumulowane'!$A5,Dane!$I$4:$I$2463,$A5+J$3)+I5</f>
        <v>5197779.4737660503</v>
      </c>
      <c r="K5" s="71">
        <f>SUMIFS(Dane!$D$4:$D$2463,Dane!$A$4:$A$2463,'Trójkąty skumulowane'!$A$1,Dane!$H$4:$H$2463,'Trójkąty skumulowane'!$A5,Dane!$I$4:$I$2463,$A5+K$3)</f>
        <v>0</v>
      </c>
    </row>
    <row r="6" spans="1:16" x14ac:dyDescent="0.25">
      <c r="A6">
        <v>2014</v>
      </c>
      <c r="B6" s="71">
        <f>SUMIFS(Dane!$D$4:$D$2463,Dane!$A$4:$A$2463,'Trójkąty skumulowane'!$A$1,Dane!$H$4:$H$2463,'Trójkąty skumulowane'!$A6,Dane!$I$4:$I$2463,$A6+B$3)</f>
        <v>1249812.5880425794</v>
      </c>
      <c r="C6" s="71">
        <f>SUMIFS(Dane!$D$4:$D$2463,Dane!$A$4:$A$2463,'Trójkąty skumulowane'!$A$1,Dane!$H$4:$H$2463,'Trójkąty skumulowane'!$A6,Dane!$I$4:$I$2463,$A6+C$3)+B6</f>
        <v>2496387.4909922341</v>
      </c>
      <c r="D6" s="71">
        <f>SUMIFS(Dane!$D$4:$D$2463,Dane!$A$4:$A$2463,'Trójkąty skumulowane'!$A$1,Dane!$H$4:$H$2463,'Trójkąty skumulowane'!$A6,Dane!$I$4:$I$2463,$A6+D$3)+C6</f>
        <v>3107175.4555642856</v>
      </c>
      <c r="E6" s="71">
        <f>SUMIFS(Dane!$D$4:$D$2463,Dane!$A$4:$A$2463,'Trójkąty skumulowane'!$A$1,Dane!$H$4:$H$2463,'Trójkąty skumulowane'!$A6,Dane!$I$4:$I$2463,$A6+E$3)+D6</f>
        <v>3687301.6275404561</v>
      </c>
      <c r="F6" s="71">
        <f>SUMIFS(Dane!$D$4:$D$2463,Dane!$A$4:$A$2463,'Trójkąty skumulowane'!$A$1,Dane!$H$4:$H$2463,'Trójkąty skumulowane'!$A6,Dane!$I$4:$I$2463,$A6+F$3)+E6</f>
        <v>4140844.1681218585</v>
      </c>
      <c r="G6" s="71">
        <f>SUMIFS(Dane!$D$4:$D$2463,Dane!$A$4:$A$2463,'Trójkąty skumulowane'!$A$1,Dane!$H$4:$H$2463,'Trójkąty skumulowane'!$A6,Dane!$I$4:$I$2463,$A6+G$3)+F6</f>
        <v>4360722.1576600038</v>
      </c>
      <c r="H6" s="71">
        <f>SUMIFS(Dane!$D$4:$D$2463,Dane!$A$4:$A$2463,'Trójkąty skumulowane'!$A$1,Dane!$H$4:$H$2463,'Trójkąty skumulowane'!$A6,Dane!$I$4:$I$2463,$A6+H$3)+G6</f>
        <v>4533709.2103520939</v>
      </c>
      <c r="I6" s="71">
        <f>SUMIFS(Dane!$D$4:$D$2463,Dane!$A$4:$A$2463,'Trójkąty skumulowane'!$A$1,Dane!$H$4:$H$2463,'Trójkąty skumulowane'!$A6,Dane!$I$4:$I$2463,$A6+I$3)+H6</f>
        <v>4808102.5173431104</v>
      </c>
      <c r="J6" s="71">
        <f>SUMIFS(Dane!$D$4:$D$2463,Dane!$A$4:$A$2463,'Trójkąty skumulowane'!$A$1,Dane!$H$4:$H$2463,'Trójkąty skumulowane'!$A6,Dane!$I$4:$I$2463,$A6+J$3)</f>
        <v>0</v>
      </c>
      <c r="K6" s="71">
        <f>SUMIFS(Dane!$D$4:$D$2463,Dane!$A$4:$A$2463,'Trójkąty skumulowane'!$A$1,Dane!$H$4:$H$2463,'Trójkąty skumulowane'!$A6,Dane!$I$4:$I$2463,$A6+K$3)</f>
        <v>0</v>
      </c>
    </row>
    <row r="7" spans="1:16" x14ac:dyDescent="0.25">
      <c r="A7">
        <v>2015</v>
      </c>
      <c r="B7" s="71">
        <f>SUMIFS(Dane!$D$4:$D$2463,Dane!$A$4:$A$2463,'Trójkąty skumulowane'!$A$1,Dane!$H$4:$H$2463,'Trójkąty skumulowane'!$A7,Dane!$I$4:$I$2463,$A7+B$3)</f>
        <v>1189810.0064459562</v>
      </c>
      <c r="C7" s="71">
        <f>SUMIFS(Dane!$D$4:$D$2463,Dane!$A$4:$A$2463,'Trójkąty skumulowane'!$A$1,Dane!$H$4:$H$2463,'Trójkąty skumulowane'!$A7,Dane!$I$4:$I$2463,$A7+C$3)+B7</f>
        <v>2530869.5952481655</v>
      </c>
      <c r="D7" s="71">
        <f>SUMIFS(Dane!$D$4:$D$2463,Dane!$A$4:$A$2463,'Trójkąty skumulowane'!$A$1,Dane!$H$4:$H$2463,'Trójkąty skumulowane'!$A7,Dane!$I$4:$I$2463,$A7+D$3)+C7</f>
        <v>3096984.4536133888</v>
      </c>
      <c r="E7" s="71">
        <f>SUMIFS(Dane!$D$4:$D$2463,Dane!$A$4:$A$2463,'Trójkąty skumulowane'!$A$1,Dane!$H$4:$H$2463,'Trójkąty skumulowane'!$A7,Dane!$I$4:$I$2463,$A7+E$3)+D7</f>
        <v>3877846.3341324432</v>
      </c>
      <c r="F7" s="71">
        <f>SUMIFS(Dane!$D$4:$D$2463,Dane!$A$4:$A$2463,'Trójkąty skumulowane'!$A$1,Dane!$H$4:$H$2463,'Trójkąty skumulowane'!$A7,Dane!$I$4:$I$2463,$A7+F$3)+E7</f>
        <v>4804008.5771144684</v>
      </c>
      <c r="G7" s="71">
        <f>SUMIFS(Dane!$D$4:$D$2463,Dane!$A$4:$A$2463,'Trójkąty skumulowane'!$A$1,Dane!$H$4:$H$2463,'Trójkąty skumulowane'!$A7,Dane!$I$4:$I$2463,$A7+G$3)+F7</f>
        <v>5254496.0051183002</v>
      </c>
      <c r="H7" s="71">
        <f>SUMIFS(Dane!$D$4:$D$2463,Dane!$A$4:$A$2463,'Trójkąty skumulowane'!$A$1,Dane!$H$4:$H$2463,'Trójkąty skumulowane'!$A7,Dane!$I$4:$I$2463,$A7+H$3)+G7</f>
        <v>5569311.1871171584</v>
      </c>
      <c r="I7" s="71">
        <f>SUMIFS(Dane!$D$4:$D$2463,Dane!$A$4:$A$2463,'Trójkąty skumulowane'!$A$1,Dane!$H$4:$H$2463,'Trójkąty skumulowane'!$A7,Dane!$I$4:$I$2463,$A7+I$3)</f>
        <v>0</v>
      </c>
      <c r="J7" s="71">
        <f>SUMIFS(Dane!$D$4:$D$2463,Dane!$A$4:$A$2463,'Trójkąty skumulowane'!$A$1,Dane!$H$4:$H$2463,'Trójkąty skumulowane'!$A7,Dane!$I$4:$I$2463,$A7+J$3)</f>
        <v>0</v>
      </c>
      <c r="K7" s="71">
        <f>SUMIFS(Dane!$D$4:$D$2463,Dane!$A$4:$A$2463,'Trójkąty skumulowane'!$A$1,Dane!$H$4:$H$2463,'Trójkąty skumulowane'!$A7,Dane!$I$4:$I$2463,$A7+K$3)</f>
        <v>0</v>
      </c>
    </row>
    <row r="8" spans="1:16" x14ac:dyDescent="0.25">
      <c r="A8">
        <v>2016</v>
      </c>
      <c r="B8" s="71">
        <f>SUMIFS(Dane!$D$4:$D$2463,Dane!$A$4:$A$2463,'Trójkąty skumulowane'!$A$1,Dane!$H$4:$H$2463,'Trójkąty skumulowane'!$A8,Dane!$I$4:$I$2463,$A8+B$3)</f>
        <v>1306513.6047854258</v>
      </c>
      <c r="C8" s="71">
        <f>SUMIFS(Dane!$D$4:$D$2463,Dane!$A$4:$A$2463,'Trójkąty skumulowane'!$A$1,Dane!$H$4:$H$2463,'Trójkąty skumulowane'!$A8,Dane!$I$4:$I$2463,$A8+C$3)+B8</f>
        <v>2773697.3594055078</v>
      </c>
      <c r="D8" s="71">
        <f>SUMIFS(Dane!$D$4:$D$2463,Dane!$A$4:$A$2463,'Trójkąty skumulowane'!$A$1,Dane!$H$4:$H$2463,'Trójkąty skumulowane'!$A8,Dane!$I$4:$I$2463,$A8+D$3)+C8</f>
        <v>3527548.34662739</v>
      </c>
      <c r="E8" s="71">
        <f>SUMIFS(Dane!$D$4:$D$2463,Dane!$A$4:$A$2463,'Trójkąty skumulowane'!$A$1,Dane!$H$4:$H$2463,'Trójkąty skumulowane'!$A8,Dane!$I$4:$I$2463,$A8+E$3)+D8</f>
        <v>4125343.1103807935</v>
      </c>
      <c r="F8" s="71">
        <f>SUMIFS(Dane!$D$4:$D$2463,Dane!$A$4:$A$2463,'Trójkąty skumulowane'!$A$1,Dane!$H$4:$H$2463,'Trójkąty skumulowane'!$A8,Dane!$I$4:$I$2463,$A8+F$3)+E8</f>
        <v>4521858.2407059222</v>
      </c>
      <c r="G8" s="71">
        <f>SUMIFS(Dane!$D$4:$D$2463,Dane!$A$4:$A$2463,'Trójkąty skumulowane'!$A$1,Dane!$H$4:$H$2463,'Trójkąty skumulowane'!$A8,Dane!$I$4:$I$2463,$A8+G$3)+F8</f>
        <v>4942201.9018943151</v>
      </c>
      <c r="H8" s="71">
        <f>SUMIFS(Dane!$D$4:$D$2463,Dane!$A$4:$A$2463,'Trójkąty skumulowane'!$A$1,Dane!$H$4:$H$2463,'Trójkąty skumulowane'!$A8,Dane!$I$4:$I$2463,$A8+H$3)</f>
        <v>0</v>
      </c>
      <c r="I8" s="71">
        <f>SUMIFS(Dane!$D$4:$D$2463,Dane!$A$4:$A$2463,'Trójkąty skumulowane'!$A$1,Dane!$H$4:$H$2463,'Trójkąty skumulowane'!$A8,Dane!$I$4:$I$2463,$A8+I$3)</f>
        <v>0</v>
      </c>
      <c r="J8" s="71">
        <f>SUMIFS(Dane!$D$4:$D$2463,Dane!$A$4:$A$2463,'Trójkąty skumulowane'!$A$1,Dane!$H$4:$H$2463,'Trójkąty skumulowane'!$A8,Dane!$I$4:$I$2463,$A8+J$3)</f>
        <v>0</v>
      </c>
      <c r="K8" s="71">
        <f>SUMIFS(Dane!$D$4:$D$2463,Dane!$A$4:$A$2463,'Trójkąty skumulowane'!$A$1,Dane!$H$4:$H$2463,'Trójkąty skumulowane'!$A8,Dane!$I$4:$I$2463,$A8+K$3)</f>
        <v>0</v>
      </c>
      <c r="M8" t="s">
        <v>23</v>
      </c>
    </row>
    <row r="9" spans="1:16" x14ac:dyDescent="0.25">
      <c r="A9">
        <v>2017</v>
      </c>
      <c r="B9" s="71">
        <f>SUMIFS(Dane!$D$4:$D$2463,Dane!$A$4:$A$2463,'Trójkąty skumulowane'!$A$1,Dane!$H$4:$H$2463,'Trójkąty skumulowane'!$A9,Dane!$I$4:$I$2463,$A9+B$3)</f>
        <v>1300441.1763369546</v>
      </c>
      <c r="C9" s="71">
        <f>SUMIFS(Dane!$D$4:$D$2463,Dane!$A$4:$A$2463,'Trójkąty skumulowane'!$A$1,Dane!$H$4:$H$2463,'Trójkąty skumulowane'!$A9,Dane!$I$4:$I$2463,$A9+C$3)+B9</f>
        <v>2920987.7803644901</v>
      </c>
      <c r="D9" s="71">
        <f>SUMIFS(Dane!$D$4:$D$2463,Dane!$A$4:$A$2463,'Trójkąty skumulowane'!$A$1,Dane!$H$4:$H$2463,'Trójkąty skumulowane'!$A9,Dane!$I$4:$I$2463,$A9+D$3)+C9</f>
        <v>3700349.6056891792</v>
      </c>
      <c r="E9" s="71">
        <f>SUMIFS(Dane!$D$4:$D$2463,Dane!$A$4:$A$2463,'Trójkąty skumulowane'!$A$1,Dane!$H$4:$H$2463,'Trójkąty skumulowane'!$A9,Dane!$I$4:$I$2463,$A9+E$3)+D9</f>
        <v>4442914.2707381379</v>
      </c>
      <c r="F9" s="71">
        <f>SUMIFS(Dane!$D$4:$D$2463,Dane!$A$4:$A$2463,'Trójkąty skumulowane'!$A$1,Dane!$H$4:$H$2463,'Trójkąty skumulowane'!$A9,Dane!$I$4:$I$2463,$A9+F$3)+E9</f>
        <v>4813322.7351754596</v>
      </c>
      <c r="G9" s="71">
        <f>SUMIFS(Dane!$D$4:$D$2463,Dane!$A$4:$A$2463,'Trójkąty skumulowane'!$A$1,Dane!$H$4:$H$2463,'Trójkąty skumulowane'!$A9,Dane!$I$4:$I$2463,$A9+G$3)</f>
        <v>0</v>
      </c>
      <c r="H9" s="71">
        <f>SUMIFS(Dane!$D$4:$D$2463,Dane!$A$4:$A$2463,'Trójkąty skumulowane'!$A$1,Dane!$H$4:$H$2463,'Trójkąty skumulowane'!$A9,Dane!$I$4:$I$2463,$A9+H$3)</f>
        <v>0</v>
      </c>
      <c r="I9" s="71">
        <f>SUMIFS(Dane!$D$4:$D$2463,Dane!$A$4:$A$2463,'Trójkąty skumulowane'!$A$1,Dane!$H$4:$H$2463,'Trójkąty skumulowane'!$A9,Dane!$I$4:$I$2463,$A9+I$3)</f>
        <v>0</v>
      </c>
      <c r="J9" s="71">
        <f>SUMIFS(Dane!$D$4:$D$2463,Dane!$A$4:$A$2463,'Trójkąty skumulowane'!$A$1,Dane!$H$4:$H$2463,'Trójkąty skumulowane'!$A9,Dane!$I$4:$I$2463,$A9+J$3)</f>
        <v>0</v>
      </c>
      <c r="K9" s="71">
        <f>SUMIFS(Dane!$D$4:$D$2463,Dane!$A$4:$A$2463,'Trójkąty skumulowane'!$A$1,Dane!$H$4:$H$2463,'Trójkąty skumulowane'!$A9,Dane!$I$4:$I$2463,$A9+K$3)</f>
        <v>0</v>
      </c>
    </row>
    <row r="10" spans="1:16" x14ac:dyDescent="0.25">
      <c r="A10">
        <v>2018</v>
      </c>
      <c r="B10" s="71">
        <f>SUMIFS(Dane!$D$4:$D$2463,Dane!$A$4:$A$2463,'Trójkąty skumulowane'!$A$1,Dane!$H$4:$H$2463,'Trójkąty skumulowane'!$A10,Dane!$I$4:$I$2463,$A10+B$3)</f>
        <v>1397368.0926729222</v>
      </c>
      <c r="C10" s="71">
        <f>SUMIFS(Dane!$D$4:$D$2463,Dane!$A$4:$A$2463,'Trójkąty skumulowane'!$A$1,Dane!$H$4:$H$2463,'Trójkąty skumulowane'!$A10,Dane!$I$4:$I$2463,$A10+C$3)+B10</f>
        <v>3243490.0729121687</v>
      </c>
      <c r="D10" s="71">
        <f>SUMIFS(Dane!$D$4:$D$2463,Dane!$A$4:$A$2463,'Trójkąty skumulowane'!$A$1,Dane!$H$4:$H$2463,'Trójkąty skumulowane'!$A10,Dane!$I$4:$I$2463,$A10+D$3)+C10</f>
        <v>3964518.8150557899</v>
      </c>
      <c r="E10" s="71">
        <f>SUMIFS(Dane!$D$4:$D$2463,Dane!$A$4:$A$2463,'Trójkąty skumulowane'!$A$1,Dane!$H$4:$H$2463,'Trójkąty skumulowane'!$A10,Dane!$I$4:$I$2463,$A10+E$3)+D10</f>
        <v>4661705.3347352361</v>
      </c>
      <c r="F10" s="71">
        <f>SUMIFS(Dane!$D$4:$D$2463,Dane!$A$4:$A$2463,'Trójkąty skumulowane'!$A$1,Dane!$H$4:$H$2463,'Trójkąty skumulowane'!$A10,Dane!$I$4:$I$2463,$A10+F$3)</f>
        <v>0</v>
      </c>
      <c r="G10" s="71">
        <f>SUMIFS(Dane!$D$4:$D$2463,Dane!$A$4:$A$2463,'Trójkąty skumulowane'!$A$1,Dane!$H$4:$H$2463,'Trójkąty skumulowane'!$A10,Dane!$I$4:$I$2463,$A10+G$3)</f>
        <v>0</v>
      </c>
      <c r="H10" s="71">
        <f>SUMIFS(Dane!$D$4:$D$2463,Dane!$A$4:$A$2463,'Trójkąty skumulowane'!$A$1,Dane!$H$4:$H$2463,'Trójkąty skumulowane'!$A10,Dane!$I$4:$I$2463,$A10+H$3)</f>
        <v>0</v>
      </c>
      <c r="I10" s="71">
        <f>SUMIFS(Dane!$D$4:$D$2463,Dane!$A$4:$A$2463,'Trójkąty skumulowane'!$A$1,Dane!$H$4:$H$2463,'Trójkąty skumulowane'!$A10,Dane!$I$4:$I$2463,$A10+I$3)</f>
        <v>0</v>
      </c>
      <c r="J10" s="71">
        <f>SUMIFS(Dane!$D$4:$D$2463,Dane!$A$4:$A$2463,'Trójkąty skumulowane'!$A$1,Dane!$H$4:$H$2463,'Trójkąty skumulowane'!$A10,Dane!$I$4:$I$2463,$A10+J$3)</f>
        <v>0</v>
      </c>
      <c r="K10" s="71">
        <f>SUMIFS(Dane!$D$4:$D$2463,Dane!$A$4:$A$2463,'Trójkąty skumulowane'!$A$1,Dane!$H$4:$H$2463,'Trójkąty skumulowane'!$A10,Dane!$I$4:$I$2463,$A10+K$3)</f>
        <v>0</v>
      </c>
    </row>
    <row r="11" spans="1:16" x14ac:dyDescent="0.25">
      <c r="A11">
        <v>2019</v>
      </c>
      <c r="B11" s="71">
        <f>SUMIFS(Dane!$D$4:$D$2463,Dane!$A$4:$A$2463,'Trójkąty skumulowane'!$A$1,Dane!$H$4:$H$2463,'Trójkąty skumulowane'!$A11,Dane!$I$4:$I$2463,$A11+B$3)</f>
        <v>1570945.7683077177</v>
      </c>
      <c r="C11" s="71">
        <f>SUMIFS(Dane!$D$4:$D$2463,Dane!$A$4:$A$2463,'Trójkąty skumulowane'!$A$1,Dane!$H$4:$H$2463,'Trójkąty skumulowane'!$A11,Dane!$I$4:$I$2463,$A11+C$3)+B11</f>
        <v>3239675.6456166534</v>
      </c>
      <c r="D11" s="71">
        <f>SUMIFS(Dane!$D$4:$D$2463,Dane!$A$4:$A$2463,'Trójkąty skumulowane'!$A$1,Dane!$H$4:$H$2463,'Trójkąty skumulowane'!$A11,Dane!$I$4:$I$2463,$A11+D$3)+C11</f>
        <v>4285166.062277033</v>
      </c>
      <c r="E11" s="71">
        <f>SUMIFS(Dane!$D$4:$D$2463,Dane!$A$4:$A$2463,'Trójkąty skumulowane'!$A$1,Dane!$H$4:$H$2463,'Trójkąty skumulowane'!$A11,Dane!$I$4:$I$2463,$A11+E$3)</f>
        <v>0</v>
      </c>
      <c r="F11" s="71">
        <f>SUMIFS(Dane!$D$4:$D$2463,Dane!$A$4:$A$2463,'Trójkąty skumulowane'!$A$1,Dane!$H$4:$H$2463,'Trójkąty skumulowane'!$A11,Dane!$I$4:$I$2463,$A11+F$3)</f>
        <v>0</v>
      </c>
      <c r="G11" s="71">
        <f>SUMIFS(Dane!$D$4:$D$2463,Dane!$A$4:$A$2463,'Trójkąty skumulowane'!$A$1,Dane!$H$4:$H$2463,'Trójkąty skumulowane'!$A11,Dane!$I$4:$I$2463,$A11+G$3)</f>
        <v>0</v>
      </c>
      <c r="H11" s="71">
        <f>SUMIFS(Dane!$D$4:$D$2463,Dane!$A$4:$A$2463,'Trójkąty skumulowane'!$A$1,Dane!$H$4:$H$2463,'Trójkąty skumulowane'!$A11,Dane!$I$4:$I$2463,$A11+H$3)</f>
        <v>0</v>
      </c>
      <c r="I11" s="71">
        <f>SUMIFS(Dane!$D$4:$D$2463,Dane!$A$4:$A$2463,'Trójkąty skumulowane'!$A$1,Dane!$H$4:$H$2463,'Trójkąty skumulowane'!$A11,Dane!$I$4:$I$2463,$A11+I$3)</f>
        <v>0</v>
      </c>
      <c r="J11" s="71">
        <f>SUMIFS(Dane!$D$4:$D$2463,Dane!$A$4:$A$2463,'Trójkąty skumulowane'!$A$1,Dane!$H$4:$H$2463,'Trójkąty skumulowane'!$A11,Dane!$I$4:$I$2463,$A11+J$3)</f>
        <v>0</v>
      </c>
      <c r="K11" s="71">
        <f>SUMIFS(Dane!$D$4:$D$2463,Dane!$A$4:$A$2463,'Trójkąty skumulowane'!$A$1,Dane!$H$4:$H$2463,'Trójkąty skumulowane'!$A11,Dane!$I$4:$I$2463,$A11+K$3)</f>
        <v>0</v>
      </c>
    </row>
    <row r="12" spans="1:16" x14ac:dyDescent="0.25">
      <c r="A12">
        <v>2020</v>
      </c>
      <c r="B12" s="71">
        <f>SUMIFS(Dane!$D$4:$D$2463,Dane!$A$4:$A$2463,'Trójkąty skumulowane'!$A$1,Dane!$H$4:$H$2463,'Trójkąty skumulowane'!$A12,Dane!$I$4:$I$2463,$A12+B$3)</f>
        <v>1381532.6675622216</v>
      </c>
      <c r="C12" s="71">
        <f>SUMIFS(Dane!$D$4:$D$2463,Dane!$A$4:$A$2463,'Trójkąty skumulowane'!$A$1,Dane!$H$4:$H$2463,'Trójkąty skumulowane'!$A12,Dane!$I$4:$I$2463,$A12+C$3)+B12</f>
        <v>3031367.3134870529</v>
      </c>
      <c r="D12" s="71">
        <f>SUMIFS(Dane!$D$4:$D$2463,Dane!$A$4:$A$2463,'Trójkąty skumulowane'!$A$1,Dane!$H$4:$H$2463,'Trójkąty skumulowane'!$A12,Dane!$I$4:$I$2463,$A12+D$3)</f>
        <v>0</v>
      </c>
      <c r="E12" s="71">
        <f>SUMIFS(Dane!$D$4:$D$2463,Dane!$A$4:$A$2463,'Trójkąty skumulowane'!$A$1,Dane!$H$4:$H$2463,'Trójkąty skumulowane'!$A12,Dane!$I$4:$I$2463,$A12+E$3)</f>
        <v>0</v>
      </c>
      <c r="F12" s="71">
        <f>SUMIFS(Dane!$D$4:$D$2463,Dane!$A$4:$A$2463,'Trójkąty skumulowane'!$A$1,Dane!$H$4:$H$2463,'Trójkąty skumulowane'!$A12,Dane!$I$4:$I$2463,$A12+F$3)</f>
        <v>0</v>
      </c>
      <c r="G12" s="71">
        <f>SUMIFS(Dane!$D$4:$D$2463,Dane!$A$4:$A$2463,'Trójkąty skumulowane'!$A$1,Dane!$H$4:$H$2463,'Trójkąty skumulowane'!$A12,Dane!$I$4:$I$2463,$A12+G$3)</f>
        <v>0</v>
      </c>
      <c r="H12" s="71">
        <f>SUMIFS(Dane!$D$4:$D$2463,Dane!$A$4:$A$2463,'Trójkąty skumulowane'!$A$1,Dane!$H$4:$H$2463,'Trójkąty skumulowane'!$A12,Dane!$I$4:$I$2463,$A12+H$3)</f>
        <v>0</v>
      </c>
      <c r="I12" s="71">
        <f>SUMIFS(Dane!$D$4:$D$2463,Dane!$A$4:$A$2463,'Trójkąty skumulowane'!$A$1,Dane!$H$4:$H$2463,'Trójkąty skumulowane'!$A12,Dane!$I$4:$I$2463,$A12+I$3)</f>
        <v>0</v>
      </c>
      <c r="J12" s="71">
        <f>SUMIFS(Dane!$D$4:$D$2463,Dane!$A$4:$A$2463,'Trójkąty skumulowane'!$A$1,Dane!$H$4:$H$2463,'Trójkąty skumulowane'!$A12,Dane!$I$4:$I$2463,$A12+J$3)</f>
        <v>0</v>
      </c>
      <c r="K12" s="71">
        <f>SUMIFS(Dane!$D$4:$D$2463,Dane!$A$4:$A$2463,'Trójkąty skumulowane'!$A$1,Dane!$H$4:$H$2463,'Trójkąty skumulowane'!$A12,Dane!$I$4:$I$2463,$A12+K$3)</f>
        <v>0</v>
      </c>
    </row>
    <row r="13" spans="1:16" x14ac:dyDescent="0.25">
      <c r="A13">
        <v>2021</v>
      </c>
      <c r="B13" s="71">
        <f>SUMIFS(Dane!$D$4:$D$2463,Dane!$A$4:$A$2463,'Trójkąty skumulowane'!$A$1,Dane!$H$4:$H$2463,'Trójkąty skumulowane'!$A13,Dane!$I$4:$I$2463,$A13+B$3)</f>
        <v>1346802.3542128429</v>
      </c>
      <c r="C13" s="71">
        <f>SUMIFS(Dane!$D$4:$D$2463,Dane!$A$4:$A$2463,'Trójkąty skumulowane'!$A$1,Dane!$H$4:$H$2463,'Trójkąty skumulowane'!$A13,Dane!$I$4:$I$2463,$A13+C$3)</f>
        <v>0</v>
      </c>
      <c r="D13" s="71">
        <f>SUMIFS(Dane!$D$4:$D$2463,Dane!$A$4:$A$2463,'Trójkąty skumulowane'!$A$1,Dane!$H$4:$H$2463,'Trójkąty skumulowane'!$A13,Dane!$I$4:$I$2463,$A13+D$3)</f>
        <v>0</v>
      </c>
      <c r="E13" s="71">
        <f>SUMIFS(Dane!$D$4:$D$2463,Dane!$A$4:$A$2463,'Trójkąty skumulowane'!$A$1,Dane!$H$4:$H$2463,'Trójkąty skumulowane'!$A13,Dane!$I$4:$I$2463,$A13+E$3)</f>
        <v>0</v>
      </c>
      <c r="F13" s="71">
        <f>SUMIFS(Dane!$D$4:$D$2463,Dane!$A$4:$A$2463,'Trójkąty skumulowane'!$A$1,Dane!$H$4:$H$2463,'Trójkąty skumulowane'!$A13,Dane!$I$4:$I$2463,$A13+F$3)</f>
        <v>0</v>
      </c>
      <c r="G13" s="71">
        <f>SUMIFS(Dane!$D$4:$D$2463,Dane!$A$4:$A$2463,'Trójkąty skumulowane'!$A$1,Dane!$H$4:$H$2463,'Trójkąty skumulowane'!$A13,Dane!$I$4:$I$2463,$A13+G$3)</f>
        <v>0</v>
      </c>
      <c r="H13" s="71">
        <f>SUMIFS(Dane!$D$4:$D$2463,Dane!$A$4:$A$2463,'Trójkąty skumulowane'!$A$1,Dane!$H$4:$H$2463,'Trójkąty skumulowane'!$A13,Dane!$I$4:$I$2463,$A13+H$3)</f>
        <v>0</v>
      </c>
      <c r="I13" s="71">
        <f>SUMIFS(Dane!$D$4:$D$2463,Dane!$A$4:$A$2463,'Trójkąty skumulowane'!$A$1,Dane!$H$4:$H$2463,'Trójkąty skumulowane'!$A13,Dane!$I$4:$I$2463,$A13+I$3)</f>
        <v>0</v>
      </c>
      <c r="J13" s="71">
        <f>SUMIFS(Dane!$D$4:$D$2463,Dane!$A$4:$A$2463,'Trójkąty skumulowane'!$A$1,Dane!$H$4:$H$2463,'Trójkąty skumulowane'!$A13,Dane!$I$4:$I$2463,$A13+J$3)</f>
        <v>0</v>
      </c>
      <c r="K13" s="71">
        <f>SUMIFS(Dane!$D$4:$D$2463,Dane!$A$4:$A$2463,'Trójkąty skumulowane'!$A$1,Dane!$H$4:$H$2463,'Trójkąty skumulowane'!$A13,Dane!$I$4:$I$2463,$A13+K$3)</f>
        <v>0</v>
      </c>
    </row>
    <row r="16" spans="1:16" x14ac:dyDescent="0.25">
      <c r="A16" s="3" t="s">
        <v>19</v>
      </c>
    </row>
    <row r="17" spans="1:11" x14ac:dyDescent="0.25">
      <c r="B17" t="s">
        <v>21</v>
      </c>
    </row>
    <row r="18" spans="1:11" x14ac:dyDescent="0.25">
      <c r="A18" t="s">
        <v>22</v>
      </c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</row>
    <row r="19" spans="1:11" x14ac:dyDescent="0.25">
      <c r="A19">
        <v>2012</v>
      </c>
      <c r="B19" s="71">
        <f>SUMIFS(Dane!$D$4:$D$2463,Dane!$A$4:$A$2463,'Trójkąty skumulowane'!$A$16,Dane!$H$4:$H$2463,'Trójkąty skumulowane'!$A19,Dane!$I$4:$I$2463,$A19+B$18)</f>
        <v>4262147.3800735464</v>
      </c>
      <c r="C19" s="71">
        <f>SUMIFS(Dane!$D$4:$D$2463,Dane!$A$4:$A$2463,'Trójkąty skumulowane'!$A$16,Dane!$H$4:$H$2463,'Trójkąty skumulowane'!$A19,Dane!$I$4:$I$2463,$A19+C$18)+B19</f>
        <v>5171040.557632775</v>
      </c>
      <c r="D19" s="71">
        <f>SUMIFS(Dane!$D$4:$D$2463,Dane!$A$4:$A$2463,'Trójkąty skumulowane'!$A$16,Dane!$H$4:$H$2463,'Trójkąty skumulowane'!$A19,Dane!$I$4:$I$2463,$A19+D$18)+C19</f>
        <v>5206528.1608655713</v>
      </c>
      <c r="E19" s="71">
        <f>SUMIFS(Dane!$D$4:$D$2463,Dane!$A$4:$A$2463,'Trójkąty skumulowane'!$A$16,Dane!$H$4:$H$2463,'Trójkąty skumulowane'!$A19,Dane!$I$4:$I$2463,$A19+E$18)+D19</f>
        <v>5217735.2787153367</v>
      </c>
      <c r="F19" s="71">
        <f>SUMIFS(Dane!$D$4:$D$2463,Dane!$A$4:$A$2463,'Trójkąty skumulowane'!$A$16,Dane!$H$4:$H$2463,'Trójkąty skumulowane'!$A19,Dane!$I$4:$I$2463,$A19+F$18)+E19</f>
        <v>5216421.5403902102</v>
      </c>
      <c r="G19" s="71">
        <f>SUMIFS(Dane!$D$4:$D$2463,Dane!$A$4:$A$2463,'Trójkąty skumulowane'!$A$16,Dane!$H$4:$H$2463,'Trójkąty skumulowane'!$A19,Dane!$I$4:$I$2463,$A19+G$18)+F19</f>
        <v>5213475.3922777912</v>
      </c>
      <c r="H19" s="71">
        <f>SUMIFS(Dane!$D$4:$D$2463,Dane!$A$4:$A$2463,'Trójkąty skumulowane'!$A$16,Dane!$H$4:$H$2463,'Trójkąty skumulowane'!$A19,Dane!$I$4:$I$2463,$A19+H$18)+G19</f>
        <v>5212026.8016393669</v>
      </c>
      <c r="I19" s="71">
        <f>SUMIFS(Dane!$D$4:$D$2463,Dane!$A$4:$A$2463,'Trójkąty skumulowane'!$A$16,Dane!$H$4:$H$2463,'Trójkąty skumulowane'!$A19,Dane!$I$4:$I$2463,$A19+I$18)+H19</f>
        <v>5211044.3549634609</v>
      </c>
      <c r="J19" s="71">
        <f>SUMIFS(Dane!$D$4:$D$2463,Dane!$A$4:$A$2463,'Trójkąty skumulowane'!$A$16,Dane!$H$4:$H$2463,'Trójkąty skumulowane'!$A19,Dane!$I$4:$I$2463,$A19+J$18)+I19</f>
        <v>5210425.7469317596</v>
      </c>
      <c r="K19" s="71">
        <f>SUMIFS(Dane!$D$4:$D$2463,Dane!$A$4:$A$2463,'Trójkąty skumulowane'!$A$16,Dane!$H$4:$H$2463,'Trójkąty skumulowane'!$A19,Dane!$I$4:$I$2463,$A19+K$18)+J19</f>
        <v>5209988.1650882559</v>
      </c>
    </row>
    <row r="20" spans="1:11" x14ac:dyDescent="0.25">
      <c r="A20">
        <v>2013</v>
      </c>
      <c r="B20" s="71">
        <f>SUMIFS(Dane!$D$4:$D$2463,Dane!$A$4:$A$2463,'Trójkąty skumulowane'!$A$16,Dane!$H$4:$H$2463,'Trójkąty skumulowane'!$A20,Dane!$I$4:$I$2463,$A20+B$18)</f>
        <v>4103976.8489649151</v>
      </c>
      <c r="C20" s="71">
        <f>SUMIFS(Dane!$D$4:$D$2463,Dane!$A$4:$A$2463,'Trójkąty skumulowane'!$A$16,Dane!$H$4:$H$2463,'Trójkąty skumulowane'!$A20,Dane!$I$4:$I$2463,$A20+C$18)+B20</f>
        <v>5000492.7767952532</v>
      </c>
      <c r="D20" s="71">
        <f>SUMIFS(Dane!$D$4:$D$2463,Dane!$A$4:$A$2463,'Trójkąty skumulowane'!$A$16,Dane!$H$4:$H$2463,'Trójkąty skumulowane'!$A20,Dane!$I$4:$I$2463,$A20+D$18)+C20</f>
        <v>5029836.3739904091</v>
      </c>
      <c r="E20" s="71">
        <f>SUMIFS(Dane!$D$4:$D$2463,Dane!$A$4:$A$2463,'Trójkąty skumulowane'!$A$16,Dane!$H$4:$H$2463,'Trójkąty skumulowane'!$A20,Dane!$I$4:$I$2463,$A20+E$18)+D20</f>
        <v>5040327.4160874067</v>
      </c>
      <c r="F20" s="71">
        <f>SUMIFS(Dane!$D$4:$D$2463,Dane!$A$4:$A$2463,'Trójkąty skumulowane'!$A$16,Dane!$H$4:$H$2463,'Trójkąty skumulowane'!$A20,Dane!$I$4:$I$2463,$A20+F$18)+E20</f>
        <v>5040098.8196115727</v>
      </c>
      <c r="G20" s="71">
        <f>SUMIFS(Dane!$D$4:$D$2463,Dane!$A$4:$A$2463,'Trójkąty skumulowane'!$A$16,Dane!$H$4:$H$2463,'Trójkąty skumulowane'!$A20,Dane!$I$4:$I$2463,$A20+G$18)+F20</f>
        <v>5038647.3542407844</v>
      </c>
      <c r="H20" s="71">
        <f>SUMIFS(Dane!$D$4:$D$2463,Dane!$A$4:$A$2463,'Trójkąty skumulowane'!$A$16,Dane!$H$4:$H$2463,'Trójkąty skumulowane'!$A20,Dane!$I$4:$I$2463,$A20+H$18)+G20</f>
        <v>5038526.2604642119</v>
      </c>
      <c r="I20" s="71">
        <f>SUMIFS(Dane!$D$4:$D$2463,Dane!$A$4:$A$2463,'Trójkąty skumulowane'!$A$16,Dane!$H$4:$H$2463,'Trójkąty skumulowane'!$A20,Dane!$I$4:$I$2463,$A20+I$18)+H20</f>
        <v>5038187.2178986128</v>
      </c>
      <c r="J20" s="71">
        <f>SUMIFS(Dane!$D$4:$D$2463,Dane!$A$4:$A$2463,'Trójkąty skumulowane'!$A$16,Dane!$H$4:$H$2463,'Trójkąty skumulowane'!$A20,Dane!$I$4:$I$2463,$A20+J$18)+I20</f>
        <v>5037517.9003733704</v>
      </c>
      <c r="K20" s="71">
        <f>SUMIFS(Dane!$D$4:$D$2463,Dane!$A$4:$A$2463,'Trójkąty skumulowane'!$A$1,Dane!$H$4:$H$2463,'Trójkąty skumulowane'!$A20,Dane!$I$4:$I$2463,$A20+K$3)</f>
        <v>0</v>
      </c>
    </row>
    <row r="21" spans="1:11" x14ac:dyDescent="0.25">
      <c r="A21">
        <v>2014</v>
      </c>
      <c r="B21" s="71">
        <f>SUMIFS(Dane!$D$4:$D$2463,Dane!$A$4:$A$2463,'Trójkąty skumulowane'!$A$16,Dane!$H$4:$H$2463,'Trójkąty skumulowane'!$A21,Dane!$I$4:$I$2463,$A21+B$18)</f>
        <v>4144525.2888819813</v>
      </c>
      <c r="C21" s="71">
        <f>SUMIFS(Dane!$D$4:$D$2463,Dane!$A$4:$A$2463,'Trójkąty skumulowane'!$A$16,Dane!$H$4:$H$2463,'Trójkąty skumulowane'!$A21,Dane!$I$4:$I$2463,$A21+C$18)+B21</f>
        <v>5009318.3483073814</v>
      </c>
      <c r="D21" s="71">
        <f>SUMIFS(Dane!$D$4:$D$2463,Dane!$A$4:$A$2463,'Trójkąty skumulowane'!$A$16,Dane!$H$4:$H$2463,'Trójkąty skumulowane'!$A21,Dane!$I$4:$I$2463,$A21+D$18)+C21</f>
        <v>5047660.9800198637</v>
      </c>
      <c r="E21" s="71">
        <f>SUMIFS(Dane!$D$4:$D$2463,Dane!$A$4:$A$2463,'Trójkąty skumulowane'!$A$16,Dane!$H$4:$H$2463,'Trójkąty skumulowane'!$A21,Dane!$I$4:$I$2463,$A21+E$18)+D21</f>
        <v>5052630.6482328633</v>
      </c>
      <c r="F21" s="71">
        <f>SUMIFS(Dane!$D$4:$D$2463,Dane!$A$4:$A$2463,'Trójkąty skumulowane'!$A$16,Dane!$H$4:$H$2463,'Trójkąty skumulowane'!$A21,Dane!$I$4:$I$2463,$A21+F$18)+E21</f>
        <v>5050444.2348935511</v>
      </c>
      <c r="G21" s="71">
        <f>SUMIFS(Dane!$D$4:$D$2463,Dane!$A$4:$A$2463,'Trójkąty skumulowane'!$A$16,Dane!$H$4:$H$2463,'Trójkąty skumulowane'!$A21,Dane!$I$4:$I$2463,$A21+G$18)+F21</f>
        <v>5048337.6698905034</v>
      </c>
      <c r="H21" s="71">
        <f>SUMIFS(Dane!$D$4:$D$2463,Dane!$A$4:$A$2463,'Trójkąty skumulowane'!$A$16,Dane!$H$4:$H$2463,'Trójkąty skumulowane'!$A21,Dane!$I$4:$I$2463,$A21+H$18)+G21</f>
        <v>5048060.8737261798</v>
      </c>
      <c r="I21" s="71">
        <f>SUMIFS(Dane!$D$4:$D$2463,Dane!$A$4:$A$2463,'Trójkąty skumulowane'!$A$16,Dane!$H$4:$H$2463,'Trójkąty skumulowane'!$A21,Dane!$I$4:$I$2463,$A21+I$18)+H21</f>
        <v>5046848.0144023411</v>
      </c>
      <c r="J21" s="71">
        <f>SUMIFS(Dane!$D$4:$D$2463,Dane!$A$4:$A$2463,'Trójkąty skumulowane'!$A$1,Dane!$H$4:$H$2463,'Trójkąty skumulowane'!$A21,Dane!$I$4:$I$2463,$A21+J$3)</f>
        <v>0</v>
      </c>
      <c r="K21" s="71">
        <f>SUMIFS(Dane!$D$4:$D$2463,Dane!$A$4:$A$2463,'Trójkąty skumulowane'!$A$1,Dane!$H$4:$H$2463,'Trójkąty skumulowane'!$A21,Dane!$I$4:$I$2463,$A21+K$3)</f>
        <v>0</v>
      </c>
    </row>
    <row r="22" spans="1:11" x14ac:dyDescent="0.25">
      <c r="A22">
        <v>2015</v>
      </c>
      <c r="B22" s="71">
        <f>SUMIFS(Dane!$D$4:$D$2463,Dane!$A$4:$A$2463,'Trójkąty skumulowane'!$A$16,Dane!$H$4:$H$2463,'Trójkąty skumulowane'!$A22,Dane!$I$4:$I$2463,$A22+B$18)</f>
        <v>4297632.8479463691</v>
      </c>
      <c r="C22" s="71">
        <f>SUMIFS(Dane!$D$4:$D$2463,Dane!$A$4:$A$2463,'Trójkąty skumulowane'!$A$16,Dane!$H$4:$H$2463,'Trójkąty skumulowane'!$A22,Dane!$I$4:$I$2463,$A22+C$18)+B22</f>
        <v>5191642.9096287154</v>
      </c>
      <c r="D22" s="71">
        <f>SUMIFS(Dane!$D$4:$D$2463,Dane!$A$4:$A$2463,'Trójkąty skumulowane'!$A$16,Dane!$H$4:$H$2463,'Trójkąty skumulowane'!$A22,Dane!$I$4:$I$2463,$A22+D$18)+C22</f>
        <v>5228063.4834473031</v>
      </c>
      <c r="E22" s="71">
        <f>SUMIFS(Dane!$D$4:$D$2463,Dane!$A$4:$A$2463,'Trójkąty skumulowane'!$A$16,Dane!$H$4:$H$2463,'Trójkąty skumulowane'!$A22,Dane!$I$4:$I$2463,$A22+E$18)+D22</f>
        <v>5234464.7453851644</v>
      </c>
      <c r="F22" s="71">
        <f>SUMIFS(Dane!$D$4:$D$2463,Dane!$A$4:$A$2463,'Trójkąty skumulowane'!$A$16,Dane!$H$4:$H$2463,'Trójkąty skumulowane'!$A22,Dane!$I$4:$I$2463,$A22+F$18)+E22</f>
        <v>5234678.3120978428</v>
      </c>
      <c r="G22" s="71">
        <f>SUMIFS(Dane!$D$4:$D$2463,Dane!$A$4:$A$2463,'Trójkąty skumulowane'!$A$16,Dane!$H$4:$H$2463,'Trójkąty skumulowane'!$A22,Dane!$I$4:$I$2463,$A22+G$18)+F22</f>
        <v>5233855.6558879539</v>
      </c>
      <c r="H22" s="71">
        <f>SUMIFS(Dane!$D$4:$D$2463,Dane!$A$4:$A$2463,'Trójkąty skumulowane'!$A$16,Dane!$H$4:$H$2463,'Trójkąty skumulowane'!$A22,Dane!$I$4:$I$2463,$A22+H$18)+G22</f>
        <v>5233392.6840154994</v>
      </c>
      <c r="I22" s="71">
        <f>SUMIFS(Dane!$D$4:$D$2463,Dane!$A$4:$A$2463,'Trójkąty skumulowane'!$A$1,Dane!$H$4:$H$2463,'Trójkąty skumulowane'!$A22,Dane!$I$4:$I$2463,$A22+I$3)</f>
        <v>0</v>
      </c>
      <c r="J22" s="71">
        <f>SUMIFS(Dane!$D$4:$D$2463,Dane!$A$4:$A$2463,'Trójkąty skumulowane'!$A$1,Dane!$H$4:$H$2463,'Trójkąty skumulowane'!$A22,Dane!$I$4:$I$2463,$A22+J$3)</f>
        <v>0</v>
      </c>
      <c r="K22" s="71">
        <f>SUMIFS(Dane!$D$4:$D$2463,Dane!$A$4:$A$2463,'Trójkąty skumulowane'!$A$1,Dane!$H$4:$H$2463,'Trójkąty skumulowane'!$A22,Dane!$I$4:$I$2463,$A22+K$3)</f>
        <v>0</v>
      </c>
    </row>
    <row r="23" spans="1:11" x14ac:dyDescent="0.25">
      <c r="A23">
        <v>2016</v>
      </c>
      <c r="B23" s="71">
        <f>SUMIFS(Dane!$D$4:$D$2463,Dane!$A$4:$A$2463,'Trójkąty skumulowane'!$A$16,Dane!$H$4:$H$2463,'Trójkąty skumulowane'!$A23,Dane!$I$4:$I$2463,$A23+B$18)</f>
        <v>4725123.086187331</v>
      </c>
      <c r="C23" s="71">
        <f>SUMIFS(Dane!$D$4:$D$2463,Dane!$A$4:$A$2463,'Trójkąty skumulowane'!$A$16,Dane!$H$4:$H$2463,'Trójkąty skumulowane'!$A23,Dane!$I$4:$I$2463,$A23+C$18)+B23</f>
        <v>5836983.4985665362</v>
      </c>
      <c r="D23" s="71">
        <f>SUMIFS(Dane!$D$4:$D$2463,Dane!$A$4:$A$2463,'Trójkąty skumulowane'!$A$16,Dane!$H$4:$H$2463,'Trójkąty skumulowane'!$A23,Dane!$I$4:$I$2463,$A23+D$18)+C23</f>
        <v>5873044.3820574498</v>
      </c>
      <c r="E23" s="71">
        <f>SUMIFS(Dane!$D$4:$D$2463,Dane!$A$4:$A$2463,'Trójkąty skumulowane'!$A$16,Dane!$H$4:$H$2463,'Trójkąty skumulowane'!$A23,Dane!$I$4:$I$2463,$A23+E$18)+D23</f>
        <v>5883070.9820741508</v>
      </c>
      <c r="F23" s="71">
        <f>SUMIFS(Dane!$D$4:$D$2463,Dane!$A$4:$A$2463,'Trójkąty skumulowane'!$A$16,Dane!$H$4:$H$2463,'Trójkąty skumulowane'!$A23,Dane!$I$4:$I$2463,$A23+F$18)+E23</f>
        <v>5884627.4040972013</v>
      </c>
      <c r="G23" s="71">
        <f>SUMIFS(Dane!$D$4:$D$2463,Dane!$A$4:$A$2463,'Trójkąty skumulowane'!$A$16,Dane!$H$4:$H$2463,'Trójkąty skumulowane'!$A23,Dane!$I$4:$I$2463,$A23+G$18)+F23</f>
        <v>5886582.385205742</v>
      </c>
      <c r="H23" s="71">
        <f>SUMIFS(Dane!$D$4:$D$2463,Dane!$A$4:$A$2463,'Trójkąty skumulowane'!$A$1,Dane!$H$4:$H$2463,'Trójkąty skumulowane'!$A23,Dane!$I$4:$I$2463,$A23+H$3)</f>
        <v>0</v>
      </c>
      <c r="I23" s="71">
        <f>SUMIFS(Dane!$D$4:$D$2463,Dane!$A$4:$A$2463,'Trójkąty skumulowane'!$A$1,Dane!$H$4:$H$2463,'Trójkąty skumulowane'!$A23,Dane!$I$4:$I$2463,$A23+I$3)</f>
        <v>0</v>
      </c>
      <c r="J23" s="71">
        <f>SUMIFS(Dane!$D$4:$D$2463,Dane!$A$4:$A$2463,'Trójkąty skumulowane'!$A$1,Dane!$H$4:$H$2463,'Trójkąty skumulowane'!$A23,Dane!$I$4:$I$2463,$A23+J$3)</f>
        <v>0</v>
      </c>
      <c r="K23" s="71">
        <f>SUMIFS(Dane!$D$4:$D$2463,Dane!$A$4:$A$2463,'Trójkąty skumulowane'!$A$1,Dane!$H$4:$H$2463,'Trójkąty skumulowane'!$A23,Dane!$I$4:$I$2463,$A23+K$3)</f>
        <v>0</v>
      </c>
    </row>
    <row r="24" spans="1:11" x14ac:dyDescent="0.25">
      <c r="A24">
        <v>2017</v>
      </c>
      <c r="B24" s="71">
        <f>SUMIFS(Dane!$D$4:$D$2463,Dane!$A$4:$A$2463,'Trójkąty skumulowane'!$A$16,Dane!$H$4:$H$2463,'Trójkąty skumulowane'!$A24,Dane!$I$4:$I$2463,$A24+B$18)</f>
        <v>5597984.1078659333</v>
      </c>
      <c r="C24" s="71">
        <f>SUMIFS(Dane!$D$4:$D$2463,Dane!$A$4:$A$2463,'Trójkąty skumulowane'!$A$16,Dane!$H$4:$H$2463,'Trójkąty skumulowane'!$A24,Dane!$I$4:$I$2463,$A24+C$18)+B24</f>
        <v>6970614.1899836697</v>
      </c>
      <c r="D24" s="71">
        <f>SUMIFS(Dane!$D$4:$D$2463,Dane!$A$4:$A$2463,'Trójkąty skumulowane'!$A$16,Dane!$H$4:$H$2463,'Trójkąty skumulowane'!$A24,Dane!$I$4:$I$2463,$A24+D$18)+C24</f>
        <v>7066845.8532527769</v>
      </c>
      <c r="E24" s="71">
        <f>SUMIFS(Dane!$D$4:$D$2463,Dane!$A$4:$A$2463,'Trójkąty skumulowane'!$A$16,Dane!$H$4:$H$2463,'Trójkąty skumulowane'!$A24,Dane!$I$4:$I$2463,$A24+E$18)+D24</f>
        <v>7068831.0134302946</v>
      </c>
      <c r="F24" s="71">
        <f>SUMIFS(Dane!$D$4:$D$2463,Dane!$A$4:$A$2463,'Trójkąty skumulowane'!$A$16,Dane!$H$4:$H$2463,'Trójkąty skumulowane'!$A24,Dane!$I$4:$I$2463,$A24+F$18)+E24</f>
        <v>7067692.2693784814</v>
      </c>
      <c r="G24" s="71">
        <f>SUMIFS(Dane!$D$4:$D$2463,Dane!$A$4:$A$2463,'Trójkąty skumulowane'!$A$1,Dane!$H$4:$H$2463,'Trójkąty skumulowane'!$A24,Dane!$I$4:$I$2463,$A24+G$3)</f>
        <v>0</v>
      </c>
      <c r="H24" s="71">
        <f>SUMIFS(Dane!$D$4:$D$2463,Dane!$A$4:$A$2463,'Trójkąty skumulowane'!$A$1,Dane!$H$4:$H$2463,'Trójkąty skumulowane'!$A24,Dane!$I$4:$I$2463,$A24+H$3)</f>
        <v>0</v>
      </c>
      <c r="I24" s="71">
        <f>SUMIFS(Dane!$D$4:$D$2463,Dane!$A$4:$A$2463,'Trójkąty skumulowane'!$A$1,Dane!$H$4:$H$2463,'Trójkąty skumulowane'!$A24,Dane!$I$4:$I$2463,$A24+I$3)</f>
        <v>0</v>
      </c>
      <c r="J24" s="71">
        <f>SUMIFS(Dane!$D$4:$D$2463,Dane!$A$4:$A$2463,'Trójkąty skumulowane'!$A$1,Dane!$H$4:$H$2463,'Trójkąty skumulowane'!$A24,Dane!$I$4:$I$2463,$A24+J$3)</f>
        <v>0</v>
      </c>
      <c r="K24" s="71">
        <f>SUMIFS(Dane!$D$4:$D$2463,Dane!$A$4:$A$2463,'Trójkąty skumulowane'!$A$1,Dane!$H$4:$H$2463,'Trójkąty skumulowane'!$A24,Dane!$I$4:$I$2463,$A24+K$3)</f>
        <v>0</v>
      </c>
    </row>
    <row r="25" spans="1:11" x14ac:dyDescent="0.25">
      <c r="A25">
        <v>2018</v>
      </c>
      <c r="B25" s="71">
        <f>SUMIFS(Dane!$D$4:$D$2463,Dane!$A$4:$A$2463,'Trójkąty skumulowane'!$A$16,Dane!$H$4:$H$2463,'Trójkąty skumulowane'!$A25,Dane!$I$4:$I$2463,$A25+B$18)</f>
        <v>5550939.8858195748</v>
      </c>
      <c r="C25" s="71">
        <f>SUMIFS(Dane!$D$4:$D$2463,Dane!$A$4:$A$2463,'Trójkąty skumulowane'!$A$16,Dane!$H$4:$H$2463,'Trójkąty skumulowane'!$A25,Dane!$I$4:$I$2463,$A25+C$18)+B25</f>
        <v>6821264.010295298</v>
      </c>
      <c r="D25" s="71">
        <f>SUMIFS(Dane!$D$4:$D$2463,Dane!$A$4:$A$2463,'Trójkąty skumulowane'!$A$16,Dane!$H$4:$H$2463,'Trójkąty skumulowane'!$A25,Dane!$I$4:$I$2463,$A25+D$18)+C25</f>
        <v>6865981.0625902554</v>
      </c>
      <c r="E25" s="71">
        <f>SUMIFS(Dane!$D$4:$D$2463,Dane!$A$4:$A$2463,'Trójkąty skumulowane'!$A$16,Dane!$H$4:$H$2463,'Trójkąty skumulowane'!$A25,Dane!$I$4:$I$2463,$A25+E$18)+D25</f>
        <v>6881034.2560672257</v>
      </c>
      <c r="F25" s="71">
        <f>SUMIFS(Dane!$D$4:$D$2463,Dane!$A$4:$A$2463,'Trójkąty skumulowane'!$A$1,Dane!$H$4:$H$2463,'Trójkąty skumulowane'!$A25,Dane!$I$4:$I$2463,$A25+F$3)</f>
        <v>0</v>
      </c>
      <c r="G25" s="71">
        <f>SUMIFS(Dane!$D$4:$D$2463,Dane!$A$4:$A$2463,'Trójkąty skumulowane'!$A$1,Dane!$H$4:$H$2463,'Trójkąty skumulowane'!$A25,Dane!$I$4:$I$2463,$A25+G$3)</f>
        <v>0</v>
      </c>
      <c r="H25" s="71">
        <f>SUMIFS(Dane!$D$4:$D$2463,Dane!$A$4:$A$2463,'Trójkąty skumulowane'!$A$1,Dane!$H$4:$H$2463,'Trójkąty skumulowane'!$A25,Dane!$I$4:$I$2463,$A25+H$3)</f>
        <v>0</v>
      </c>
      <c r="I25" s="71">
        <f>SUMIFS(Dane!$D$4:$D$2463,Dane!$A$4:$A$2463,'Trójkąty skumulowane'!$A$1,Dane!$H$4:$H$2463,'Trójkąty skumulowane'!$A25,Dane!$I$4:$I$2463,$A25+I$3)</f>
        <v>0</v>
      </c>
      <c r="J25" s="71">
        <f>SUMIFS(Dane!$D$4:$D$2463,Dane!$A$4:$A$2463,'Trójkąty skumulowane'!$A$1,Dane!$H$4:$H$2463,'Trójkąty skumulowane'!$A25,Dane!$I$4:$I$2463,$A25+J$3)</f>
        <v>0</v>
      </c>
      <c r="K25" s="71">
        <f>SUMIFS(Dane!$D$4:$D$2463,Dane!$A$4:$A$2463,'Trójkąty skumulowane'!$A$1,Dane!$H$4:$H$2463,'Trójkąty skumulowane'!$A25,Dane!$I$4:$I$2463,$A25+K$3)</f>
        <v>0</v>
      </c>
    </row>
    <row r="26" spans="1:11" x14ac:dyDescent="0.25">
      <c r="A26">
        <v>2019</v>
      </c>
      <c r="B26" s="71">
        <f>SUMIFS(Dane!$D$4:$D$2463,Dane!$A$4:$A$2463,'Trójkąty skumulowane'!$A$16,Dane!$H$4:$H$2463,'Trójkąty skumulowane'!$A26,Dane!$I$4:$I$2463,$A26+B$18)</f>
        <v>5825184.4614891456</v>
      </c>
      <c r="C26" s="71">
        <f>SUMIFS(Dane!$D$4:$D$2463,Dane!$A$4:$A$2463,'Trójkąty skumulowane'!$A$16,Dane!$H$4:$H$2463,'Trójkąty skumulowane'!$A26,Dane!$I$4:$I$2463,$A26+C$18)+B26</f>
        <v>7002247.597021183</v>
      </c>
      <c r="D26" s="71">
        <f>SUMIFS(Dane!$D$4:$D$2463,Dane!$A$4:$A$2463,'Trójkąty skumulowane'!$A$16,Dane!$H$4:$H$2463,'Trójkąty skumulowane'!$A26,Dane!$I$4:$I$2463,$A26+D$18)+C26</f>
        <v>7032173.1109102778</v>
      </c>
      <c r="E26" s="71">
        <f>SUMIFS(Dane!$D$4:$D$2463,Dane!$A$4:$A$2463,'Trójkąty skumulowane'!$A$1,Dane!$H$4:$H$2463,'Trójkąty skumulowane'!$A26,Dane!$I$4:$I$2463,$A26+E$3)</f>
        <v>0</v>
      </c>
      <c r="F26" s="71">
        <f>SUMIFS(Dane!$D$4:$D$2463,Dane!$A$4:$A$2463,'Trójkąty skumulowane'!$A$1,Dane!$H$4:$H$2463,'Trójkąty skumulowane'!$A26,Dane!$I$4:$I$2463,$A26+F$3)</f>
        <v>0</v>
      </c>
      <c r="G26" s="71">
        <f>SUMIFS(Dane!$D$4:$D$2463,Dane!$A$4:$A$2463,'Trójkąty skumulowane'!$A$1,Dane!$H$4:$H$2463,'Trójkąty skumulowane'!$A26,Dane!$I$4:$I$2463,$A26+G$3)</f>
        <v>0</v>
      </c>
      <c r="H26" s="71">
        <f>SUMIFS(Dane!$D$4:$D$2463,Dane!$A$4:$A$2463,'Trójkąty skumulowane'!$A$1,Dane!$H$4:$H$2463,'Trójkąty skumulowane'!$A26,Dane!$I$4:$I$2463,$A26+H$3)</f>
        <v>0</v>
      </c>
      <c r="I26" s="71">
        <f>SUMIFS(Dane!$D$4:$D$2463,Dane!$A$4:$A$2463,'Trójkąty skumulowane'!$A$1,Dane!$H$4:$H$2463,'Trójkąty skumulowane'!$A26,Dane!$I$4:$I$2463,$A26+I$3)</f>
        <v>0</v>
      </c>
      <c r="J26" s="71">
        <f>SUMIFS(Dane!$D$4:$D$2463,Dane!$A$4:$A$2463,'Trójkąty skumulowane'!$A$1,Dane!$H$4:$H$2463,'Trójkąty skumulowane'!$A26,Dane!$I$4:$I$2463,$A26+J$3)</f>
        <v>0</v>
      </c>
      <c r="K26" s="71">
        <f>SUMIFS(Dane!$D$4:$D$2463,Dane!$A$4:$A$2463,'Trójkąty skumulowane'!$A$1,Dane!$H$4:$H$2463,'Trójkąty skumulowane'!$A26,Dane!$I$4:$I$2463,$A26+K$3)</f>
        <v>0</v>
      </c>
    </row>
    <row r="27" spans="1:11" x14ac:dyDescent="0.25">
      <c r="A27">
        <v>2020</v>
      </c>
      <c r="B27" s="71">
        <f>SUMIFS(Dane!$D$4:$D$2463,Dane!$A$4:$A$2463,'Trójkąty skumulowane'!$A$16,Dane!$H$4:$H$2463,'Trójkąty skumulowane'!$A27,Dane!$I$4:$I$2463,$A27+B$18)</f>
        <v>6735078.0685242079</v>
      </c>
      <c r="C27" s="71">
        <f>SUMIFS(Dane!$D$4:$D$2463,Dane!$A$4:$A$2463,'Trójkąty skumulowane'!$A$16,Dane!$H$4:$H$2463,'Trójkąty skumulowane'!$A27,Dane!$I$4:$I$2463,$A27+C$18)+B27</f>
        <v>7976472.9698659219</v>
      </c>
      <c r="D27" s="71">
        <f>SUMIFS(Dane!$D$4:$D$2463,Dane!$A$4:$A$2463,'Trójkąty skumulowane'!$A$1,Dane!$H$4:$H$2463,'Trójkąty skumulowane'!$A27,Dane!$I$4:$I$2463,$A27+D$3)</f>
        <v>0</v>
      </c>
      <c r="E27" s="71">
        <f>SUMIFS(Dane!$D$4:$D$2463,Dane!$A$4:$A$2463,'Trójkąty skumulowane'!$A$1,Dane!$H$4:$H$2463,'Trójkąty skumulowane'!$A27,Dane!$I$4:$I$2463,$A27+E$3)</f>
        <v>0</v>
      </c>
      <c r="F27" s="71">
        <f>SUMIFS(Dane!$D$4:$D$2463,Dane!$A$4:$A$2463,'Trójkąty skumulowane'!$A$1,Dane!$H$4:$H$2463,'Trójkąty skumulowane'!$A27,Dane!$I$4:$I$2463,$A27+F$3)</f>
        <v>0</v>
      </c>
      <c r="G27" s="71">
        <f>SUMIFS(Dane!$D$4:$D$2463,Dane!$A$4:$A$2463,'Trójkąty skumulowane'!$A$1,Dane!$H$4:$H$2463,'Trójkąty skumulowane'!$A27,Dane!$I$4:$I$2463,$A27+G$3)</f>
        <v>0</v>
      </c>
      <c r="H27" s="71">
        <f>SUMIFS(Dane!$D$4:$D$2463,Dane!$A$4:$A$2463,'Trójkąty skumulowane'!$A$1,Dane!$H$4:$H$2463,'Trójkąty skumulowane'!$A27,Dane!$I$4:$I$2463,$A27+H$3)</f>
        <v>0</v>
      </c>
      <c r="I27" s="71">
        <f>SUMIFS(Dane!$D$4:$D$2463,Dane!$A$4:$A$2463,'Trójkąty skumulowane'!$A$1,Dane!$H$4:$H$2463,'Trójkąty skumulowane'!$A27,Dane!$I$4:$I$2463,$A27+I$3)</f>
        <v>0</v>
      </c>
      <c r="J27" s="71">
        <f>SUMIFS(Dane!$D$4:$D$2463,Dane!$A$4:$A$2463,'Trójkąty skumulowane'!$A$1,Dane!$H$4:$H$2463,'Trójkąty skumulowane'!$A27,Dane!$I$4:$I$2463,$A27+J$3)</f>
        <v>0</v>
      </c>
      <c r="K27" s="71">
        <f>SUMIFS(Dane!$D$4:$D$2463,Dane!$A$4:$A$2463,'Trójkąty skumulowane'!$A$1,Dane!$H$4:$H$2463,'Trójkąty skumulowane'!$A27,Dane!$I$4:$I$2463,$A27+K$3)</f>
        <v>0</v>
      </c>
    </row>
    <row r="28" spans="1:11" x14ac:dyDescent="0.25">
      <c r="A28">
        <v>2021</v>
      </c>
      <c r="B28" s="71">
        <f>SUMIFS(Dane!$D$4:$D$2463,Dane!$A$4:$A$2463,'Trójkąty skumulowane'!$A$16,Dane!$H$4:$H$2463,'Trójkąty skumulowane'!$A28,Dane!$I$4:$I$2463,$A28+B$18)</f>
        <v>6428313.2761970535</v>
      </c>
      <c r="C28" s="71">
        <f>SUMIFS(Dane!$D$4:$D$2463,Dane!$A$4:$A$2463,'Trójkąty skumulowane'!$A$1,Dane!$H$4:$H$2463,'Trójkąty skumulowane'!$A28,Dane!$I$4:$I$2463,$A28+C$3)</f>
        <v>0</v>
      </c>
      <c r="D28" s="71">
        <f>SUMIFS(Dane!$D$4:$D$2463,Dane!$A$4:$A$2463,'Trójkąty skumulowane'!$A$1,Dane!$H$4:$H$2463,'Trójkąty skumulowane'!$A28,Dane!$I$4:$I$2463,$A28+D$3)</f>
        <v>0</v>
      </c>
      <c r="E28" s="71">
        <f>SUMIFS(Dane!$D$4:$D$2463,Dane!$A$4:$A$2463,'Trójkąty skumulowane'!$A$1,Dane!$H$4:$H$2463,'Trójkąty skumulowane'!$A28,Dane!$I$4:$I$2463,$A28+E$3)</f>
        <v>0</v>
      </c>
      <c r="F28" s="71">
        <f>SUMIFS(Dane!$D$4:$D$2463,Dane!$A$4:$A$2463,'Trójkąty skumulowane'!$A$1,Dane!$H$4:$H$2463,'Trójkąty skumulowane'!$A28,Dane!$I$4:$I$2463,$A28+F$3)</f>
        <v>0</v>
      </c>
      <c r="G28" s="71">
        <f>SUMIFS(Dane!$D$4:$D$2463,Dane!$A$4:$A$2463,'Trójkąty skumulowane'!$A$1,Dane!$H$4:$H$2463,'Trójkąty skumulowane'!$A28,Dane!$I$4:$I$2463,$A28+G$3)</f>
        <v>0</v>
      </c>
      <c r="H28" s="71">
        <f>SUMIFS(Dane!$D$4:$D$2463,Dane!$A$4:$A$2463,'Trójkąty skumulowane'!$A$1,Dane!$H$4:$H$2463,'Trójkąty skumulowane'!$A28,Dane!$I$4:$I$2463,$A28+H$3)</f>
        <v>0</v>
      </c>
      <c r="I28" s="71">
        <f>SUMIFS(Dane!$D$4:$D$2463,Dane!$A$4:$A$2463,'Trójkąty skumulowane'!$A$1,Dane!$H$4:$H$2463,'Trójkąty skumulowane'!$A28,Dane!$I$4:$I$2463,$A28+I$3)</f>
        <v>0</v>
      </c>
      <c r="J28" s="71">
        <f>SUMIFS(Dane!$D$4:$D$2463,Dane!$A$4:$A$2463,'Trójkąty skumulowane'!$A$1,Dane!$H$4:$H$2463,'Trójkąty skumulowane'!$A28,Dane!$I$4:$I$2463,$A28+J$3)</f>
        <v>0</v>
      </c>
      <c r="K28" s="71">
        <f>SUMIFS(Dane!$D$4:$D$2463,Dane!$A$4:$A$2463,'Trójkąty skumulowane'!$A$1,Dane!$H$4:$H$2463,'Trójkąty skumulowane'!$A28,Dane!$I$4:$I$2463,$A28+K$3)</f>
        <v>0</v>
      </c>
    </row>
    <row r="31" spans="1:11" x14ac:dyDescent="0.25">
      <c r="A31" s="3" t="s">
        <v>18</v>
      </c>
    </row>
    <row r="32" spans="1:11" x14ac:dyDescent="0.25">
      <c r="B32" t="s">
        <v>21</v>
      </c>
    </row>
    <row r="33" spans="1:11" x14ac:dyDescent="0.25">
      <c r="A33" t="s">
        <v>22</v>
      </c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</row>
    <row r="34" spans="1:11" x14ac:dyDescent="0.25">
      <c r="A34">
        <v>2012</v>
      </c>
      <c r="B34" s="71">
        <f>SUMIFS(Dane!$D$4:$D$2463,Dane!$A$4:$A$2463,'Trójkąty skumulowane'!$A$31,Dane!$H$4:$H$2463,'Trójkąty skumulowane'!$A34,Dane!$I$4:$I$2463,$A34+B$33)</f>
        <v>5581442.6576523483</v>
      </c>
      <c r="C34" s="71">
        <f>SUMIFS(Dane!$D$4:$D$2463,Dane!$A$4:$A$2463,'Trójkąty skumulowane'!$A$31,Dane!$H$4:$H$2463,'Trójkąty skumulowane'!$A34,Dane!$I$4:$I$2463,$A34+C$33)+B34</f>
        <v>8206652.7707877923</v>
      </c>
      <c r="D34" s="71">
        <f>SUMIFS(Dane!$D$4:$D$2463,Dane!$A$4:$A$2463,'Trójkąty skumulowane'!$A$31,Dane!$H$4:$H$2463,'Trójkąty skumulowane'!$A34,Dane!$I$4:$I$2463,$A34+D$33)+C34</f>
        <v>8898201.9290283415</v>
      </c>
      <c r="E34" s="71">
        <f>SUMIFS(Dane!$D$4:$D$2463,Dane!$A$4:$A$2463,'Trójkąty skumulowane'!$A$31,Dane!$H$4:$H$2463,'Trójkąty skumulowane'!$A34,Dane!$I$4:$I$2463,$A34+E$33)+D34</f>
        <v>9220574.6486107409</v>
      </c>
      <c r="F34" s="71">
        <f>SUMIFS(Dane!$D$4:$D$2463,Dane!$A$4:$A$2463,'Trójkąty skumulowane'!$A$31,Dane!$H$4:$H$2463,'Trójkąty skumulowane'!$A34,Dane!$I$4:$I$2463,$A34+F$33)+E34</f>
        <v>9425853.7168494407</v>
      </c>
      <c r="G34" s="71">
        <f>SUMIFS(Dane!$D$4:$D$2463,Dane!$A$4:$A$2463,'Trójkąty skumulowane'!$A$31,Dane!$H$4:$H$2463,'Trójkąty skumulowane'!$A34,Dane!$I$4:$I$2463,$A34+G$33)+F34</f>
        <v>9531753.1374178734</v>
      </c>
      <c r="H34" s="71">
        <f>SUMIFS(Dane!$D$4:$D$2463,Dane!$A$4:$A$2463,'Trójkąty skumulowane'!$A$31,Dane!$H$4:$H$2463,'Trójkąty skumulowane'!$A34,Dane!$I$4:$I$2463,$A34+H$33)+G34</f>
        <v>9602550.5024997108</v>
      </c>
      <c r="I34" s="71">
        <f>SUMIFS(Dane!$D$4:$D$2463,Dane!$A$4:$A$2463,'Trójkąty skumulowane'!$A$31,Dane!$H$4:$H$2463,'Trójkąty skumulowane'!$A34,Dane!$I$4:$I$2463,$A34+I$33)+H34</f>
        <v>9664785.1807720531</v>
      </c>
      <c r="J34" s="71">
        <f>SUMIFS(Dane!$D$4:$D$2463,Dane!$A$4:$A$2463,'Trójkąty skumulowane'!$A$31,Dane!$H$4:$H$2463,'Trójkąty skumulowane'!$A34,Dane!$I$4:$I$2463,$A34+J$33)+I34</f>
        <v>9744191.1671111416</v>
      </c>
      <c r="K34" s="71">
        <f>SUMIFS(Dane!$D$4:$D$2463,Dane!$A$4:$A$2463,'Trójkąty skumulowane'!$A$31,Dane!$H$4:$H$2463,'Trójkąty skumulowane'!$A34,Dane!$I$4:$I$2463,$A34+K$33)+J34</f>
        <v>9836885.1721109133</v>
      </c>
    </row>
    <row r="35" spans="1:11" x14ac:dyDescent="0.25">
      <c r="A35">
        <v>2013</v>
      </c>
      <c r="B35" s="71">
        <f>SUMIFS(Dane!$D$4:$D$2463,Dane!$A$4:$A$2463,'Trójkąty skumulowane'!$A$31,Dane!$H$4:$H$2463,'Trójkąty skumulowane'!$A35,Dane!$I$4:$I$2463,$A35+B$33)</f>
        <v>5411379.5550185256</v>
      </c>
      <c r="C35" s="71">
        <f>SUMIFS(Dane!$D$4:$D$2463,Dane!$A$4:$A$2463,'Trójkąty skumulowane'!$A$31,Dane!$H$4:$H$2463,'Trójkąty skumulowane'!$A35,Dane!$I$4:$I$2463,$A35+C$33)+B35</f>
        <v>7900593.8976593902</v>
      </c>
      <c r="D35" s="71">
        <f>SUMIFS(Dane!$D$4:$D$2463,Dane!$A$4:$A$2463,'Trójkąty skumulowane'!$A$31,Dane!$H$4:$H$2463,'Trójkąty skumulowane'!$A35,Dane!$I$4:$I$2463,$A35+D$33)+C35</f>
        <v>8452809.5298921596</v>
      </c>
      <c r="E35" s="71">
        <f>SUMIFS(Dane!$D$4:$D$2463,Dane!$A$4:$A$2463,'Trójkąty skumulowane'!$A$31,Dane!$H$4:$H$2463,'Trójkąty skumulowane'!$A35,Dane!$I$4:$I$2463,$A35+E$33)+D35</f>
        <v>8739590.737854803</v>
      </c>
      <c r="F35" s="71">
        <f>SUMIFS(Dane!$D$4:$D$2463,Dane!$A$4:$A$2463,'Trójkąty skumulowane'!$A$31,Dane!$H$4:$H$2463,'Trójkąty skumulowane'!$A35,Dane!$I$4:$I$2463,$A35+F$33)+E35</f>
        <v>8882281.6902518589</v>
      </c>
      <c r="G35" s="71">
        <f>SUMIFS(Dane!$D$4:$D$2463,Dane!$A$4:$A$2463,'Trójkąty skumulowane'!$A$31,Dane!$H$4:$H$2463,'Trójkąty skumulowane'!$A35,Dane!$I$4:$I$2463,$A35+G$33)+F35</f>
        <v>9021858.8460047543</v>
      </c>
      <c r="H35" s="71">
        <f>SUMIFS(Dane!$D$4:$D$2463,Dane!$A$4:$A$2463,'Trójkąty skumulowane'!$A$31,Dane!$H$4:$H$2463,'Trójkąty skumulowane'!$A35,Dane!$I$4:$I$2463,$A35+H$33)+G35</f>
        <v>9101997.1280943397</v>
      </c>
      <c r="I35" s="71">
        <f>SUMIFS(Dane!$D$4:$D$2463,Dane!$A$4:$A$2463,'Trójkąty skumulowane'!$A$31,Dane!$H$4:$H$2463,'Trójkąty skumulowane'!$A35,Dane!$I$4:$I$2463,$A35+I$33)+H35</f>
        <v>9177705.103366673</v>
      </c>
      <c r="J35" s="71">
        <f>SUMIFS(Dane!$D$4:$D$2463,Dane!$A$4:$A$2463,'Trójkąty skumulowane'!$A$31,Dane!$H$4:$H$2463,'Trójkąty skumulowane'!$A35,Dane!$I$4:$I$2463,$A35+J$33)+I35</f>
        <v>9232133.1671188306</v>
      </c>
      <c r="K35" s="71">
        <f>SUMIFS(Dane!$D$4:$D$2463,Dane!$A$4:$A$2463,'Trójkąty skumulowane'!$A$31,Dane!$H$4:$H$2463,'Trójkąty skumulowane'!$A35,Dane!$I$4:$I$2463,$A35+K$33)</f>
        <v>0</v>
      </c>
    </row>
    <row r="36" spans="1:11" x14ac:dyDescent="0.25">
      <c r="A36">
        <v>2014</v>
      </c>
      <c r="B36" s="71">
        <f>SUMIFS(Dane!$D$4:$D$2463,Dane!$A$4:$A$2463,'Trójkąty skumulowane'!$A$31,Dane!$H$4:$H$2463,'Trójkąty skumulowane'!$A36,Dane!$I$4:$I$2463,$A36+B$33)</f>
        <v>5125655.4854002073</v>
      </c>
      <c r="C36" s="71">
        <f>SUMIFS(Dane!$D$4:$D$2463,Dane!$A$4:$A$2463,'Trójkąty skumulowane'!$A$31,Dane!$H$4:$H$2463,'Trójkąty skumulowane'!$A36,Dane!$I$4:$I$2463,$A36+C$33)+B36</f>
        <v>7419675.5357578844</v>
      </c>
      <c r="D36" s="71">
        <f>SUMIFS(Dane!$D$4:$D$2463,Dane!$A$4:$A$2463,'Trójkąty skumulowane'!$A$31,Dane!$H$4:$H$2463,'Trójkąty skumulowane'!$A36,Dane!$I$4:$I$2463,$A36+D$33)+C36</f>
        <v>8035194.5474029956</v>
      </c>
      <c r="E36" s="71">
        <f>SUMIFS(Dane!$D$4:$D$2463,Dane!$A$4:$A$2463,'Trójkąty skumulowane'!$A$31,Dane!$H$4:$H$2463,'Trójkąty skumulowane'!$A36,Dane!$I$4:$I$2463,$A36+E$33)+D36</f>
        <v>8311293.5664852802</v>
      </c>
      <c r="F36" s="71">
        <f>SUMIFS(Dane!$D$4:$D$2463,Dane!$A$4:$A$2463,'Trójkąty skumulowane'!$A$31,Dane!$H$4:$H$2463,'Trójkąty skumulowane'!$A36,Dane!$I$4:$I$2463,$A36+F$33)+E36</f>
        <v>8485838.9932521638</v>
      </c>
      <c r="G36" s="71">
        <f>SUMIFS(Dane!$D$4:$D$2463,Dane!$A$4:$A$2463,'Trójkąty skumulowane'!$A$31,Dane!$H$4:$H$2463,'Trójkąty skumulowane'!$A36,Dane!$I$4:$I$2463,$A36+G$33)+F36</f>
        <v>8612753.2234232798</v>
      </c>
      <c r="H36" s="71">
        <f>SUMIFS(Dane!$D$4:$D$2463,Dane!$A$4:$A$2463,'Trójkąty skumulowane'!$A$31,Dane!$H$4:$H$2463,'Trójkąty skumulowane'!$A36,Dane!$I$4:$I$2463,$A36+H$33)+G36</f>
        <v>8705089.8472966179</v>
      </c>
      <c r="I36" s="71">
        <f>SUMIFS(Dane!$D$4:$D$2463,Dane!$A$4:$A$2463,'Trójkąty skumulowane'!$A$31,Dane!$H$4:$H$2463,'Trójkąty skumulowane'!$A36,Dane!$I$4:$I$2463,$A36+I$33)+H36</f>
        <v>8790192.0651726462</v>
      </c>
      <c r="J36" s="71">
        <f>SUMIFS(Dane!$D$4:$D$2463,Dane!$A$4:$A$2463,'Trójkąty skumulowane'!$A$31,Dane!$H$4:$H$2463,'Trójkąty skumulowane'!$A36,Dane!$I$4:$I$2463,$A36+J$33)</f>
        <v>0</v>
      </c>
      <c r="K36" s="71">
        <f>SUMIFS(Dane!$D$4:$D$2463,Dane!$A$4:$A$2463,'Trójkąty skumulowane'!$A$31,Dane!$H$4:$H$2463,'Trójkąty skumulowane'!$A36,Dane!$I$4:$I$2463,$A36+K$33)</f>
        <v>0</v>
      </c>
    </row>
    <row r="37" spans="1:11" x14ac:dyDescent="0.25">
      <c r="A37">
        <v>2015</v>
      </c>
      <c r="B37" s="71">
        <f>SUMIFS(Dane!$D$4:$D$2463,Dane!$A$4:$A$2463,'Trójkąty skumulowane'!$A$31,Dane!$H$4:$H$2463,'Trójkąty skumulowane'!$A37,Dane!$I$4:$I$2463,$A37+B$33)</f>
        <v>4937863.1805621143</v>
      </c>
      <c r="C37" s="71">
        <f>SUMIFS(Dane!$D$4:$D$2463,Dane!$A$4:$A$2463,'Trójkąty skumulowane'!$A$31,Dane!$H$4:$H$2463,'Trójkąty skumulowane'!$A37,Dane!$I$4:$I$2463,$A37+C$33)+B37</f>
        <v>7280218.5328278262</v>
      </c>
      <c r="D37" s="71">
        <f>SUMIFS(Dane!$D$4:$D$2463,Dane!$A$4:$A$2463,'Trójkąty skumulowane'!$A$31,Dane!$H$4:$H$2463,'Trójkąty skumulowane'!$A37,Dane!$I$4:$I$2463,$A37+D$33)+C37</f>
        <v>7761059.11764865</v>
      </c>
      <c r="E37" s="71">
        <f>SUMIFS(Dane!$D$4:$D$2463,Dane!$A$4:$A$2463,'Trójkąty skumulowane'!$A$31,Dane!$H$4:$H$2463,'Trójkąty skumulowane'!$A37,Dane!$I$4:$I$2463,$A37+E$33)+D37</f>
        <v>8070594.5036562011</v>
      </c>
      <c r="F37" s="71">
        <f>SUMIFS(Dane!$D$4:$D$2463,Dane!$A$4:$A$2463,'Trójkąty skumulowane'!$A$31,Dane!$H$4:$H$2463,'Trójkąty skumulowane'!$A37,Dane!$I$4:$I$2463,$A37+F$33)+E37</f>
        <v>8357686.8388847765</v>
      </c>
      <c r="G37" s="71">
        <f>SUMIFS(Dane!$D$4:$D$2463,Dane!$A$4:$A$2463,'Trójkąty skumulowane'!$A$31,Dane!$H$4:$H$2463,'Trójkąty skumulowane'!$A37,Dane!$I$4:$I$2463,$A37+G$33)+F37</f>
        <v>8508734.3164296784</v>
      </c>
      <c r="H37" s="71">
        <f>SUMIFS(Dane!$D$4:$D$2463,Dane!$A$4:$A$2463,'Trójkąty skumulowane'!$A$31,Dane!$H$4:$H$2463,'Trójkąty skumulowane'!$A37,Dane!$I$4:$I$2463,$A37+H$33)+G37</f>
        <v>8597298.6686612889</v>
      </c>
      <c r="I37" s="71">
        <f>SUMIFS(Dane!$D$4:$D$2463,Dane!$A$4:$A$2463,'Trójkąty skumulowane'!$A$31,Dane!$H$4:$H$2463,'Trójkąty skumulowane'!$A37,Dane!$I$4:$I$2463,$A37+I$33)</f>
        <v>0</v>
      </c>
      <c r="J37" s="71">
        <f>SUMIFS(Dane!$D$4:$D$2463,Dane!$A$4:$A$2463,'Trójkąty skumulowane'!$A$31,Dane!$H$4:$H$2463,'Trójkąty skumulowane'!$A37,Dane!$I$4:$I$2463,$A37+J$33)</f>
        <v>0</v>
      </c>
      <c r="K37" s="71">
        <f>SUMIFS(Dane!$D$4:$D$2463,Dane!$A$4:$A$2463,'Trójkąty skumulowane'!$A$31,Dane!$H$4:$H$2463,'Trójkąty skumulowane'!$A37,Dane!$I$4:$I$2463,$A37+K$33)</f>
        <v>0</v>
      </c>
    </row>
    <row r="38" spans="1:11" x14ac:dyDescent="0.25">
      <c r="A38">
        <v>2016</v>
      </c>
      <c r="B38" s="71">
        <f>SUMIFS(Dane!$D$4:$D$2463,Dane!$A$4:$A$2463,'Trójkąty skumulowane'!$A$31,Dane!$H$4:$H$2463,'Trójkąty skumulowane'!$A38,Dane!$I$4:$I$2463,$A38+B$33)</f>
        <v>4897019.6391870324</v>
      </c>
      <c r="C38" s="71">
        <f>SUMIFS(Dane!$D$4:$D$2463,Dane!$A$4:$A$2463,'Trójkąty skumulowane'!$A$31,Dane!$H$4:$H$2463,'Trójkąty skumulowane'!$A38,Dane!$I$4:$I$2463,$A38+C$33)+B38</f>
        <v>7246289.1684834082</v>
      </c>
      <c r="D38" s="71">
        <f>SUMIFS(Dane!$D$4:$D$2463,Dane!$A$4:$A$2463,'Trójkąty skumulowane'!$A$31,Dane!$H$4:$H$2463,'Trójkąty skumulowane'!$A38,Dane!$I$4:$I$2463,$A38+D$33)+C38</f>
        <v>7830052.6938192165</v>
      </c>
      <c r="E38" s="71">
        <f>SUMIFS(Dane!$D$4:$D$2463,Dane!$A$4:$A$2463,'Trójkąty skumulowane'!$A$31,Dane!$H$4:$H$2463,'Trójkąty skumulowane'!$A38,Dane!$I$4:$I$2463,$A38+E$33)+D38</f>
        <v>8169946.3043205123</v>
      </c>
      <c r="F38" s="71">
        <f>SUMIFS(Dane!$D$4:$D$2463,Dane!$A$4:$A$2463,'Trójkąty skumulowane'!$A$31,Dane!$H$4:$H$2463,'Trójkąty skumulowane'!$A38,Dane!$I$4:$I$2463,$A38+F$33)+E38</f>
        <v>8399470.4375268407</v>
      </c>
      <c r="G38" s="71">
        <f>SUMIFS(Dane!$D$4:$D$2463,Dane!$A$4:$A$2463,'Trójkąty skumulowane'!$A$31,Dane!$H$4:$H$2463,'Trójkąty skumulowane'!$A38,Dane!$I$4:$I$2463,$A38+G$33)+F38</f>
        <v>8553302.2388791312</v>
      </c>
      <c r="H38" s="71">
        <f>SUMIFS(Dane!$D$4:$D$2463,Dane!$A$4:$A$2463,'Trójkąty skumulowane'!$A$31,Dane!$H$4:$H$2463,'Trójkąty skumulowane'!$A38,Dane!$I$4:$I$2463,$A38+H$33)</f>
        <v>0</v>
      </c>
      <c r="I38" s="71">
        <f>SUMIFS(Dane!$D$4:$D$2463,Dane!$A$4:$A$2463,'Trójkąty skumulowane'!$A$31,Dane!$H$4:$H$2463,'Trójkąty skumulowane'!$A38,Dane!$I$4:$I$2463,$A38+I$33)</f>
        <v>0</v>
      </c>
      <c r="J38" s="71">
        <f>SUMIFS(Dane!$D$4:$D$2463,Dane!$A$4:$A$2463,'Trójkąty skumulowane'!$A$31,Dane!$H$4:$H$2463,'Trójkąty skumulowane'!$A38,Dane!$I$4:$I$2463,$A38+J$33)</f>
        <v>0</v>
      </c>
      <c r="K38" s="71">
        <f>SUMIFS(Dane!$D$4:$D$2463,Dane!$A$4:$A$2463,'Trójkąty skumulowane'!$A$31,Dane!$H$4:$H$2463,'Trójkąty skumulowane'!$A38,Dane!$I$4:$I$2463,$A38+K$33)</f>
        <v>0</v>
      </c>
    </row>
    <row r="39" spans="1:11" x14ac:dyDescent="0.25">
      <c r="A39">
        <v>2017</v>
      </c>
      <c r="B39" s="71">
        <f>SUMIFS(Dane!$D$4:$D$2463,Dane!$A$4:$A$2463,'Trójkąty skumulowane'!$A$31,Dane!$H$4:$H$2463,'Trójkąty skumulowane'!$A39,Dane!$I$4:$I$2463,$A39+B$33)</f>
        <v>5014791.9572833572</v>
      </c>
      <c r="C39" s="71">
        <f>SUMIFS(Dane!$D$4:$D$2463,Dane!$A$4:$A$2463,'Trójkąty skumulowane'!$A$31,Dane!$H$4:$H$2463,'Trójkąty skumulowane'!$A39,Dane!$I$4:$I$2463,$A39+C$33)+B39</f>
        <v>7473356.4843088966</v>
      </c>
      <c r="D39" s="71">
        <f>SUMIFS(Dane!$D$4:$D$2463,Dane!$A$4:$A$2463,'Trójkąty skumulowane'!$A$31,Dane!$H$4:$H$2463,'Trójkąty skumulowane'!$A39,Dane!$I$4:$I$2463,$A39+D$33)+C39</f>
        <v>8051605.7443632847</v>
      </c>
      <c r="E39" s="71">
        <f>SUMIFS(Dane!$D$4:$D$2463,Dane!$A$4:$A$2463,'Trójkąty skumulowane'!$A$31,Dane!$H$4:$H$2463,'Trójkąty skumulowane'!$A39,Dane!$I$4:$I$2463,$A39+E$33)+D39</f>
        <v>8381433.7919791909</v>
      </c>
      <c r="F39" s="71">
        <f>SUMIFS(Dane!$D$4:$D$2463,Dane!$A$4:$A$2463,'Trójkąty skumulowane'!$A$31,Dane!$H$4:$H$2463,'Trójkąty skumulowane'!$A39,Dane!$I$4:$I$2463,$A39+F$33)+E39</f>
        <v>8539007.495220311</v>
      </c>
      <c r="G39" s="71">
        <f>SUMIFS(Dane!$D$4:$D$2463,Dane!$A$4:$A$2463,'Trójkąty skumulowane'!$A$31,Dane!$H$4:$H$2463,'Trójkąty skumulowane'!$A39,Dane!$I$4:$I$2463,$A39+G$33)</f>
        <v>0</v>
      </c>
      <c r="H39" s="71">
        <f>SUMIFS(Dane!$D$4:$D$2463,Dane!$A$4:$A$2463,'Trójkąty skumulowane'!$A$31,Dane!$H$4:$H$2463,'Trójkąty skumulowane'!$A39,Dane!$I$4:$I$2463,$A39+H$33)</f>
        <v>0</v>
      </c>
      <c r="I39" s="71">
        <f>SUMIFS(Dane!$D$4:$D$2463,Dane!$A$4:$A$2463,'Trójkąty skumulowane'!$A$31,Dane!$H$4:$H$2463,'Trójkąty skumulowane'!$A39,Dane!$I$4:$I$2463,$A39+I$33)</f>
        <v>0</v>
      </c>
      <c r="J39" s="71">
        <f>SUMIFS(Dane!$D$4:$D$2463,Dane!$A$4:$A$2463,'Trójkąty skumulowane'!$A$31,Dane!$H$4:$H$2463,'Trójkąty skumulowane'!$A39,Dane!$I$4:$I$2463,$A39+J$33)</f>
        <v>0</v>
      </c>
      <c r="K39" s="71">
        <f>SUMIFS(Dane!$D$4:$D$2463,Dane!$A$4:$A$2463,'Trójkąty skumulowane'!$A$31,Dane!$H$4:$H$2463,'Trójkąty skumulowane'!$A39,Dane!$I$4:$I$2463,$A39+K$33)</f>
        <v>0</v>
      </c>
    </row>
    <row r="40" spans="1:11" x14ac:dyDescent="0.25">
      <c r="A40">
        <v>2018</v>
      </c>
      <c r="B40" s="71">
        <f>SUMIFS(Dane!$D$4:$D$2463,Dane!$A$4:$A$2463,'Trójkąty skumulowane'!$A$31,Dane!$H$4:$H$2463,'Trójkąty skumulowane'!$A40,Dane!$I$4:$I$2463,$A40+B$33)</f>
        <v>5289023.9552167226</v>
      </c>
      <c r="C40" s="71">
        <f>SUMIFS(Dane!$D$4:$D$2463,Dane!$A$4:$A$2463,'Trójkąty skumulowane'!$A$31,Dane!$H$4:$H$2463,'Trójkąty skumulowane'!$A40,Dane!$I$4:$I$2463,$A40+C$33)+B40</f>
        <v>7765443.9363761069</v>
      </c>
      <c r="D40" s="71">
        <f>SUMIFS(Dane!$D$4:$D$2463,Dane!$A$4:$A$2463,'Trójkąty skumulowane'!$A$31,Dane!$H$4:$H$2463,'Trójkąty skumulowane'!$A40,Dane!$I$4:$I$2463,$A40+D$33)+C40</f>
        <v>8242777.4404919678</v>
      </c>
      <c r="E40" s="71">
        <f>SUMIFS(Dane!$D$4:$D$2463,Dane!$A$4:$A$2463,'Trójkąty skumulowane'!$A$31,Dane!$H$4:$H$2463,'Trójkąty skumulowane'!$A40,Dane!$I$4:$I$2463,$A40+E$33)+D40</f>
        <v>8468153.0281122215</v>
      </c>
      <c r="F40" s="71">
        <f>SUMIFS(Dane!$D$4:$D$2463,Dane!$A$4:$A$2463,'Trójkąty skumulowane'!$A$31,Dane!$H$4:$H$2463,'Trójkąty skumulowane'!$A40,Dane!$I$4:$I$2463,$A40+F$33)</f>
        <v>0</v>
      </c>
      <c r="G40" s="71">
        <f>SUMIFS(Dane!$D$4:$D$2463,Dane!$A$4:$A$2463,'Trójkąty skumulowane'!$A$31,Dane!$H$4:$H$2463,'Trójkąty skumulowane'!$A40,Dane!$I$4:$I$2463,$A40+G$33)</f>
        <v>0</v>
      </c>
      <c r="H40" s="71">
        <f>SUMIFS(Dane!$D$4:$D$2463,Dane!$A$4:$A$2463,'Trójkąty skumulowane'!$A$31,Dane!$H$4:$H$2463,'Trójkąty skumulowane'!$A40,Dane!$I$4:$I$2463,$A40+H$33)</f>
        <v>0</v>
      </c>
      <c r="I40" s="71">
        <f>SUMIFS(Dane!$D$4:$D$2463,Dane!$A$4:$A$2463,'Trójkąty skumulowane'!$A$31,Dane!$H$4:$H$2463,'Trójkąty skumulowane'!$A40,Dane!$I$4:$I$2463,$A40+I$33)</f>
        <v>0</v>
      </c>
      <c r="J40" s="71">
        <f>SUMIFS(Dane!$D$4:$D$2463,Dane!$A$4:$A$2463,'Trójkąty skumulowane'!$A$31,Dane!$H$4:$H$2463,'Trójkąty skumulowane'!$A40,Dane!$I$4:$I$2463,$A40+J$33)</f>
        <v>0</v>
      </c>
      <c r="K40" s="71">
        <f>SUMIFS(Dane!$D$4:$D$2463,Dane!$A$4:$A$2463,'Trójkąty skumulowane'!$A$31,Dane!$H$4:$H$2463,'Trójkąty skumulowane'!$A40,Dane!$I$4:$I$2463,$A40+K$33)</f>
        <v>0</v>
      </c>
    </row>
    <row r="41" spans="1:11" x14ac:dyDescent="0.25">
      <c r="A41">
        <v>2019</v>
      </c>
      <c r="B41" s="71">
        <f>SUMIFS(Dane!$D$4:$D$2463,Dane!$A$4:$A$2463,'Trójkąty skumulowane'!$A$31,Dane!$H$4:$H$2463,'Trójkąty skumulowane'!$A41,Dane!$I$4:$I$2463,$A41+B$33)</f>
        <v>5361675.0260812119</v>
      </c>
      <c r="C41" s="71">
        <f>SUMIFS(Dane!$D$4:$D$2463,Dane!$A$4:$A$2463,'Trójkąty skumulowane'!$A$31,Dane!$H$4:$H$2463,'Trójkąty skumulowane'!$A41,Dane!$I$4:$I$2463,$A41+C$33)+B41</f>
        <v>7552270.4508919688</v>
      </c>
      <c r="D41" s="71">
        <f>SUMIFS(Dane!$D$4:$D$2463,Dane!$A$4:$A$2463,'Trójkąty skumulowane'!$A$31,Dane!$H$4:$H$2463,'Trójkąty skumulowane'!$A41,Dane!$I$4:$I$2463,$A41+D$33)+C41</f>
        <v>8066188.6737497589</v>
      </c>
      <c r="E41" s="71">
        <f>SUMIFS(Dane!$D$4:$D$2463,Dane!$A$4:$A$2463,'Trójkąty skumulowane'!$A$31,Dane!$H$4:$H$2463,'Trójkąty skumulowane'!$A41,Dane!$I$4:$I$2463,$A41+E$33)</f>
        <v>0</v>
      </c>
      <c r="F41" s="71">
        <f>SUMIFS(Dane!$D$4:$D$2463,Dane!$A$4:$A$2463,'Trójkąty skumulowane'!$A$31,Dane!$H$4:$H$2463,'Trójkąty skumulowane'!$A41,Dane!$I$4:$I$2463,$A41+F$33)</f>
        <v>0</v>
      </c>
      <c r="G41" s="71">
        <f>SUMIFS(Dane!$D$4:$D$2463,Dane!$A$4:$A$2463,'Trójkąty skumulowane'!$A$31,Dane!$H$4:$H$2463,'Trójkąty skumulowane'!$A41,Dane!$I$4:$I$2463,$A41+G$33)</f>
        <v>0</v>
      </c>
      <c r="H41" s="71">
        <f>SUMIFS(Dane!$D$4:$D$2463,Dane!$A$4:$A$2463,'Trójkąty skumulowane'!$A$31,Dane!$H$4:$H$2463,'Trójkąty skumulowane'!$A41,Dane!$I$4:$I$2463,$A41+H$33)</f>
        <v>0</v>
      </c>
      <c r="I41" s="71">
        <f>SUMIFS(Dane!$D$4:$D$2463,Dane!$A$4:$A$2463,'Trójkąty skumulowane'!$A$31,Dane!$H$4:$H$2463,'Trójkąty skumulowane'!$A41,Dane!$I$4:$I$2463,$A41+I$33)</f>
        <v>0</v>
      </c>
      <c r="J41" s="71">
        <f>SUMIFS(Dane!$D$4:$D$2463,Dane!$A$4:$A$2463,'Trójkąty skumulowane'!$A$31,Dane!$H$4:$H$2463,'Trójkąty skumulowane'!$A41,Dane!$I$4:$I$2463,$A41+J$33)</f>
        <v>0</v>
      </c>
      <c r="K41" s="71">
        <f>SUMIFS(Dane!$D$4:$D$2463,Dane!$A$4:$A$2463,'Trójkąty skumulowane'!$A$31,Dane!$H$4:$H$2463,'Trójkąty skumulowane'!$A41,Dane!$I$4:$I$2463,$A41+K$33)</f>
        <v>0</v>
      </c>
    </row>
    <row r="42" spans="1:11" x14ac:dyDescent="0.25">
      <c r="A42">
        <v>2020</v>
      </c>
      <c r="B42" s="71">
        <f>SUMIFS(Dane!$D$4:$D$2463,Dane!$A$4:$A$2463,'Trójkąty skumulowane'!$A$31,Dane!$H$4:$H$2463,'Trójkąty skumulowane'!$A42,Dane!$I$4:$I$2463,$A42+B$33)</f>
        <v>5311015.510566188</v>
      </c>
      <c r="C42" s="71">
        <f>SUMIFS(Dane!$D$4:$D$2463,Dane!$A$4:$A$2463,'Trójkąty skumulowane'!$A$31,Dane!$H$4:$H$2463,'Trójkąty skumulowane'!$A42,Dane!$I$4:$I$2463,$A42+C$33)+B42</f>
        <v>7383876.934500345</v>
      </c>
      <c r="D42" s="71">
        <f>SUMIFS(Dane!$D$4:$D$2463,Dane!$A$4:$A$2463,'Trójkąty skumulowane'!$A$31,Dane!$H$4:$H$2463,'Trójkąty skumulowane'!$A42,Dane!$I$4:$I$2463,$A42+D$33)</f>
        <v>0</v>
      </c>
      <c r="E42" s="71">
        <f>SUMIFS(Dane!$D$4:$D$2463,Dane!$A$4:$A$2463,'Trójkąty skumulowane'!$A$31,Dane!$H$4:$H$2463,'Trójkąty skumulowane'!$A42,Dane!$I$4:$I$2463,$A42+E$33)</f>
        <v>0</v>
      </c>
      <c r="F42" s="71">
        <f>SUMIFS(Dane!$D$4:$D$2463,Dane!$A$4:$A$2463,'Trójkąty skumulowane'!$A$31,Dane!$H$4:$H$2463,'Trójkąty skumulowane'!$A42,Dane!$I$4:$I$2463,$A42+F$33)</f>
        <v>0</v>
      </c>
      <c r="G42" s="71">
        <f>SUMIFS(Dane!$D$4:$D$2463,Dane!$A$4:$A$2463,'Trójkąty skumulowane'!$A$31,Dane!$H$4:$H$2463,'Trójkąty skumulowane'!$A42,Dane!$I$4:$I$2463,$A42+G$33)</f>
        <v>0</v>
      </c>
      <c r="H42" s="71">
        <f>SUMIFS(Dane!$D$4:$D$2463,Dane!$A$4:$A$2463,'Trójkąty skumulowane'!$A$31,Dane!$H$4:$H$2463,'Trójkąty skumulowane'!$A42,Dane!$I$4:$I$2463,$A42+H$33)</f>
        <v>0</v>
      </c>
      <c r="I42" s="71">
        <f>SUMIFS(Dane!$D$4:$D$2463,Dane!$A$4:$A$2463,'Trójkąty skumulowane'!$A$31,Dane!$H$4:$H$2463,'Trójkąty skumulowane'!$A42,Dane!$I$4:$I$2463,$A42+I$33)</f>
        <v>0</v>
      </c>
      <c r="J42" s="71">
        <f>SUMIFS(Dane!$D$4:$D$2463,Dane!$A$4:$A$2463,'Trójkąty skumulowane'!$A$31,Dane!$H$4:$H$2463,'Trójkąty skumulowane'!$A42,Dane!$I$4:$I$2463,$A42+J$33)</f>
        <v>0</v>
      </c>
      <c r="K42" s="71">
        <f>SUMIFS(Dane!$D$4:$D$2463,Dane!$A$4:$A$2463,'Trójkąty skumulowane'!$A$31,Dane!$H$4:$H$2463,'Trójkąty skumulowane'!$A42,Dane!$I$4:$I$2463,$A42+K$33)</f>
        <v>0</v>
      </c>
    </row>
    <row r="43" spans="1:11" x14ac:dyDescent="0.25">
      <c r="A43">
        <v>2021</v>
      </c>
      <c r="B43" s="71">
        <f>SUMIFS(Dane!$D$4:$D$2463,Dane!$A$4:$A$2463,'Trójkąty skumulowane'!$A$31,Dane!$H$4:$H$2463,'Trójkąty skumulowane'!$A43,Dane!$I$4:$I$2463,$A43+B$33)</f>
        <v>5299650.8412340274</v>
      </c>
      <c r="C43" s="71">
        <f>SUMIFS(Dane!$D$4:$D$2463,Dane!$A$4:$A$2463,'Trójkąty skumulowane'!$A$31,Dane!$H$4:$H$2463,'Trójkąty skumulowane'!$A43,Dane!$I$4:$I$2463,$A43+C$33)</f>
        <v>0</v>
      </c>
      <c r="D43" s="71">
        <f>SUMIFS(Dane!$D$4:$D$2463,Dane!$A$4:$A$2463,'Trójkąty skumulowane'!$A$31,Dane!$H$4:$H$2463,'Trójkąty skumulowane'!$A43,Dane!$I$4:$I$2463,$A43+D$33)</f>
        <v>0</v>
      </c>
      <c r="E43" s="71">
        <f>SUMIFS(Dane!$D$4:$D$2463,Dane!$A$4:$A$2463,'Trójkąty skumulowane'!$A$31,Dane!$H$4:$H$2463,'Trójkąty skumulowane'!$A43,Dane!$I$4:$I$2463,$A43+E$33)</f>
        <v>0</v>
      </c>
      <c r="F43" s="71">
        <f>SUMIFS(Dane!$D$4:$D$2463,Dane!$A$4:$A$2463,'Trójkąty skumulowane'!$A$31,Dane!$H$4:$H$2463,'Trójkąty skumulowane'!$A43,Dane!$I$4:$I$2463,$A43+F$33)</f>
        <v>0</v>
      </c>
      <c r="G43" s="71">
        <f>SUMIFS(Dane!$D$4:$D$2463,Dane!$A$4:$A$2463,'Trójkąty skumulowane'!$A$31,Dane!$H$4:$H$2463,'Trójkąty skumulowane'!$A43,Dane!$I$4:$I$2463,$A43+G$33)</f>
        <v>0</v>
      </c>
      <c r="H43" s="71">
        <f>SUMIFS(Dane!$D$4:$D$2463,Dane!$A$4:$A$2463,'Trójkąty skumulowane'!$A$31,Dane!$H$4:$H$2463,'Trójkąty skumulowane'!$A43,Dane!$I$4:$I$2463,$A43+H$33)</f>
        <v>0</v>
      </c>
      <c r="I43" s="71">
        <f>SUMIFS(Dane!$D$4:$D$2463,Dane!$A$4:$A$2463,'Trójkąty skumulowane'!$A$31,Dane!$H$4:$H$2463,'Trójkąty skumulowane'!$A43,Dane!$I$4:$I$2463,$A43+I$33)</f>
        <v>0</v>
      </c>
      <c r="J43" s="71">
        <f>SUMIFS(Dane!$D$4:$D$2463,Dane!$A$4:$A$2463,'Trójkąty skumulowane'!$A$31,Dane!$H$4:$H$2463,'Trójkąty skumulowane'!$A43,Dane!$I$4:$I$2463,$A43+J$33)</f>
        <v>0</v>
      </c>
      <c r="K43" s="71">
        <f>SUMIFS(Dane!$D$4:$D$2463,Dane!$A$4:$A$2463,'Trójkąty skumulowane'!$A$31,Dane!$H$4:$H$2463,'Trójkąty skumulowane'!$A43,Dane!$I$4:$I$2463,$A43+K$33)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01457-5DFC-4F57-A884-3043811C1996}">
  <sheetPr codeName="Arkusz7"/>
  <dimension ref="A1:L55"/>
  <sheetViews>
    <sheetView tabSelected="1" workbookViewId="0">
      <selection activeCell="C14" sqref="C14"/>
    </sheetView>
  </sheetViews>
  <sheetFormatPr defaultRowHeight="15" x14ac:dyDescent="0.25"/>
  <cols>
    <col min="1" max="1" width="17.42578125" bestFit="1" customWidth="1"/>
    <col min="2" max="2" width="28.7109375" bestFit="1" customWidth="1"/>
    <col min="3" max="11" width="12.5703125" bestFit="1" customWidth="1"/>
    <col min="12" max="12" width="12.7109375" bestFit="1" customWidth="1"/>
  </cols>
  <sheetData>
    <row r="1" spans="1:12" x14ac:dyDescent="0.25">
      <c r="A1" s="3" t="s">
        <v>17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x14ac:dyDescent="0.25">
      <c r="B2" t="s">
        <v>21</v>
      </c>
    </row>
    <row r="3" spans="1:12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 t="s">
        <v>24</v>
      </c>
    </row>
    <row r="4" spans="1:12" x14ac:dyDescent="0.25">
      <c r="A4">
        <v>2012</v>
      </c>
      <c r="B4" s="66">
        <f>SUMIFS(Dane!$D$4:$D$2463,Dane!$A$4:$A$2463,'Trójkąty skumulowane'!$A$1,Dane!$H$4:$H$2463,'Trójkąty skumulowane'!$A4,Dane!$I$4:$I$2463,$A4+B$3)</f>
        <v>1088980.6210946122</v>
      </c>
      <c r="C4" s="66">
        <f>SUMIFS(Dane!$D$4:$D$2463,Dane!$A$4:$A$2463,'Trójkąty skumulowane'!$A$1,Dane!$H$4:$H$2463,'Trójkąty skumulowane'!$A4,Dane!$I$4:$I$2463,$A4+C$3)+B4</f>
        <v>2131667.1827891804</v>
      </c>
      <c r="D4" s="66">
        <f>SUMIFS(Dane!$D$4:$D$2463,Dane!$A$4:$A$2463,'Trójkąty skumulowane'!$A$1,Dane!$H$4:$H$2463,'Trójkąty skumulowane'!$A4,Dane!$I$4:$I$2463,$A4+D$3)+C4</f>
        <v>2574995.4197594547</v>
      </c>
      <c r="E4" s="66">
        <f>SUMIFS(Dane!$D$4:$D$2463,Dane!$A$4:$A$2463,'Trójkąty skumulowane'!$A$1,Dane!$H$4:$H$2463,'Trójkąty skumulowane'!$A4,Dane!$I$4:$I$2463,$A4+E$3)+D4</f>
        <v>2879586.2460659551</v>
      </c>
      <c r="F4" s="66">
        <f>SUMIFS(Dane!$D$4:$D$2463,Dane!$A$4:$A$2463,'Trójkąty skumulowane'!$A$1,Dane!$H$4:$H$2463,'Trójkąty skumulowane'!$A4,Dane!$I$4:$I$2463,$A4+F$3)+E4</f>
        <v>3145556.0155862393</v>
      </c>
      <c r="G4" s="66">
        <f>SUMIFS(Dane!$D$4:$D$2463,Dane!$A$4:$A$2463,'Trójkąty skumulowane'!$A$1,Dane!$H$4:$H$2463,'Trójkąty skumulowane'!$A4,Dane!$I$4:$I$2463,$A4+G$3)+F4</f>
        <v>3510642.3092168202</v>
      </c>
      <c r="H4" s="66">
        <f>SUMIFS(Dane!$D$4:$D$2463,Dane!$A$4:$A$2463,'Trójkąty skumulowane'!$A$1,Dane!$H$4:$H$2463,'Trójkąty skumulowane'!$A4,Dane!$I$4:$I$2463,$A4+H$3)+G4</f>
        <v>3735083.5657222392</v>
      </c>
      <c r="I4" s="66">
        <f>SUMIFS(Dane!$D$4:$D$2463,Dane!$A$4:$A$2463,'Trójkąty skumulowane'!$A$1,Dane!$H$4:$H$2463,'Trójkąty skumulowane'!$A4,Dane!$I$4:$I$2463,$A4+I$3)+H4</f>
        <v>3851623.8752911706</v>
      </c>
      <c r="J4" s="66">
        <f>SUMIFS(Dane!$D$4:$D$2463,Dane!$A$4:$A$2463,'Trójkąty skumulowane'!$A$1,Dane!$H$4:$H$2463,'Trójkąty skumulowane'!$A4,Dane!$I$4:$I$2463,$A4+J$3)+I4</f>
        <v>3919451.366290886</v>
      </c>
      <c r="K4" s="66">
        <f>SUMIFS(Dane!$D$4:$D$2463,Dane!$A$4:$A$2463,'Trójkąty skumulowane'!$A$1,Dane!$H$4:$H$2463,'Trójkąty skumulowane'!$A4,Dane!$I$4:$I$2463,$A4+K$3)+J4</f>
        <v>4047893.3726979974</v>
      </c>
      <c r="L4" s="14">
        <f>K4-K4</f>
        <v>0</v>
      </c>
    </row>
    <row r="5" spans="1:12" x14ac:dyDescent="0.25">
      <c r="A5">
        <v>2013</v>
      </c>
      <c r="B5" s="66">
        <f>SUMIFS(Dane!$D$4:$D$2463,Dane!$A$4:$A$2463,'Trójkąty skumulowane'!$A$1,Dane!$H$4:$H$2463,'Trójkąty skumulowane'!$A5,Dane!$I$4:$I$2463,$A5+B$3)</f>
        <v>1306152.7922672718</v>
      </c>
      <c r="C5" s="66">
        <f>SUMIFS(Dane!$D$4:$D$2463,Dane!$A$4:$A$2463,'Trójkąty skumulowane'!$A$1,Dane!$H$4:$H$2463,'Trójkąty skumulowane'!$A5,Dane!$I$4:$I$2463,$A5+C$3)+B5</f>
        <v>2423098.0772959162</v>
      </c>
      <c r="D5" s="66">
        <f>SUMIFS(Dane!$D$4:$D$2463,Dane!$A$4:$A$2463,'Trójkąty skumulowane'!$A$1,Dane!$H$4:$H$2463,'Trójkąty skumulowane'!$A5,Dane!$I$4:$I$2463,$A5+D$3)+C5</f>
        <v>3075018.113358567</v>
      </c>
      <c r="E5" s="66">
        <f>SUMIFS(Dane!$D$4:$D$2463,Dane!$A$4:$A$2463,'Trójkąty skumulowane'!$A$1,Dane!$H$4:$H$2463,'Trójkąty skumulowane'!$A5,Dane!$I$4:$I$2463,$A5+E$3)+D5</f>
        <v>3476624.6799267773</v>
      </c>
      <c r="F5" s="66">
        <f>SUMIFS(Dane!$D$4:$D$2463,Dane!$A$4:$A$2463,'Trójkąty skumulowane'!$A$1,Dane!$H$4:$H$2463,'Trójkąty skumulowane'!$A5,Dane!$I$4:$I$2463,$A5+F$3)+E5</f>
        <v>3794890.9619714259</v>
      </c>
      <c r="G5" s="66">
        <f>SUMIFS(Dane!$D$4:$D$2463,Dane!$A$4:$A$2463,'Trójkąty skumulowane'!$A$1,Dane!$H$4:$H$2463,'Trójkąty skumulowane'!$A5,Dane!$I$4:$I$2463,$A5+G$3)+F5</f>
        <v>4284126.0679999879</v>
      </c>
      <c r="H5" s="66">
        <f>SUMIFS(Dane!$D$4:$D$2463,Dane!$A$4:$A$2463,'Trójkąty skumulowane'!$A$1,Dane!$H$4:$H$2463,'Trójkąty skumulowane'!$A5,Dane!$I$4:$I$2463,$A5+H$3)+G5</f>
        <v>4512725.01252825</v>
      </c>
      <c r="I5" s="66">
        <f>SUMIFS(Dane!$D$4:$D$2463,Dane!$A$4:$A$2463,'Trójkąty skumulowane'!$A$1,Dane!$H$4:$H$2463,'Trójkąty skumulowane'!$A5,Dane!$I$4:$I$2463,$A5+I$3)+H5</f>
        <v>4876312.2751422348</v>
      </c>
      <c r="J5" s="66">
        <f>SUMIFS(Dane!$D$4:$D$2463,Dane!$A$4:$A$2463,'Trójkąty skumulowane'!$A$1,Dane!$H$4:$H$2463,'Trójkąty skumulowane'!$A5,Dane!$I$4:$I$2463,$A5+J$3)+I5</f>
        <v>5197779.4737660503</v>
      </c>
      <c r="K5" s="68">
        <f>J5*J17</f>
        <v>5368112.8092461117</v>
      </c>
      <c r="L5" s="14">
        <f>K5-J5</f>
        <v>170333.33548006136</v>
      </c>
    </row>
    <row r="6" spans="1:12" x14ac:dyDescent="0.25">
      <c r="A6">
        <v>2014</v>
      </c>
      <c r="B6" s="66">
        <f>SUMIFS(Dane!$D$4:$D$2463,Dane!$A$4:$A$2463,'Trójkąty skumulowane'!$A$1,Dane!$H$4:$H$2463,'Trójkąty skumulowane'!$A6,Dane!$I$4:$I$2463,$A6+B$3)</f>
        <v>1249812.5880425794</v>
      </c>
      <c r="C6" s="66">
        <f>SUMIFS(Dane!$D$4:$D$2463,Dane!$A$4:$A$2463,'Trójkąty skumulowane'!$A$1,Dane!$H$4:$H$2463,'Trójkąty skumulowane'!$A6,Dane!$I$4:$I$2463,$A6+C$3)+B6</f>
        <v>2496387.4909922341</v>
      </c>
      <c r="D6" s="66">
        <f>SUMIFS(Dane!$D$4:$D$2463,Dane!$A$4:$A$2463,'Trójkąty skumulowane'!$A$1,Dane!$H$4:$H$2463,'Trójkąty skumulowane'!$A6,Dane!$I$4:$I$2463,$A6+D$3)+C6</f>
        <v>3107175.4555642856</v>
      </c>
      <c r="E6" s="66">
        <f>SUMIFS(Dane!$D$4:$D$2463,Dane!$A$4:$A$2463,'Trójkąty skumulowane'!$A$1,Dane!$H$4:$H$2463,'Trójkąty skumulowane'!$A6,Dane!$I$4:$I$2463,$A6+E$3)+D6</f>
        <v>3687301.6275404561</v>
      </c>
      <c r="F6" s="66">
        <f>SUMIFS(Dane!$D$4:$D$2463,Dane!$A$4:$A$2463,'Trójkąty skumulowane'!$A$1,Dane!$H$4:$H$2463,'Trójkąty skumulowane'!$A6,Dane!$I$4:$I$2463,$A6+F$3)+E6</f>
        <v>4140844.1681218585</v>
      </c>
      <c r="G6" s="66">
        <f>SUMIFS(Dane!$D$4:$D$2463,Dane!$A$4:$A$2463,'Trójkąty skumulowane'!$A$1,Dane!$H$4:$H$2463,'Trójkąty skumulowane'!$A6,Dane!$I$4:$I$2463,$A6+G$3)+F6</f>
        <v>4360722.1576600038</v>
      </c>
      <c r="H6" s="66">
        <f>SUMIFS(Dane!$D$4:$D$2463,Dane!$A$4:$A$2463,'Trójkąty skumulowane'!$A$1,Dane!$H$4:$H$2463,'Trójkąty skumulowane'!$A6,Dane!$I$4:$I$2463,$A6+H$3)+G6</f>
        <v>4533709.2103520939</v>
      </c>
      <c r="I6" s="66">
        <f>SUMIFS(Dane!$D$4:$D$2463,Dane!$A$4:$A$2463,'Trójkąty skumulowane'!$A$1,Dane!$H$4:$H$2463,'Trójkąty skumulowane'!$A6,Dane!$I$4:$I$2463,$A6+I$3)+H6</f>
        <v>4808102.5173431104</v>
      </c>
      <c r="J6" s="67">
        <v>0</v>
      </c>
      <c r="K6" s="68">
        <f>I6*I17</f>
        <v>5187151.0339217614</v>
      </c>
      <c r="L6" s="14">
        <f>K6-I6</f>
        <v>379048.51657865103</v>
      </c>
    </row>
    <row r="7" spans="1:12" x14ac:dyDescent="0.25">
      <c r="A7">
        <v>2015</v>
      </c>
      <c r="B7" s="66">
        <f>SUMIFS(Dane!$D$4:$D$2463,Dane!$A$4:$A$2463,'Trójkąty skumulowane'!$A$1,Dane!$H$4:$H$2463,'Trójkąty skumulowane'!$A7,Dane!$I$4:$I$2463,$A7+B$3)</f>
        <v>1189810.0064459562</v>
      </c>
      <c r="C7" s="66">
        <f>SUMIFS(Dane!$D$4:$D$2463,Dane!$A$4:$A$2463,'Trójkąty skumulowane'!$A$1,Dane!$H$4:$H$2463,'Trójkąty skumulowane'!$A7,Dane!$I$4:$I$2463,$A7+C$3)+B7</f>
        <v>2530869.5952481655</v>
      </c>
      <c r="D7" s="66">
        <f>SUMIFS(Dane!$D$4:$D$2463,Dane!$A$4:$A$2463,'Trójkąty skumulowane'!$A$1,Dane!$H$4:$H$2463,'Trójkąty skumulowane'!$A7,Dane!$I$4:$I$2463,$A7+D$3)+C7</f>
        <v>3096984.4536133888</v>
      </c>
      <c r="E7" s="66">
        <f>SUMIFS(Dane!$D$4:$D$2463,Dane!$A$4:$A$2463,'Trójkąty skumulowane'!$A$1,Dane!$H$4:$H$2463,'Trójkąty skumulowane'!$A7,Dane!$I$4:$I$2463,$A7+E$3)+D7</f>
        <v>3877846.3341324432</v>
      </c>
      <c r="F7" s="66">
        <f>SUMIFS(Dane!$D$4:$D$2463,Dane!$A$4:$A$2463,'Trójkąty skumulowane'!$A$1,Dane!$H$4:$H$2463,'Trójkąty skumulowane'!$A7,Dane!$I$4:$I$2463,$A7+F$3)+E7</f>
        <v>4804008.5771144684</v>
      </c>
      <c r="G7" s="66">
        <f>SUMIFS(Dane!$D$4:$D$2463,Dane!$A$4:$A$2463,'Trójkąty skumulowane'!$A$1,Dane!$H$4:$H$2463,'Trójkąty skumulowane'!$A7,Dane!$I$4:$I$2463,$A7+G$3)+F7</f>
        <v>5254496.0051183002</v>
      </c>
      <c r="H7" s="66">
        <f>SUMIFS(Dane!$D$4:$D$2463,Dane!$A$4:$A$2463,'Trójkąty skumulowane'!$A$1,Dane!$H$4:$H$2463,'Trójkąty skumulowane'!$A7,Dane!$I$4:$I$2463,$A7+H$3)+G7</f>
        <v>5569311.1871171584</v>
      </c>
      <c r="I7" s="67">
        <v>0</v>
      </c>
      <c r="J7" s="67">
        <v>0</v>
      </c>
      <c r="K7" s="68">
        <f>H7*H17</f>
        <v>6363057.0480506532</v>
      </c>
      <c r="L7" s="14">
        <f>K7-H7</f>
        <v>793745.86093349475</v>
      </c>
    </row>
    <row r="8" spans="1:12" x14ac:dyDescent="0.25">
      <c r="A8">
        <v>2016</v>
      </c>
      <c r="B8" s="66">
        <f>SUMIFS(Dane!$D$4:$D$2463,Dane!$A$4:$A$2463,'Trójkąty skumulowane'!$A$1,Dane!$H$4:$H$2463,'Trójkąty skumulowane'!$A8,Dane!$I$4:$I$2463,$A8+B$3)</f>
        <v>1306513.6047854258</v>
      </c>
      <c r="C8" s="66">
        <f>SUMIFS(Dane!$D$4:$D$2463,Dane!$A$4:$A$2463,'Trójkąty skumulowane'!$A$1,Dane!$H$4:$H$2463,'Trójkąty skumulowane'!$A8,Dane!$I$4:$I$2463,$A8+C$3)+B8</f>
        <v>2773697.3594055078</v>
      </c>
      <c r="D8" s="66">
        <f>SUMIFS(Dane!$D$4:$D$2463,Dane!$A$4:$A$2463,'Trójkąty skumulowane'!$A$1,Dane!$H$4:$H$2463,'Trójkąty skumulowane'!$A8,Dane!$I$4:$I$2463,$A8+D$3)+C8</f>
        <v>3527548.34662739</v>
      </c>
      <c r="E8" s="66">
        <f>SUMIFS(Dane!$D$4:$D$2463,Dane!$A$4:$A$2463,'Trójkąty skumulowane'!$A$1,Dane!$H$4:$H$2463,'Trójkąty skumulowane'!$A8,Dane!$I$4:$I$2463,$A8+E$3)+D8</f>
        <v>4125343.1103807935</v>
      </c>
      <c r="F8" s="66">
        <f>SUMIFS(Dane!$D$4:$D$2463,Dane!$A$4:$A$2463,'Trójkąty skumulowane'!$A$1,Dane!$H$4:$H$2463,'Trójkąty skumulowane'!$A8,Dane!$I$4:$I$2463,$A8+F$3)+E8</f>
        <v>4521858.2407059222</v>
      </c>
      <c r="G8" s="66">
        <f>SUMIFS(Dane!$D$4:$D$2463,Dane!$A$4:$A$2463,'Trójkąty skumulowane'!$A$1,Dane!$H$4:$H$2463,'Trójkąty skumulowane'!$A8,Dane!$I$4:$I$2463,$A8+G$3)+F8</f>
        <v>4942201.9018943151</v>
      </c>
      <c r="H8" s="67">
        <v>0</v>
      </c>
      <c r="I8" s="67">
        <v>0</v>
      </c>
      <c r="J8" s="67">
        <v>0</v>
      </c>
      <c r="K8" s="68">
        <f>G8*G17</f>
        <v>5951714.1941846134</v>
      </c>
      <c r="L8" s="14">
        <f>K8-G8</f>
        <v>1009512.2922902983</v>
      </c>
    </row>
    <row r="9" spans="1:12" x14ac:dyDescent="0.25">
      <c r="A9">
        <v>2017</v>
      </c>
      <c r="B9" s="66">
        <f>SUMIFS(Dane!$D$4:$D$2463,Dane!$A$4:$A$2463,'Trójkąty skumulowane'!$A$1,Dane!$H$4:$H$2463,'Trójkąty skumulowane'!$A9,Dane!$I$4:$I$2463,$A9+B$3)</f>
        <v>1300441.1763369546</v>
      </c>
      <c r="C9" s="66">
        <f>SUMIFS(Dane!$D$4:$D$2463,Dane!$A$4:$A$2463,'Trójkąty skumulowane'!$A$1,Dane!$H$4:$H$2463,'Trójkąty skumulowane'!$A9,Dane!$I$4:$I$2463,$A9+C$3)+B9</f>
        <v>2920987.7803644901</v>
      </c>
      <c r="D9" s="66">
        <f>SUMIFS(Dane!$D$4:$D$2463,Dane!$A$4:$A$2463,'Trójkąty skumulowane'!$A$1,Dane!$H$4:$H$2463,'Trójkąty skumulowane'!$A9,Dane!$I$4:$I$2463,$A9+D$3)+C9</f>
        <v>3700349.6056891792</v>
      </c>
      <c r="E9" s="66">
        <f>SUMIFS(Dane!$D$4:$D$2463,Dane!$A$4:$A$2463,'Trójkąty skumulowane'!$A$1,Dane!$H$4:$H$2463,'Trójkąty skumulowane'!$A9,Dane!$I$4:$I$2463,$A9+E$3)+D9</f>
        <v>4442914.2707381379</v>
      </c>
      <c r="F9" s="66">
        <f>SUMIFS(Dane!$D$4:$D$2463,Dane!$A$4:$A$2463,'Trójkąty skumulowane'!$A$1,Dane!$H$4:$H$2463,'Trójkąty skumulowane'!$A9,Dane!$I$4:$I$2463,$A9+F$3)+E9</f>
        <v>4813322.7351754596</v>
      </c>
      <c r="G9" s="67">
        <v>0</v>
      </c>
      <c r="H9" s="67">
        <v>0</v>
      </c>
      <c r="I9" s="67">
        <v>0</v>
      </c>
      <c r="J9" s="67">
        <v>0</v>
      </c>
      <c r="K9" s="68">
        <f>F9*F17</f>
        <v>6348981.9240358295</v>
      </c>
      <c r="L9" s="14">
        <f>K9-F9</f>
        <v>1535659.1888603698</v>
      </c>
    </row>
    <row r="10" spans="1:12" x14ac:dyDescent="0.25">
      <c r="A10">
        <v>2018</v>
      </c>
      <c r="B10" s="66">
        <f>SUMIFS(Dane!$D$4:$D$2463,Dane!$A$4:$A$2463,'Trójkąty skumulowane'!$A$1,Dane!$H$4:$H$2463,'Trójkąty skumulowane'!$A10,Dane!$I$4:$I$2463,$A10+B$3)</f>
        <v>1397368.0926729222</v>
      </c>
      <c r="C10" s="66">
        <f>SUMIFS(Dane!$D$4:$D$2463,Dane!$A$4:$A$2463,'Trójkąty skumulowane'!$A$1,Dane!$H$4:$H$2463,'Trójkąty skumulowane'!$A10,Dane!$I$4:$I$2463,$A10+C$3)+B10</f>
        <v>3243490.0729121687</v>
      </c>
      <c r="D10" s="66">
        <f>SUMIFS(Dane!$D$4:$D$2463,Dane!$A$4:$A$2463,'Trójkąty skumulowane'!$A$1,Dane!$H$4:$H$2463,'Trójkąty skumulowane'!$A10,Dane!$I$4:$I$2463,$A10+D$3)+C10</f>
        <v>3964518.8150557899</v>
      </c>
      <c r="E10" s="66">
        <f>SUMIFS(Dane!$D$4:$D$2463,Dane!$A$4:$A$2463,'Trójkąty skumulowane'!$A$1,Dane!$H$4:$H$2463,'Trójkąty skumulowane'!$A10,Dane!$I$4:$I$2463,$A10+E$3)+D10</f>
        <v>4661705.3347352361</v>
      </c>
      <c r="F10" s="67">
        <v>0</v>
      </c>
      <c r="G10" s="67">
        <v>0</v>
      </c>
      <c r="H10" s="67">
        <v>0</v>
      </c>
      <c r="I10" s="67">
        <v>0</v>
      </c>
      <c r="J10" s="67">
        <v>0</v>
      </c>
      <c r="K10" s="68">
        <f>E10*E17</f>
        <v>6895650.4968836522</v>
      </c>
      <c r="L10" s="14">
        <f>K10-E10</f>
        <v>2233945.162148416</v>
      </c>
    </row>
    <row r="11" spans="1:12" x14ac:dyDescent="0.25">
      <c r="A11">
        <v>2019</v>
      </c>
      <c r="B11" s="66">
        <f>SUMIFS(Dane!$D$4:$D$2463,Dane!$A$4:$A$2463,'Trójkąty skumulowane'!$A$1,Dane!$H$4:$H$2463,'Trójkąty skumulowane'!$A11,Dane!$I$4:$I$2463,$A11+B$3)</f>
        <v>1570945.7683077177</v>
      </c>
      <c r="C11" s="66">
        <f>SUMIFS(Dane!$D$4:$D$2463,Dane!$A$4:$A$2463,'Trójkąty skumulowane'!$A$1,Dane!$H$4:$H$2463,'Trójkąty skumulowane'!$A11,Dane!$I$4:$I$2463,$A11+C$3)+B11</f>
        <v>3239675.6456166534</v>
      </c>
      <c r="D11" s="66">
        <f>SUMIFS(Dane!$D$4:$D$2463,Dane!$A$4:$A$2463,'Trójkąty skumulowane'!$A$1,Dane!$H$4:$H$2463,'Trójkąty skumulowane'!$A11,Dane!$I$4:$I$2463,$A11+D$3)+C11</f>
        <v>4285166.062277033</v>
      </c>
      <c r="E11" s="67">
        <v>0</v>
      </c>
      <c r="F11" s="67">
        <v>0</v>
      </c>
      <c r="G11" s="67">
        <v>0</v>
      </c>
      <c r="H11" s="67">
        <v>0</v>
      </c>
      <c r="I11" s="67">
        <v>0</v>
      </c>
      <c r="J11" s="67">
        <v>0</v>
      </c>
      <c r="K11" s="68">
        <f>D11*D17</f>
        <v>7467622.8147935318</v>
      </c>
      <c r="L11" s="14">
        <f>K11-D11</f>
        <v>3182456.7525164988</v>
      </c>
    </row>
    <row r="12" spans="1:12" x14ac:dyDescent="0.25">
      <c r="A12">
        <v>2020</v>
      </c>
      <c r="B12" s="66">
        <f>SUMIFS(Dane!$D$4:$D$2463,Dane!$A$4:$A$2463,'Trójkąty skumulowane'!$A$1,Dane!$H$4:$H$2463,'Trójkąty skumulowane'!$A12,Dane!$I$4:$I$2463,$A12+B$3)</f>
        <v>1381532.6675622216</v>
      </c>
      <c r="C12" s="66">
        <f>SUMIFS(Dane!$D$4:$D$2463,Dane!$A$4:$A$2463,'Trójkąty skumulowane'!$A$1,Dane!$H$4:$H$2463,'Trójkąty skumulowane'!$A12,Dane!$I$4:$I$2463,$A12+C$3)+B12</f>
        <v>3031367.3134870529</v>
      </c>
      <c r="D12" s="67">
        <v>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8">
        <f>C12*C17</f>
        <v>6635359.5274685817</v>
      </c>
      <c r="L12" s="14">
        <f>K12-C12</f>
        <v>3603992.2139815288</v>
      </c>
    </row>
    <row r="13" spans="1:12" x14ac:dyDescent="0.25">
      <c r="A13">
        <v>2021</v>
      </c>
      <c r="B13" s="66">
        <f>SUMIFS(Dane!$D$4:$D$2463,Dane!$A$4:$A$2463,'Trójkąty skumulowane'!$A$1,Dane!$H$4:$H$2463,'Trójkąty skumulowane'!$A13,Dane!$I$4:$I$2463,$A13+B$3)</f>
        <v>1346802.3542128429</v>
      </c>
      <c r="C13" s="67">
        <v>0</v>
      </c>
      <c r="D13" s="67">
        <v>0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8">
        <f>B13*B17</f>
        <v>6198075.4021777073</v>
      </c>
      <c r="L13" s="14">
        <f>K13-B13</f>
        <v>4851273.0479648644</v>
      </c>
    </row>
    <row r="14" spans="1:12" x14ac:dyDescent="0.25">
      <c r="L14" s="18">
        <f>SUM(L4:L13)</f>
        <v>17759966.370754182</v>
      </c>
    </row>
    <row r="16" spans="1:12" x14ac:dyDescent="0.25">
      <c r="A16" t="s">
        <v>25</v>
      </c>
      <c r="C16">
        <f>SUM(C4:C12)/SUM(B4:B12)</f>
        <v>2.1024568554049639</v>
      </c>
      <c r="D16">
        <f>SUM(D4:D11)/SUM(C4:C11)</f>
        <v>1.256062294799432</v>
      </c>
      <c r="E16">
        <f>SUM(E4:E10)/SUM(D4:D10)</f>
        <v>1.1781058003161704</v>
      </c>
      <c r="F16">
        <f>SUM(F4:F9)/SUM(E4:E9)</f>
        <v>1.1214277912638833</v>
      </c>
      <c r="G16">
        <f>SUM(G4:G8)/SUM(F4:F8)</f>
        <v>1.0953111884500715</v>
      </c>
      <c r="H16">
        <f>SUM(H4:H7)/SUM(G4:G7)</f>
        <v>1.0540403884611445</v>
      </c>
      <c r="I16">
        <f>SUM(I4:I6)/SUM(H4:H6)</f>
        <v>1.0590321815963633</v>
      </c>
      <c r="J16">
        <f>SUM(J4:J5)/SUM(I4:I5)</f>
        <v>1.0446032925669604</v>
      </c>
      <c r="K16">
        <f>SUM(K4)/SUM(J4)</f>
        <v>1.0327704044274595</v>
      </c>
    </row>
    <row r="17" spans="1:12" x14ac:dyDescent="0.25">
      <c r="A17" t="s">
        <v>26</v>
      </c>
      <c r="B17">
        <f>PRODUCT(C16:K16)</f>
        <v>4.602067543756454</v>
      </c>
      <c r="C17">
        <f>PRODUCT(D16:K16)</f>
        <v>2.1888998729869433</v>
      </c>
      <c r="D17">
        <f>PRODUCT(E16:K16)</f>
        <v>1.7426682434858589</v>
      </c>
      <c r="E17">
        <f>PRODUCT(F16:K16)</f>
        <v>1.4792120054227524</v>
      </c>
      <c r="F17">
        <f>PRODUCT(G16:K16)</f>
        <v>1.3190434702493288</v>
      </c>
      <c r="G17">
        <f>PRODUCT(H16:K16)</f>
        <v>1.2042636687714758</v>
      </c>
      <c r="H17">
        <f>PRODUCT(I16:K16)</f>
        <v>1.1425213701057997</v>
      </c>
      <c r="I17">
        <f>PRODUCT(J16:K16)</f>
        <v>1.0788353649306355</v>
      </c>
      <c r="J17">
        <f>PRODUCT(K16)</f>
        <v>1.0327704044274595</v>
      </c>
      <c r="K17">
        <v>1</v>
      </c>
    </row>
    <row r="20" spans="1:12" x14ac:dyDescent="0.25">
      <c r="A20" s="3" t="s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25">
      <c r="B21" t="s">
        <v>21</v>
      </c>
    </row>
    <row r="22" spans="1:12" x14ac:dyDescent="0.25">
      <c r="A22" t="s">
        <v>22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 t="s">
        <v>24</v>
      </c>
    </row>
    <row r="23" spans="1:12" x14ac:dyDescent="0.25">
      <c r="A23">
        <v>2012</v>
      </c>
      <c r="B23" s="66">
        <f>SUMIFS(Dane!$D$4:$D$2463,Dane!$A$4:$A$2463,'Trójkąty skumulowane'!$A$16,Dane!$H$4:$H$2463,'Trójkąty skumulowane'!$A19,Dane!$I$4:$I$2463,$A23+B$22)</f>
        <v>4262147.3800735464</v>
      </c>
      <c r="C23" s="66">
        <f>SUMIFS(Dane!$D$4:$D$2463,Dane!$A$4:$A$2463,'Trójkąty skumulowane'!$A$16,Dane!$H$4:$H$2463,'Trójkąty skumulowane'!$A19,Dane!$I$4:$I$2463,$A23+C$22)+B23</f>
        <v>5171040.557632775</v>
      </c>
      <c r="D23" s="66">
        <f>SUMIFS(Dane!$D$4:$D$2463,Dane!$A$4:$A$2463,'Trójkąty skumulowane'!$A$16,Dane!$H$4:$H$2463,'Trójkąty skumulowane'!$A19,Dane!$I$4:$I$2463,$A23+D$22)+C23</f>
        <v>5206528.1608655713</v>
      </c>
      <c r="E23" s="66">
        <f>SUMIFS(Dane!$D$4:$D$2463,Dane!$A$4:$A$2463,'Trójkąty skumulowane'!$A$16,Dane!$H$4:$H$2463,'Trójkąty skumulowane'!$A19,Dane!$I$4:$I$2463,$A23+E$22)+D23</f>
        <v>5217735.2787153367</v>
      </c>
      <c r="F23" s="66">
        <f>SUMIFS(Dane!$D$4:$D$2463,Dane!$A$4:$A$2463,'Trójkąty skumulowane'!$A$16,Dane!$H$4:$H$2463,'Trójkąty skumulowane'!$A19,Dane!$I$4:$I$2463,$A23+F$22)+E23</f>
        <v>5216421.5403902102</v>
      </c>
      <c r="G23" s="66">
        <f>SUMIFS(Dane!$D$4:$D$2463,Dane!$A$4:$A$2463,'Trójkąty skumulowane'!$A$16,Dane!$H$4:$H$2463,'Trójkąty skumulowane'!$A19,Dane!$I$4:$I$2463,$A23+G$22)+F23</f>
        <v>5213475.3922777912</v>
      </c>
      <c r="H23" s="66">
        <f>SUMIFS(Dane!$D$4:$D$2463,Dane!$A$4:$A$2463,'Trójkąty skumulowane'!$A$16,Dane!$H$4:$H$2463,'Trójkąty skumulowane'!$A19,Dane!$I$4:$I$2463,$A23+H$22)+G23</f>
        <v>5212026.8016393669</v>
      </c>
      <c r="I23" s="66">
        <f>SUMIFS(Dane!$D$4:$D$2463,Dane!$A$4:$A$2463,'Trójkąty skumulowane'!$A$16,Dane!$H$4:$H$2463,'Trójkąty skumulowane'!$A19,Dane!$I$4:$I$2463,$A23+I$22)+H23</f>
        <v>5211044.3549634609</v>
      </c>
      <c r="J23" s="66">
        <f>SUMIFS(Dane!$D$4:$D$2463,Dane!$A$4:$A$2463,'Trójkąty skumulowane'!$A$16,Dane!$H$4:$H$2463,'Trójkąty skumulowane'!$A19,Dane!$I$4:$I$2463,$A23+J$22)+I23</f>
        <v>5210425.7469317596</v>
      </c>
      <c r="K23" s="66">
        <f>SUMIFS(Dane!$D$4:$D$2463,Dane!$A$4:$A$2463,'Trójkąty skumulowane'!$A$16,Dane!$H$4:$H$2463,'Trójkąty skumulowane'!$A19,Dane!$I$4:$I$2463,$A23+K$22)+J23</f>
        <v>5209988.1650882559</v>
      </c>
      <c r="L23" s="14">
        <f>K23-K23</f>
        <v>0</v>
      </c>
    </row>
    <row r="24" spans="1:12" x14ac:dyDescent="0.25">
      <c r="A24">
        <v>2013</v>
      </c>
      <c r="B24" s="66">
        <f>SUMIFS(Dane!$D$4:$D$2463,Dane!$A$4:$A$2463,'Trójkąty skumulowane'!$A$16,Dane!$H$4:$H$2463,'Trójkąty skumulowane'!$A20,Dane!$I$4:$I$2463,$A24+B$22)</f>
        <v>4103976.8489649151</v>
      </c>
      <c r="C24" s="66">
        <f>SUMIFS(Dane!$D$4:$D$2463,Dane!$A$4:$A$2463,'Trójkąty skumulowane'!$A$16,Dane!$H$4:$H$2463,'Trójkąty skumulowane'!$A20,Dane!$I$4:$I$2463,$A24+C$22)+B24</f>
        <v>5000492.7767952532</v>
      </c>
      <c r="D24" s="66">
        <f>SUMIFS(Dane!$D$4:$D$2463,Dane!$A$4:$A$2463,'Trójkąty skumulowane'!$A$16,Dane!$H$4:$H$2463,'Trójkąty skumulowane'!$A20,Dane!$I$4:$I$2463,$A24+D$22)+C24</f>
        <v>5029836.3739904091</v>
      </c>
      <c r="E24" s="66">
        <f>SUMIFS(Dane!$D$4:$D$2463,Dane!$A$4:$A$2463,'Trójkąty skumulowane'!$A$16,Dane!$H$4:$H$2463,'Trójkąty skumulowane'!$A20,Dane!$I$4:$I$2463,$A24+E$22)+D24</f>
        <v>5040327.4160874067</v>
      </c>
      <c r="F24" s="66">
        <f>SUMIFS(Dane!$D$4:$D$2463,Dane!$A$4:$A$2463,'Trójkąty skumulowane'!$A$16,Dane!$H$4:$H$2463,'Trójkąty skumulowane'!$A20,Dane!$I$4:$I$2463,$A24+F$22)+E24</f>
        <v>5040098.8196115727</v>
      </c>
      <c r="G24" s="66">
        <f>SUMIFS(Dane!$D$4:$D$2463,Dane!$A$4:$A$2463,'Trójkąty skumulowane'!$A$16,Dane!$H$4:$H$2463,'Trójkąty skumulowane'!$A20,Dane!$I$4:$I$2463,$A24+G$22)+F24</f>
        <v>5038647.3542407844</v>
      </c>
      <c r="H24" s="66">
        <f>SUMIFS(Dane!$D$4:$D$2463,Dane!$A$4:$A$2463,'Trójkąty skumulowane'!$A$16,Dane!$H$4:$H$2463,'Trójkąty skumulowane'!$A20,Dane!$I$4:$I$2463,$A24+H$22)+G24</f>
        <v>5038526.2604642119</v>
      </c>
      <c r="I24" s="66">
        <f>SUMIFS(Dane!$D$4:$D$2463,Dane!$A$4:$A$2463,'Trójkąty skumulowane'!$A$16,Dane!$H$4:$H$2463,'Trójkąty skumulowane'!$A20,Dane!$I$4:$I$2463,$A24+I$22)+H24</f>
        <v>5038187.2178986128</v>
      </c>
      <c r="J24" s="66">
        <f>SUMIFS(Dane!$D$4:$D$2463,Dane!$A$4:$A$2463,'Trójkąty skumulowane'!$A$16,Dane!$H$4:$H$2463,'Trójkąty skumulowane'!$A20,Dane!$I$4:$I$2463,$A24+J$22)+I24</f>
        <v>5037517.9003733704</v>
      </c>
      <c r="K24" s="68">
        <f>J24*J36</f>
        <v>5037094.8396722702</v>
      </c>
      <c r="L24" s="14">
        <f>K24-J24</f>
        <v>-423.06070110015571</v>
      </c>
    </row>
    <row r="25" spans="1:12" x14ac:dyDescent="0.25">
      <c r="A25">
        <v>2014</v>
      </c>
      <c r="B25" s="66">
        <f>SUMIFS(Dane!$D$4:$D$2463,Dane!$A$4:$A$2463,'Trójkąty skumulowane'!$A$16,Dane!$H$4:$H$2463,'Trójkąty skumulowane'!$A21,Dane!$I$4:$I$2463,$A25+B$22)</f>
        <v>4144525.2888819813</v>
      </c>
      <c r="C25" s="66">
        <f>SUMIFS(Dane!$D$4:$D$2463,Dane!$A$4:$A$2463,'Trójkąty skumulowane'!$A$16,Dane!$H$4:$H$2463,'Trójkąty skumulowane'!$A21,Dane!$I$4:$I$2463,$A25+C$22)+B25</f>
        <v>5009318.3483073814</v>
      </c>
      <c r="D25" s="66">
        <f>SUMIFS(Dane!$D$4:$D$2463,Dane!$A$4:$A$2463,'Trójkąty skumulowane'!$A$16,Dane!$H$4:$H$2463,'Trójkąty skumulowane'!$A21,Dane!$I$4:$I$2463,$A25+D$22)+C25</f>
        <v>5047660.9800198637</v>
      </c>
      <c r="E25" s="66">
        <f>SUMIFS(Dane!$D$4:$D$2463,Dane!$A$4:$A$2463,'Trójkąty skumulowane'!$A$16,Dane!$H$4:$H$2463,'Trójkąty skumulowane'!$A21,Dane!$I$4:$I$2463,$A25+E$22)+D25</f>
        <v>5052630.6482328633</v>
      </c>
      <c r="F25" s="66">
        <f>SUMIFS(Dane!$D$4:$D$2463,Dane!$A$4:$A$2463,'Trójkąty skumulowane'!$A$16,Dane!$H$4:$H$2463,'Trójkąty skumulowane'!$A21,Dane!$I$4:$I$2463,$A25+F$22)+E25</f>
        <v>5050444.2348935511</v>
      </c>
      <c r="G25" s="66">
        <f>SUMIFS(Dane!$D$4:$D$2463,Dane!$A$4:$A$2463,'Trójkąty skumulowane'!$A$16,Dane!$H$4:$H$2463,'Trójkąty skumulowane'!$A21,Dane!$I$4:$I$2463,$A25+G$22)+F25</f>
        <v>5048337.6698905034</v>
      </c>
      <c r="H25" s="66">
        <f>SUMIFS(Dane!$D$4:$D$2463,Dane!$A$4:$A$2463,'Trójkąty skumulowane'!$A$16,Dane!$H$4:$H$2463,'Trójkąty skumulowane'!$A21,Dane!$I$4:$I$2463,$A25+H$22)+G25</f>
        <v>5048060.8737261798</v>
      </c>
      <c r="I25" s="66">
        <f>SUMIFS(Dane!$D$4:$D$2463,Dane!$A$4:$A$2463,'Trójkąty skumulowane'!$A$16,Dane!$H$4:$H$2463,'Trójkąty skumulowane'!$A21,Dane!$I$4:$I$2463,$A25+I$22)+H25</f>
        <v>5046848.0144023411</v>
      </c>
      <c r="J25" s="67">
        <f>SUMIFS(Dane!$D$4:$D$2463,Dane!$A$4:$A$2463,'Trójkąty skumulowane'!$A$1,Dane!$H$4:$H$2463,'Trójkąty skumulowane'!$A21,Dane!$I$4:$I$2463,$A25+J$3)</f>
        <v>0</v>
      </c>
      <c r="K25" s="68">
        <f>I25*I36</f>
        <v>5045790.0329741715</v>
      </c>
      <c r="L25" s="14">
        <f>K25-I25</f>
        <v>-1057.9814281696454</v>
      </c>
    </row>
    <row r="26" spans="1:12" x14ac:dyDescent="0.25">
      <c r="A26">
        <v>2015</v>
      </c>
      <c r="B26" s="66">
        <f>SUMIFS(Dane!$D$4:$D$2463,Dane!$A$4:$A$2463,'Trójkąty skumulowane'!$A$16,Dane!$H$4:$H$2463,'Trójkąty skumulowane'!$A22,Dane!$I$4:$I$2463,$A26+B$22)</f>
        <v>4297632.8479463691</v>
      </c>
      <c r="C26" s="66">
        <f>SUMIFS(Dane!$D$4:$D$2463,Dane!$A$4:$A$2463,'Trójkąty skumulowane'!$A$16,Dane!$H$4:$H$2463,'Trójkąty skumulowane'!$A22,Dane!$I$4:$I$2463,$A26+C$22)+B26</f>
        <v>5191642.9096287154</v>
      </c>
      <c r="D26" s="66">
        <f>SUMIFS(Dane!$D$4:$D$2463,Dane!$A$4:$A$2463,'Trójkąty skumulowane'!$A$16,Dane!$H$4:$H$2463,'Trójkąty skumulowane'!$A22,Dane!$I$4:$I$2463,$A26+D$22)+C26</f>
        <v>5228063.4834473031</v>
      </c>
      <c r="E26" s="66">
        <f>SUMIFS(Dane!$D$4:$D$2463,Dane!$A$4:$A$2463,'Trójkąty skumulowane'!$A$16,Dane!$H$4:$H$2463,'Trójkąty skumulowane'!$A22,Dane!$I$4:$I$2463,$A26+E$22)+D26</f>
        <v>5234464.7453851644</v>
      </c>
      <c r="F26" s="66">
        <f>SUMIFS(Dane!$D$4:$D$2463,Dane!$A$4:$A$2463,'Trójkąty skumulowane'!$A$16,Dane!$H$4:$H$2463,'Trójkąty skumulowane'!$A22,Dane!$I$4:$I$2463,$A26+F$22)+E26</f>
        <v>5234678.3120978428</v>
      </c>
      <c r="G26" s="66">
        <f>SUMIFS(Dane!$D$4:$D$2463,Dane!$A$4:$A$2463,'Trójkąty skumulowane'!$A$16,Dane!$H$4:$H$2463,'Trójkąty skumulowane'!$A22,Dane!$I$4:$I$2463,$A26+G$22)+F26</f>
        <v>5233855.6558879539</v>
      </c>
      <c r="H26" s="66">
        <f>SUMIFS(Dane!$D$4:$D$2463,Dane!$A$4:$A$2463,'Trójkąty skumulowane'!$A$16,Dane!$H$4:$H$2463,'Trójkąty skumulowane'!$A22,Dane!$I$4:$I$2463,$A26+H$22)+G26</f>
        <v>5233392.6840154994</v>
      </c>
      <c r="I26" s="67">
        <f>SUMIFS(Dane!$D$4:$D$2463,Dane!$A$4:$A$2463,'Trójkąty skumulowane'!$A$1,Dane!$H$4:$H$2463,'Trójkąty skumulowane'!$A22,Dane!$I$4:$I$2463,$A26+I$3)</f>
        <v>0</v>
      </c>
      <c r="J26" s="67">
        <f>SUMIFS(Dane!$D$4:$D$2463,Dane!$A$4:$A$2463,'Trójkąty skumulowane'!$A$1,Dane!$H$4:$H$2463,'Trójkąty skumulowane'!$A22,Dane!$I$4:$I$2463,$A26+J$3)</f>
        <v>0</v>
      </c>
      <c r="K26" s="68">
        <f>H26*H36</f>
        <v>5231428.8215233563</v>
      </c>
      <c r="L26" s="14">
        <f>K26-H26</f>
        <v>-1963.8624921431765</v>
      </c>
    </row>
    <row r="27" spans="1:12" x14ac:dyDescent="0.25">
      <c r="A27">
        <v>2016</v>
      </c>
      <c r="B27" s="66">
        <f>SUMIFS(Dane!$D$4:$D$2463,Dane!$A$4:$A$2463,'Trójkąty skumulowane'!$A$16,Dane!$H$4:$H$2463,'Trójkąty skumulowane'!$A23,Dane!$I$4:$I$2463,$A27+B$22)</f>
        <v>4725123.086187331</v>
      </c>
      <c r="C27" s="66">
        <f>SUMIFS(Dane!$D$4:$D$2463,Dane!$A$4:$A$2463,'Trójkąty skumulowane'!$A$16,Dane!$H$4:$H$2463,'Trójkąty skumulowane'!$A23,Dane!$I$4:$I$2463,$A27+C$22)+B27</f>
        <v>5836983.4985665362</v>
      </c>
      <c r="D27" s="66">
        <f>SUMIFS(Dane!$D$4:$D$2463,Dane!$A$4:$A$2463,'Trójkąty skumulowane'!$A$16,Dane!$H$4:$H$2463,'Trójkąty skumulowane'!$A23,Dane!$I$4:$I$2463,$A27+D$22)+C27</f>
        <v>5873044.3820574498</v>
      </c>
      <c r="E27" s="66">
        <f>SUMIFS(Dane!$D$4:$D$2463,Dane!$A$4:$A$2463,'Trójkąty skumulowane'!$A$16,Dane!$H$4:$H$2463,'Trójkąty skumulowane'!$A23,Dane!$I$4:$I$2463,$A27+E$22)+D27</f>
        <v>5883070.9820741508</v>
      </c>
      <c r="F27" s="66">
        <f>SUMIFS(Dane!$D$4:$D$2463,Dane!$A$4:$A$2463,'Trójkąty skumulowane'!$A$16,Dane!$H$4:$H$2463,'Trójkąty skumulowane'!$A23,Dane!$I$4:$I$2463,$A27+F$22)+E27</f>
        <v>5884627.4040972013</v>
      </c>
      <c r="G27" s="66">
        <f>SUMIFS(Dane!$D$4:$D$2463,Dane!$A$4:$A$2463,'Trójkąty skumulowane'!$A$16,Dane!$H$4:$H$2463,'Trójkąty skumulowane'!$A23,Dane!$I$4:$I$2463,$A27+G$22)+F27</f>
        <v>5886582.385205742</v>
      </c>
      <c r="H27" s="67">
        <f>SUMIFS(Dane!$D$4:$D$2463,Dane!$A$4:$A$2463,'Trójkąty skumulowane'!$A$1,Dane!$H$4:$H$2463,'Trójkąty skumulowane'!$A23,Dane!$I$4:$I$2463,$A27+H$3)</f>
        <v>0</v>
      </c>
      <c r="I27" s="67">
        <f>SUMIFS(Dane!$D$4:$D$2463,Dane!$A$4:$A$2463,'Trójkąty skumulowane'!$A$1,Dane!$H$4:$H$2463,'Trójkąty skumulowane'!$A23,Dane!$I$4:$I$2463,$A27+I$3)</f>
        <v>0</v>
      </c>
      <c r="J27" s="67">
        <f>SUMIFS(Dane!$D$4:$D$2463,Dane!$A$4:$A$2463,'Trójkąty skumulowane'!$A$1,Dane!$H$4:$H$2463,'Trójkąty skumulowane'!$A23,Dane!$I$4:$I$2463,$A27+J$3)</f>
        <v>0</v>
      </c>
      <c r="K27" s="68">
        <f>G27*G36</f>
        <v>5883711.6058786195</v>
      </c>
      <c r="L27" s="14">
        <f>K27-G27</f>
        <v>-2870.7793271224946</v>
      </c>
    </row>
    <row r="28" spans="1:12" x14ac:dyDescent="0.25">
      <c r="A28">
        <v>2017</v>
      </c>
      <c r="B28" s="66">
        <f>SUMIFS(Dane!$D$4:$D$2463,Dane!$A$4:$A$2463,'Trójkąty skumulowane'!$A$16,Dane!$H$4:$H$2463,'Trójkąty skumulowane'!$A24,Dane!$I$4:$I$2463,$A28+B$22)</f>
        <v>5597984.1078659333</v>
      </c>
      <c r="C28" s="66">
        <f>SUMIFS(Dane!$D$4:$D$2463,Dane!$A$4:$A$2463,'Trójkąty skumulowane'!$A$16,Dane!$H$4:$H$2463,'Trójkąty skumulowane'!$A24,Dane!$I$4:$I$2463,$A28+C$22)+B28</f>
        <v>6970614.1899836697</v>
      </c>
      <c r="D28" s="66">
        <f>SUMIFS(Dane!$D$4:$D$2463,Dane!$A$4:$A$2463,'Trójkąty skumulowane'!$A$16,Dane!$H$4:$H$2463,'Trójkąty skumulowane'!$A24,Dane!$I$4:$I$2463,$A28+D$22)+C28</f>
        <v>7066845.8532527769</v>
      </c>
      <c r="E28" s="66">
        <f>SUMIFS(Dane!$D$4:$D$2463,Dane!$A$4:$A$2463,'Trójkąty skumulowane'!$A$16,Dane!$H$4:$H$2463,'Trójkąty skumulowane'!$A24,Dane!$I$4:$I$2463,$A28+E$22)+D28</f>
        <v>7068831.0134302946</v>
      </c>
      <c r="F28" s="66">
        <f>SUMIFS(Dane!$D$4:$D$2463,Dane!$A$4:$A$2463,'Trójkąty skumulowane'!$A$16,Dane!$H$4:$H$2463,'Trójkąty skumulowane'!$A24,Dane!$I$4:$I$2463,$A28+F$22)+E28</f>
        <v>7067692.2693784814</v>
      </c>
      <c r="G28" s="67">
        <f>SUMIFS(Dane!$D$4:$D$2463,Dane!$A$4:$A$2463,'Trójkąty skumulowane'!$A$1,Dane!$H$4:$H$2463,'Trójkąty skumulowane'!$A24,Dane!$I$4:$I$2463,$A28+G$3)</f>
        <v>0</v>
      </c>
      <c r="H28" s="67">
        <f>SUMIFS(Dane!$D$4:$D$2463,Dane!$A$4:$A$2463,'Trójkąty skumulowane'!$A$1,Dane!$H$4:$H$2463,'Trójkąty skumulowane'!$A24,Dane!$I$4:$I$2463,$A28+H$3)</f>
        <v>0</v>
      </c>
      <c r="I28" s="67">
        <f>SUMIFS(Dane!$D$4:$D$2463,Dane!$A$4:$A$2463,'Trójkąty skumulowane'!$A$1,Dane!$H$4:$H$2463,'Trójkąty skumulowane'!$A24,Dane!$I$4:$I$2463,$A28+I$3)</f>
        <v>0</v>
      </c>
      <c r="J28" s="67">
        <f>SUMIFS(Dane!$D$4:$D$2463,Dane!$A$4:$A$2463,'Trójkąty skumulowane'!$A$1,Dane!$H$4:$H$2463,'Trójkąty skumulowane'!$A24,Dane!$I$4:$I$2463,$A28+J$3)</f>
        <v>0</v>
      </c>
      <c r="K28" s="68">
        <f>F28*F36</f>
        <v>7062809.4854104351</v>
      </c>
      <c r="L28" s="14">
        <f>K28-F28</f>
        <v>-4882.7839680463076</v>
      </c>
    </row>
    <row r="29" spans="1:12" x14ac:dyDescent="0.25">
      <c r="A29">
        <v>2018</v>
      </c>
      <c r="B29" s="66">
        <f>SUMIFS(Dane!$D$4:$D$2463,Dane!$A$4:$A$2463,'Trójkąty skumulowane'!$A$16,Dane!$H$4:$H$2463,'Trójkąty skumulowane'!$A25,Dane!$I$4:$I$2463,$A29+B$22)</f>
        <v>5550939.8858195748</v>
      </c>
      <c r="C29" s="66">
        <f>SUMIFS(Dane!$D$4:$D$2463,Dane!$A$4:$A$2463,'Trójkąty skumulowane'!$A$16,Dane!$H$4:$H$2463,'Trójkąty skumulowane'!$A25,Dane!$I$4:$I$2463,$A29+C$22)+B29</f>
        <v>6821264.010295298</v>
      </c>
      <c r="D29" s="66">
        <f>SUMIFS(Dane!$D$4:$D$2463,Dane!$A$4:$A$2463,'Trójkąty skumulowane'!$A$16,Dane!$H$4:$H$2463,'Trójkąty skumulowane'!$A25,Dane!$I$4:$I$2463,$A29+D$22)+C29</f>
        <v>6865981.0625902554</v>
      </c>
      <c r="E29" s="66">
        <f>SUMIFS(Dane!$D$4:$D$2463,Dane!$A$4:$A$2463,'Trójkąty skumulowane'!$A$16,Dane!$H$4:$H$2463,'Trójkąty skumulowane'!$A25,Dane!$I$4:$I$2463,$A29+E$22)+D29</f>
        <v>6881034.2560672257</v>
      </c>
      <c r="F29" s="67">
        <f>SUMIFS(Dane!$D$4:$D$2463,Dane!$A$4:$A$2463,'Trójkąty skumulowane'!$A$1,Dane!$H$4:$H$2463,'Trójkąty skumulowane'!$A25,Dane!$I$4:$I$2463,$A29+F$3)</f>
        <v>0</v>
      </c>
      <c r="G29" s="67">
        <f>SUMIFS(Dane!$D$4:$D$2463,Dane!$A$4:$A$2463,'Trójkąty skumulowane'!$A$1,Dane!$H$4:$H$2463,'Trójkąty skumulowane'!$A25,Dane!$I$4:$I$2463,$A29+G$3)</f>
        <v>0</v>
      </c>
      <c r="H29" s="67">
        <f>SUMIFS(Dane!$D$4:$D$2463,Dane!$A$4:$A$2463,'Trójkąty skumulowane'!$A$1,Dane!$H$4:$H$2463,'Trójkąty skumulowane'!$A25,Dane!$I$4:$I$2463,$A29+H$3)</f>
        <v>0</v>
      </c>
      <c r="I29" s="67">
        <f>SUMIFS(Dane!$D$4:$D$2463,Dane!$A$4:$A$2463,'Trójkąty skumulowane'!$A$1,Dane!$H$4:$H$2463,'Trójkąty skumulowane'!$A25,Dane!$I$4:$I$2463,$A29+I$3)</f>
        <v>0</v>
      </c>
      <c r="J29" s="67">
        <f>SUMIFS(Dane!$D$4:$D$2463,Dane!$A$4:$A$2463,'Trójkąty skumulowane'!$A$1,Dane!$H$4:$H$2463,'Trójkąty skumulowane'!$A25,Dane!$I$4:$I$2463,$A29+J$3)</f>
        <v>0</v>
      </c>
      <c r="K29" s="68">
        <f>E29*E36</f>
        <v>6875644.5707305595</v>
      </c>
      <c r="L29" s="14">
        <f>K29-E29</f>
        <v>-5389.6853366661817</v>
      </c>
    </row>
    <row r="30" spans="1:12" x14ac:dyDescent="0.25">
      <c r="A30">
        <v>2019</v>
      </c>
      <c r="B30" s="66">
        <f>SUMIFS(Dane!$D$4:$D$2463,Dane!$A$4:$A$2463,'Trójkąty skumulowane'!$A$16,Dane!$H$4:$H$2463,'Trójkąty skumulowane'!$A26,Dane!$I$4:$I$2463,$A30+B$22)</f>
        <v>5825184.4614891456</v>
      </c>
      <c r="C30" s="66">
        <f>SUMIFS(Dane!$D$4:$D$2463,Dane!$A$4:$A$2463,'Trójkąty skumulowane'!$A$16,Dane!$H$4:$H$2463,'Trójkąty skumulowane'!$A26,Dane!$I$4:$I$2463,$A30+C$22)+B30</f>
        <v>7002247.597021183</v>
      </c>
      <c r="D30" s="66">
        <f>SUMIFS(Dane!$D$4:$D$2463,Dane!$A$4:$A$2463,'Trójkąty skumulowane'!$A$16,Dane!$H$4:$H$2463,'Trójkąty skumulowane'!$A26,Dane!$I$4:$I$2463,$A30+D$22)+C30</f>
        <v>7032173.1109102778</v>
      </c>
      <c r="E30" s="67">
        <f>SUMIFS(Dane!$D$4:$D$2463,Dane!$A$4:$A$2463,'Trójkąty skumulowane'!$A$1,Dane!$H$4:$H$2463,'Trójkąty skumulowane'!$A26,Dane!$I$4:$I$2463,$A30+E$3)</f>
        <v>0</v>
      </c>
      <c r="F30" s="67">
        <f>SUMIFS(Dane!$D$4:$D$2463,Dane!$A$4:$A$2463,'Trójkąty skumulowane'!$A$1,Dane!$H$4:$H$2463,'Trójkąty skumulowane'!$A26,Dane!$I$4:$I$2463,$A30+F$3)</f>
        <v>0</v>
      </c>
      <c r="G30" s="67">
        <f>SUMIFS(Dane!$D$4:$D$2463,Dane!$A$4:$A$2463,'Trójkąty skumulowane'!$A$1,Dane!$H$4:$H$2463,'Trójkąty skumulowane'!$A26,Dane!$I$4:$I$2463,$A30+G$3)</f>
        <v>0</v>
      </c>
      <c r="H30" s="67">
        <f>SUMIFS(Dane!$D$4:$D$2463,Dane!$A$4:$A$2463,'Trójkąty skumulowane'!$A$1,Dane!$H$4:$H$2463,'Trójkąty skumulowane'!$A26,Dane!$I$4:$I$2463,$A30+H$3)</f>
        <v>0</v>
      </c>
      <c r="I30" s="67">
        <f>SUMIFS(Dane!$D$4:$D$2463,Dane!$A$4:$A$2463,'Trójkąty skumulowane'!$A$1,Dane!$H$4:$H$2463,'Trójkąty skumulowane'!$A26,Dane!$I$4:$I$2463,$A30+I$3)</f>
        <v>0</v>
      </c>
      <c r="J30" s="67">
        <f>SUMIFS(Dane!$D$4:$D$2463,Dane!$A$4:$A$2463,'Trójkąty skumulowane'!$A$1,Dane!$H$4:$H$2463,'Trójkąty skumulowane'!$A26,Dane!$I$4:$I$2463,$A30+J$3)</f>
        <v>0</v>
      </c>
      <c r="K30" s="68">
        <f>D30*D36</f>
        <v>7037145.2806336172</v>
      </c>
      <c r="L30" s="14">
        <f>K30-D30</f>
        <v>4972.1697233393788</v>
      </c>
    </row>
    <row r="31" spans="1:12" x14ac:dyDescent="0.25">
      <c r="A31">
        <v>2020</v>
      </c>
      <c r="B31" s="66">
        <f>SUMIFS(Dane!$D$4:$D$2463,Dane!$A$4:$A$2463,'Trójkąty skumulowane'!$A$16,Dane!$H$4:$H$2463,'Trójkąty skumulowane'!$A27,Dane!$I$4:$I$2463,$A31+B$22)</f>
        <v>6735078.0685242079</v>
      </c>
      <c r="C31" s="66">
        <f>SUMIFS(Dane!$D$4:$D$2463,Dane!$A$4:$A$2463,'Trójkąty skumulowane'!$A$16,Dane!$H$4:$H$2463,'Trójkąty skumulowane'!$A27,Dane!$I$4:$I$2463,$A31+C$22)+B31</f>
        <v>7976472.9698659219</v>
      </c>
      <c r="D31" s="67">
        <f>SUMIFS(Dane!$D$4:$D$2463,Dane!$A$4:$A$2463,'Trójkąty skumulowane'!$A$1,Dane!$H$4:$H$2463,'Trójkąty skumulowane'!$A27,Dane!$I$4:$I$2463,$A31+D$3)</f>
        <v>0</v>
      </c>
      <c r="E31" s="67">
        <f>SUMIFS(Dane!$D$4:$D$2463,Dane!$A$4:$A$2463,'Trójkąty skumulowane'!$A$1,Dane!$H$4:$H$2463,'Trójkąty skumulowane'!$A27,Dane!$I$4:$I$2463,$A31+E$3)</f>
        <v>0</v>
      </c>
      <c r="F31" s="67">
        <f>SUMIFS(Dane!$D$4:$D$2463,Dane!$A$4:$A$2463,'Trójkąty skumulowane'!$A$1,Dane!$H$4:$H$2463,'Trójkąty skumulowane'!$A27,Dane!$I$4:$I$2463,$A31+F$3)</f>
        <v>0</v>
      </c>
      <c r="G31" s="67">
        <f>SUMIFS(Dane!$D$4:$D$2463,Dane!$A$4:$A$2463,'Trójkąty skumulowane'!$A$1,Dane!$H$4:$H$2463,'Trójkąty skumulowane'!$A27,Dane!$I$4:$I$2463,$A31+G$3)</f>
        <v>0</v>
      </c>
      <c r="H31" s="67">
        <f>SUMIFS(Dane!$D$4:$D$2463,Dane!$A$4:$A$2463,'Trójkąty skumulowane'!$A$1,Dane!$H$4:$H$2463,'Trójkąty skumulowane'!$A27,Dane!$I$4:$I$2463,$A31+H$3)</f>
        <v>0</v>
      </c>
      <c r="I31" s="67">
        <f>SUMIFS(Dane!$D$4:$D$2463,Dane!$A$4:$A$2463,'Trójkąty skumulowane'!$A$1,Dane!$H$4:$H$2463,'Trójkąty skumulowane'!$A27,Dane!$I$4:$I$2463,$A31+I$3)</f>
        <v>0</v>
      </c>
      <c r="J31" s="67">
        <f>SUMIFS(Dane!$D$4:$D$2463,Dane!$A$4:$A$2463,'Trójkąty skumulowane'!$A$1,Dane!$H$4:$H$2463,'Trójkąty skumulowane'!$A27,Dane!$I$4:$I$2463,$A31+J$3)</f>
        <v>0</v>
      </c>
      <c r="K31" s="68">
        <f>C31*C36</f>
        <v>8040960.1703684181</v>
      </c>
      <c r="L31" s="14">
        <f>K31-C31</f>
        <v>64487.200502496213</v>
      </c>
    </row>
    <row r="32" spans="1:12" x14ac:dyDescent="0.25">
      <c r="A32">
        <v>2021</v>
      </c>
      <c r="B32" s="66">
        <f>SUMIFS(Dane!$D$4:$D$2463,Dane!$A$4:$A$2463,'Trójkąty skumulowane'!$A$16,Dane!$H$4:$H$2463,'Trójkąty skumulowane'!$A28,Dane!$I$4:$I$2463,$A32+B$22)</f>
        <v>6428313.2761970535</v>
      </c>
      <c r="C32" s="67">
        <f>SUMIFS(Dane!$D$4:$D$2463,Dane!$A$4:$A$2463,'Trójkąty skumulowane'!$A$1,Dane!$H$4:$H$2463,'Trójkąty skumulowane'!$A28,Dane!$I$4:$I$2463,$A32+C$3)</f>
        <v>0</v>
      </c>
      <c r="D32" s="67">
        <f>SUMIFS(Dane!$D$4:$D$2463,Dane!$A$4:$A$2463,'Trójkąty skumulowane'!$A$1,Dane!$H$4:$H$2463,'Trójkąty skumulowane'!$A28,Dane!$I$4:$I$2463,$A32+D$3)</f>
        <v>0</v>
      </c>
      <c r="E32" s="67">
        <f>SUMIFS(Dane!$D$4:$D$2463,Dane!$A$4:$A$2463,'Trójkąty skumulowane'!$A$1,Dane!$H$4:$H$2463,'Trójkąty skumulowane'!$A28,Dane!$I$4:$I$2463,$A32+E$3)</f>
        <v>0</v>
      </c>
      <c r="F32" s="67">
        <f>SUMIFS(Dane!$D$4:$D$2463,Dane!$A$4:$A$2463,'Trójkąty skumulowane'!$A$1,Dane!$H$4:$H$2463,'Trójkąty skumulowane'!$A28,Dane!$I$4:$I$2463,$A32+F$3)</f>
        <v>0</v>
      </c>
      <c r="G32" s="67">
        <f>SUMIFS(Dane!$D$4:$D$2463,Dane!$A$4:$A$2463,'Trójkąty skumulowane'!$A$1,Dane!$H$4:$H$2463,'Trójkąty skumulowane'!$A28,Dane!$I$4:$I$2463,$A32+G$3)</f>
        <v>0</v>
      </c>
      <c r="H32" s="67">
        <f>SUMIFS(Dane!$D$4:$D$2463,Dane!$A$4:$A$2463,'Trójkąty skumulowane'!$A$1,Dane!$H$4:$H$2463,'Trójkąty skumulowane'!$A28,Dane!$I$4:$I$2463,$A32+H$3)</f>
        <v>0</v>
      </c>
      <c r="I32" s="67">
        <f>SUMIFS(Dane!$D$4:$D$2463,Dane!$A$4:$A$2463,'Trójkąty skumulowane'!$A$1,Dane!$H$4:$H$2463,'Trójkąty skumulowane'!$A28,Dane!$I$4:$I$2463,$A32+I$3)</f>
        <v>0</v>
      </c>
      <c r="J32" s="67">
        <f>SUMIFS(Dane!$D$4:$D$2463,Dane!$A$4:$A$2463,'Trójkąty skumulowane'!$A$1,Dane!$H$4:$H$2463,'Trójkąty skumulowane'!$A28,Dane!$I$4:$I$2463,$A32+J$3)</f>
        <v>0</v>
      </c>
      <c r="K32" s="68">
        <f>B32*B36</f>
        <v>7875024.4560745675</v>
      </c>
      <c r="L32" s="14">
        <f>K32-B32</f>
        <v>1446711.179877514</v>
      </c>
    </row>
    <row r="33" spans="1:12" x14ac:dyDescent="0.25">
      <c r="L33" s="18">
        <f>SUM(L23:L32)</f>
        <v>1499582.3968501016</v>
      </c>
    </row>
    <row r="35" spans="1:12" x14ac:dyDescent="0.25">
      <c r="A35" t="s">
        <v>25</v>
      </c>
      <c r="C35">
        <f>SUM(C23:C31)/SUM(B23:B31)</f>
        <v>1.2152282717922607</v>
      </c>
      <c r="D35">
        <f>SUM(D23:D30)/SUM(C23:C30)</f>
        <v>1.0073724031826814</v>
      </c>
      <c r="E35">
        <f>SUM(E23:E29)/SUM(D23:D29)</f>
        <v>1.0014914951879261</v>
      </c>
      <c r="F35">
        <f>SUM(F23:F28)/SUM(E23:E28)</f>
        <v>0.99990752909513281</v>
      </c>
      <c r="G35">
        <f>SUM(G23:G27)/SUM(F23:F27)</f>
        <v>0.9997967229758733</v>
      </c>
      <c r="H35">
        <f>SUM(H23:H26)/SUM(G23:G26)</f>
        <v>0.99988753204910041</v>
      </c>
      <c r="I35">
        <f>SUM(I23:I25)/SUM(H23:H25)</f>
        <v>0.9998343412954942</v>
      </c>
      <c r="J35">
        <f>SUM(J23:J24)/SUM(I23:I24)</f>
        <v>0.99987433930555802</v>
      </c>
      <c r="K35">
        <f>SUM(K23)/SUM(J23)</f>
        <v>0.99991601802525232</v>
      </c>
    </row>
    <row r="36" spans="1:12" x14ac:dyDescent="0.25">
      <c r="A36" t="s">
        <v>26</v>
      </c>
      <c r="B36">
        <f>PRODUCT(C35:K35)</f>
        <v>1.2250529987756569</v>
      </c>
      <c r="C36">
        <f>PRODUCT(D35:K35)</f>
        <v>1.0080846761151352</v>
      </c>
      <c r="D36">
        <f>PRODUCT(E35:K35)</f>
        <v>1.0007070601995882</v>
      </c>
      <c r="E36">
        <f>PRODUCT(F35:K35)</f>
        <v>0.99921673325025029</v>
      </c>
      <c r="F36">
        <f>PRODUCT(G35:K35)</f>
        <v>0.99930914027069329</v>
      </c>
      <c r="G36">
        <f>PRODUCT(H35:K35)</f>
        <v>0.99951231816030683</v>
      </c>
      <c r="H36">
        <f>PRODUCT(I35:K35)</f>
        <v>0.99962474390692257</v>
      </c>
      <c r="I36">
        <f>PRODUCT(J35:K35)</f>
        <v>0.99979036788404363</v>
      </c>
      <c r="J36">
        <f>PRODUCT(K35)</f>
        <v>0.99991601802525232</v>
      </c>
      <c r="K36">
        <v>1</v>
      </c>
    </row>
    <row r="39" spans="1:12" x14ac:dyDescent="0.25">
      <c r="A39" s="3" t="s">
        <v>18</v>
      </c>
    </row>
    <row r="40" spans="1:12" x14ac:dyDescent="0.25">
      <c r="B40" t="s">
        <v>21</v>
      </c>
    </row>
    <row r="41" spans="1:12" x14ac:dyDescent="0.25">
      <c r="A41" t="s">
        <v>22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 t="s">
        <v>24</v>
      </c>
    </row>
    <row r="42" spans="1:12" x14ac:dyDescent="0.25">
      <c r="A42">
        <v>2012</v>
      </c>
      <c r="B42" s="66">
        <f>SUMIFS(Dane!$D$4:$D$2463,Dane!$A$4:$A$2463,'Trójkąty skumulowane'!$A$31,Dane!$H$4:$H$2463,'Trójkąty skumulowane'!$A34,Dane!$I$4:$I$2463,$A42+B$41)</f>
        <v>5581442.6576523483</v>
      </c>
      <c r="C42" s="66">
        <f>SUMIFS(Dane!$D$4:$D$2463,Dane!$A$4:$A$2463,'Trójkąty skumulowane'!$A$31,Dane!$H$4:$H$2463,'Trójkąty skumulowane'!$A34,Dane!$I$4:$I$2463,$A42+C$41)+B42</f>
        <v>8206652.7707877923</v>
      </c>
      <c r="D42" s="66">
        <f>SUMIFS(Dane!$D$4:$D$2463,Dane!$A$4:$A$2463,'Trójkąty skumulowane'!$A$31,Dane!$H$4:$H$2463,'Trójkąty skumulowane'!$A34,Dane!$I$4:$I$2463,$A42+D$41)+C42</f>
        <v>8898201.9290283415</v>
      </c>
      <c r="E42" s="66">
        <f>SUMIFS(Dane!$D$4:$D$2463,Dane!$A$4:$A$2463,'Trójkąty skumulowane'!$A$31,Dane!$H$4:$H$2463,'Trójkąty skumulowane'!$A34,Dane!$I$4:$I$2463,$A42+E$41)+D42</f>
        <v>9220574.6486107409</v>
      </c>
      <c r="F42" s="66">
        <f>SUMIFS(Dane!$D$4:$D$2463,Dane!$A$4:$A$2463,'Trójkąty skumulowane'!$A$31,Dane!$H$4:$H$2463,'Trójkąty skumulowane'!$A34,Dane!$I$4:$I$2463,$A42+F$41)+E42</f>
        <v>9425853.7168494407</v>
      </c>
      <c r="G42" s="66">
        <f>SUMIFS(Dane!$D$4:$D$2463,Dane!$A$4:$A$2463,'Trójkąty skumulowane'!$A$31,Dane!$H$4:$H$2463,'Trójkąty skumulowane'!$A34,Dane!$I$4:$I$2463,$A42+G$41)+F42</f>
        <v>9531753.1374178734</v>
      </c>
      <c r="H42" s="66">
        <f>SUMIFS(Dane!$D$4:$D$2463,Dane!$A$4:$A$2463,'Trójkąty skumulowane'!$A$31,Dane!$H$4:$H$2463,'Trójkąty skumulowane'!$A34,Dane!$I$4:$I$2463,$A42+H$41)+G42</f>
        <v>9602550.5024997108</v>
      </c>
      <c r="I42" s="66">
        <f>SUMIFS(Dane!$D$4:$D$2463,Dane!$A$4:$A$2463,'Trójkąty skumulowane'!$A$31,Dane!$H$4:$H$2463,'Trójkąty skumulowane'!$A34,Dane!$I$4:$I$2463,$A42+I$41)+H42</f>
        <v>9664785.1807720531</v>
      </c>
      <c r="J42" s="66">
        <f>SUMIFS(Dane!$D$4:$D$2463,Dane!$A$4:$A$2463,'Trójkąty skumulowane'!$A$31,Dane!$H$4:$H$2463,'Trójkąty skumulowane'!$A34,Dane!$I$4:$I$2463,$A42+J$41)+I42</f>
        <v>9744191.1671111416</v>
      </c>
      <c r="K42" s="66">
        <f>SUMIFS(Dane!$D$4:$D$2463,Dane!$A$4:$A$2463,'Trójkąty skumulowane'!$A$31,Dane!$H$4:$H$2463,'Trójkąty skumulowane'!$A34,Dane!$I$4:$I$2463,$A42+K$41)+J42</f>
        <v>9836885.1721109133</v>
      </c>
      <c r="L42" s="14">
        <f>K42-K42</f>
        <v>0</v>
      </c>
    </row>
    <row r="43" spans="1:12" x14ac:dyDescent="0.25">
      <c r="A43">
        <v>2013</v>
      </c>
      <c r="B43" s="66">
        <f>SUMIFS(Dane!$D$4:$D$2463,Dane!$A$4:$A$2463,'Trójkąty skumulowane'!$A$31,Dane!$H$4:$H$2463,'Trójkąty skumulowane'!$A35,Dane!$I$4:$I$2463,$A43+B$41)</f>
        <v>5411379.5550185256</v>
      </c>
      <c r="C43" s="66">
        <f>SUMIFS(Dane!$D$4:$D$2463,Dane!$A$4:$A$2463,'Trójkąty skumulowane'!$A$31,Dane!$H$4:$H$2463,'Trójkąty skumulowane'!$A35,Dane!$I$4:$I$2463,$A43+C$41)+B43</f>
        <v>7900593.8976593902</v>
      </c>
      <c r="D43" s="66">
        <f>SUMIFS(Dane!$D$4:$D$2463,Dane!$A$4:$A$2463,'Trójkąty skumulowane'!$A$31,Dane!$H$4:$H$2463,'Trójkąty skumulowane'!$A35,Dane!$I$4:$I$2463,$A43+D$41)+C43</f>
        <v>8452809.5298921596</v>
      </c>
      <c r="E43" s="66">
        <f>SUMIFS(Dane!$D$4:$D$2463,Dane!$A$4:$A$2463,'Trójkąty skumulowane'!$A$31,Dane!$H$4:$H$2463,'Trójkąty skumulowane'!$A35,Dane!$I$4:$I$2463,$A43+E$41)+D43</f>
        <v>8739590.737854803</v>
      </c>
      <c r="F43" s="66">
        <f>SUMIFS(Dane!$D$4:$D$2463,Dane!$A$4:$A$2463,'Trójkąty skumulowane'!$A$31,Dane!$H$4:$H$2463,'Trójkąty skumulowane'!$A35,Dane!$I$4:$I$2463,$A43+F$41)+E43</f>
        <v>8882281.6902518589</v>
      </c>
      <c r="G43" s="66">
        <f>SUMIFS(Dane!$D$4:$D$2463,Dane!$A$4:$A$2463,'Trójkąty skumulowane'!$A$31,Dane!$H$4:$H$2463,'Trójkąty skumulowane'!$A35,Dane!$I$4:$I$2463,$A43+G$41)+F43</f>
        <v>9021858.8460047543</v>
      </c>
      <c r="H43" s="66">
        <f>SUMIFS(Dane!$D$4:$D$2463,Dane!$A$4:$A$2463,'Trójkąty skumulowane'!$A$31,Dane!$H$4:$H$2463,'Trójkąty skumulowane'!$A35,Dane!$I$4:$I$2463,$A43+H$41)+G43</f>
        <v>9101997.1280943397</v>
      </c>
      <c r="I43" s="66">
        <f>SUMIFS(Dane!$D$4:$D$2463,Dane!$A$4:$A$2463,'Trójkąty skumulowane'!$A$31,Dane!$H$4:$H$2463,'Trójkąty skumulowane'!$A35,Dane!$I$4:$I$2463,$A43+I$41)+H43</f>
        <v>9177705.103366673</v>
      </c>
      <c r="J43" s="66">
        <f>SUMIFS(Dane!$D$4:$D$2463,Dane!$A$4:$A$2463,'Trójkąty skumulowane'!$A$31,Dane!$H$4:$H$2463,'Trójkąty skumulowane'!$A35,Dane!$I$4:$I$2463,$A43+J$41)+I43</f>
        <v>9232133.1671188306</v>
      </c>
      <c r="K43" s="68">
        <f>J43*J55</f>
        <v>9319956.0949817263</v>
      </c>
      <c r="L43" s="14">
        <f>K43-J43</f>
        <v>87822.927862895653</v>
      </c>
    </row>
    <row r="44" spans="1:12" x14ac:dyDescent="0.25">
      <c r="A44">
        <v>2014</v>
      </c>
      <c r="B44" s="66">
        <f>SUMIFS(Dane!$D$4:$D$2463,Dane!$A$4:$A$2463,'Trójkąty skumulowane'!$A$31,Dane!$H$4:$H$2463,'Trójkąty skumulowane'!$A36,Dane!$I$4:$I$2463,$A44+B$41)</f>
        <v>5125655.4854002073</v>
      </c>
      <c r="C44" s="66">
        <f>SUMIFS(Dane!$D$4:$D$2463,Dane!$A$4:$A$2463,'Trójkąty skumulowane'!$A$31,Dane!$H$4:$H$2463,'Trójkąty skumulowane'!$A36,Dane!$I$4:$I$2463,$A44+C$41)+B44</f>
        <v>7419675.5357578844</v>
      </c>
      <c r="D44" s="66">
        <f>SUMIFS(Dane!$D$4:$D$2463,Dane!$A$4:$A$2463,'Trójkąty skumulowane'!$A$31,Dane!$H$4:$H$2463,'Trójkąty skumulowane'!$A36,Dane!$I$4:$I$2463,$A44+D$41)+C44</f>
        <v>8035194.5474029956</v>
      </c>
      <c r="E44" s="66">
        <f>SUMIFS(Dane!$D$4:$D$2463,Dane!$A$4:$A$2463,'Trójkąty skumulowane'!$A$31,Dane!$H$4:$H$2463,'Trójkąty skumulowane'!$A36,Dane!$I$4:$I$2463,$A44+E$41)+D44</f>
        <v>8311293.5664852802</v>
      </c>
      <c r="F44" s="66">
        <f>SUMIFS(Dane!$D$4:$D$2463,Dane!$A$4:$A$2463,'Trójkąty skumulowane'!$A$31,Dane!$H$4:$H$2463,'Trójkąty skumulowane'!$A36,Dane!$I$4:$I$2463,$A44+F$41)+E44</f>
        <v>8485838.9932521638</v>
      </c>
      <c r="G44" s="66">
        <f>SUMIFS(Dane!$D$4:$D$2463,Dane!$A$4:$A$2463,'Trójkąty skumulowane'!$A$31,Dane!$H$4:$H$2463,'Trójkąty skumulowane'!$A36,Dane!$I$4:$I$2463,$A44+G$41)+F44</f>
        <v>8612753.2234232798</v>
      </c>
      <c r="H44" s="66">
        <f>SUMIFS(Dane!$D$4:$D$2463,Dane!$A$4:$A$2463,'Trójkąty skumulowane'!$A$31,Dane!$H$4:$H$2463,'Trójkąty skumulowane'!$A36,Dane!$I$4:$I$2463,$A44+H$41)+G44</f>
        <v>8705089.8472966179</v>
      </c>
      <c r="I44" s="66">
        <f>SUMIFS(Dane!$D$4:$D$2463,Dane!$A$4:$A$2463,'Trójkąty skumulowane'!$A$31,Dane!$H$4:$H$2463,'Trójkąty skumulowane'!$A36,Dane!$I$4:$I$2463,$A44+I$41)+H44</f>
        <v>8790192.0651726462</v>
      </c>
      <c r="J44" s="67">
        <f>SUMIFS(Dane!$D$4:$D$2463,Dane!$A$4:$A$2463,'Trójkąty skumulowane'!$A$31,Dane!$H$4:$H$2463,'Trójkąty skumulowane'!$A36,Dane!$I$4:$I$2463,$A44+J$41)</f>
        <v>0</v>
      </c>
      <c r="K44" s="68">
        <f>I44*I55</f>
        <v>8936839.6406455524</v>
      </c>
      <c r="L44" s="14">
        <f>K44-I44</f>
        <v>146647.57547290623</v>
      </c>
    </row>
    <row r="45" spans="1:12" x14ac:dyDescent="0.25">
      <c r="A45">
        <v>2015</v>
      </c>
      <c r="B45" s="66">
        <f>SUMIFS(Dane!$D$4:$D$2463,Dane!$A$4:$A$2463,'Trójkąty skumulowane'!$A$31,Dane!$H$4:$H$2463,'Trójkąty skumulowane'!$A37,Dane!$I$4:$I$2463,$A45+B$41)</f>
        <v>4937863.1805621143</v>
      </c>
      <c r="C45" s="66">
        <f>SUMIFS(Dane!$D$4:$D$2463,Dane!$A$4:$A$2463,'Trójkąty skumulowane'!$A$31,Dane!$H$4:$H$2463,'Trójkąty skumulowane'!$A37,Dane!$I$4:$I$2463,$A45+C$41)+B45</f>
        <v>7280218.5328278262</v>
      </c>
      <c r="D45" s="66">
        <f>SUMIFS(Dane!$D$4:$D$2463,Dane!$A$4:$A$2463,'Trójkąty skumulowane'!$A$31,Dane!$H$4:$H$2463,'Trójkąty skumulowane'!$A37,Dane!$I$4:$I$2463,$A45+D$41)+C45</f>
        <v>7761059.11764865</v>
      </c>
      <c r="E45" s="66">
        <f>SUMIFS(Dane!$D$4:$D$2463,Dane!$A$4:$A$2463,'Trójkąty skumulowane'!$A$31,Dane!$H$4:$H$2463,'Trójkąty skumulowane'!$A37,Dane!$I$4:$I$2463,$A45+E$41)+D45</f>
        <v>8070594.5036562011</v>
      </c>
      <c r="F45" s="66">
        <f>SUMIFS(Dane!$D$4:$D$2463,Dane!$A$4:$A$2463,'Trójkąty skumulowane'!$A$31,Dane!$H$4:$H$2463,'Trójkąty skumulowane'!$A37,Dane!$I$4:$I$2463,$A45+F$41)+E45</f>
        <v>8357686.8388847765</v>
      </c>
      <c r="G45" s="66">
        <f>SUMIFS(Dane!$D$4:$D$2463,Dane!$A$4:$A$2463,'Trójkąty skumulowane'!$A$31,Dane!$H$4:$H$2463,'Trójkąty skumulowane'!$A37,Dane!$I$4:$I$2463,$A45+G$41)+F45</f>
        <v>8508734.3164296784</v>
      </c>
      <c r="H45" s="66">
        <f>SUMIFS(Dane!$D$4:$D$2463,Dane!$A$4:$A$2463,'Trójkąty skumulowane'!$A$31,Dane!$H$4:$H$2463,'Trójkąty skumulowane'!$A37,Dane!$I$4:$I$2463,$A45+H$41)+G45</f>
        <v>8597298.6686612889</v>
      </c>
      <c r="I45" s="67">
        <f>SUMIFS(Dane!$D$4:$D$2463,Dane!$A$4:$A$2463,'Trójkąty skumulowane'!$A$31,Dane!$H$4:$H$2463,'Trójkąty skumulowane'!$A37,Dane!$I$4:$I$2463,$A45+I$41)</f>
        <v>0</v>
      </c>
      <c r="J45" s="67">
        <f>SUMIFS(Dane!$D$4:$D$2463,Dane!$A$4:$A$2463,'Trójkąty skumulowane'!$A$31,Dane!$H$4:$H$2463,'Trójkąty skumulowane'!$A37,Dane!$I$4:$I$2463,$A45+J$41)</f>
        <v>0</v>
      </c>
      <c r="K45" s="68">
        <f>H45*H55</f>
        <v>8811855.5256601572</v>
      </c>
      <c r="L45" s="14">
        <f>K45-H45</f>
        <v>214556.85699886829</v>
      </c>
    </row>
    <row r="46" spans="1:12" x14ac:dyDescent="0.25">
      <c r="A46">
        <v>2016</v>
      </c>
      <c r="B46" s="66">
        <f>SUMIFS(Dane!$D$4:$D$2463,Dane!$A$4:$A$2463,'Trójkąty skumulowane'!$A$31,Dane!$H$4:$H$2463,'Trójkąty skumulowane'!$A38,Dane!$I$4:$I$2463,$A46+B$41)</f>
        <v>4897019.6391870324</v>
      </c>
      <c r="C46" s="66">
        <f>SUMIFS(Dane!$D$4:$D$2463,Dane!$A$4:$A$2463,'Trójkąty skumulowane'!$A$31,Dane!$H$4:$H$2463,'Trójkąty skumulowane'!$A38,Dane!$I$4:$I$2463,$A46+C$41)+B46</f>
        <v>7246289.1684834082</v>
      </c>
      <c r="D46" s="66">
        <f>SUMIFS(Dane!$D$4:$D$2463,Dane!$A$4:$A$2463,'Trójkąty skumulowane'!$A$31,Dane!$H$4:$H$2463,'Trójkąty skumulowane'!$A38,Dane!$I$4:$I$2463,$A46+D$41)+C46</f>
        <v>7830052.6938192165</v>
      </c>
      <c r="E46" s="66">
        <f>SUMIFS(Dane!$D$4:$D$2463,Dane!$A$4:$A$2463,'Trójkąty skumulowane'!$A$31,Dane!$H$4:$H$2463,'Trójkąty skumulowane'!$A38,Dane!$I$4:$I$2463,$A46+E$41)+D46</f>
        <v>8169946.3043205123</v>
      </c>
      <c r="F46" s="66">
        <f>SUMIFS(Dane!$D$4:$D$2463,Dane!$A$4:$A$2463,'Trójkąty skumulowane'!$A$31,Dane!$H$4:$H$2463,'Trójkąty skumulowane'!$A38,Dane!$I$4:$I$2463,$A46+F$41)+E46</f>
        <v>8399470.4375268407</v>
      </c>
      <c r="G46" s="66">
        <f>SUMIFS(Dane!$D$4:$D$2463,Dane!$A$4:$A$2463,'Trójkąty skumulowane'!$A$31,Dane!$H$4:$H$2463,'Trójkąty skumulowane'!$A38,Dane!$I$4:$I$2463,$A46+G$41)+F46</f>
        <v>8553302.2388791312</v>
      </c>
      <c r="H46" s="67">
        <f>SUMIFS(Dane!$D$4:$D$2463,Dane!$A$4:$A$2463,'Trójkąty skumulowane'!$A$31,Dane!$H$4:$H$2463,'Trójkąty skumulowane'!$A38,Dane!$I$4:$I$2463,$A46+H$41)</f>
        <v>0</v>
      </c>
      <c r="I46" s="67">
        <f>SUMIFS(Dane!$D$4:$D$2463,Dane!$A$4:$A$2463,'Trójkąty skumulowane'!$A$31,Dane!$H$4:$H$2463,'Trójkąty skumulowane'!$A38,Dane!$I$4:$I$2463,$A46+I$41)</f>
        <v>0</v>
      </c>
      <c r="J46" s="67">
        <f>SUMIFS(Dane!$D$4:$D$2463,Dane!$A$4:$A$2463,'Trójkąty skumulowane'!$A$31,Dane!$H$4:$H$2463,'Trójkąty skumulowane'!$A38,Dane!$I$4:$I$2463,$A46+J$41)</f>
        <v>0</v>
      </c>
      <c r="K46" s="68">
        <f>G46*G55</f>
        <v>8848306.2870468516</v>
      </c>
      <c r="L46" s="14">
        <f>K46-G46</f>
        <v>295004.04816772044</v>
      </c>
    </row>
    <row r="47" spans="1:12" x14ac:dyDescent="0.25">
      <c r="A47">
        <v>2017</v>
      </c>
      <c r="B47" s="66">
        <f>SUMIFS(Dane!$D$4:$D$2463,Dane!$A$4:$A$2463,'Trójkąty skumulowane'!$A$31,Dane!$H$4:$H$2463,'Trójkąty skumulowane'!$A39,Dane!$I$4:$I$2463,$A47+B$41)</f>
        <v>5014791.9572833572</v>
      </c>
      <c r="C47" s="66">
        <f>SUMIFS(Dane!$D$4:$D$2463,Dane!$A$4:$A$2463,'Trójkąty skumulowane'!$A$31,Dane!$H$4:$H$2463,'Trójkąty skumulowane'!$A39,Dane!$I$4:$I$2463,$A47+C$41)+B47</f>
        <v>7473356.4843088966</v>
      </c>
      <c r="D47" s="66">
        <f>SUMIFS(Dane!$D$4:$D$2463,Dane!$A$4:$A$2463,'Trójkąty skumulowane'!$A$31,Dane!$H$4:$H$2463,'Trójkąty skumulowane'!$A39,Dane!$I$4:$I$2463,$A47+D$41)+C47</f>
        <v>8051605.7443632847</v>
      </c>
      <c r="E47" s="66">
        <f>SUMIFS(Dane!$D$4:$D$2463,Dane!$A$4:$A$2463,'Trójkąty skumulowane'!$A$31,Dane!$H$4:$H$2463,'Trójkąty skumulowane'!$A39,Dane!$I$4:$I$2463,$A47+E$41)+D47</f>
        <v>8381433.7919791909</v>
      </c>
      <c r="F47" s="66">
        <f>SUMIFS(Dane!$D$4:$D$2463,Dane!$A$4:$A$2463,'Trójkąty skumulowane'!$A$31,Dane!$H$4:$H$2463,'Trójkąty skumulowane'!$A39,Dane!$I$4:$I$2463,$A47+F$41)+E47</f>
        <v>8539007.495220311</v>
      </c>
      <c r="G47" s="67">
        <f>SUMIFS(Dane!$D$4:$D$2463,Dane!$A$4:$A$2463,'Trójkąty skumulowane'!$A$31,Dane!$H$4:$H$2463,'Trójkąty skumulowane'!$A39,Dane!$I$4:$I$2463,$A47+G$41)</f>
        <v>0</v>
      </c>
      <c r="H47" s="67">
        <f>SUMIFS(Dane!$D$4:$D$2463,Dane!$A$4:$A$2463,'Trójkąty skumulowane'!$A$31,Dane!$H$4:$H$2463,'Trójkąty skumulowane'!$A39,Dane!$I$4:$I$2463,$A47+H$41)</f>
        <v>0</v>
      </c>
      <c r="I47" s="67">
        <f>SUMIFS(Dane!$D$4:$D$2463,Dane!$A$4:$A$2463,'Trójkąty skumulowane'!$A$31,Dane!$H$4:$H$2463,'Trójkąty skumulowane'!$A39,Dane!$I$4:$I$2463,$A47+I$41)</f>
        <v>0</v>
      </c>
      <c r="J47" s="67">
        <f>SUMIFS(Dane!$D$4:$D$2463,Dane!$A$4:$A$2463,'Trójkąty skumulowane'!$A$31,Dane!$H$4:$H$2463,'Trójkąty skumulowane'!$A39,Dane!$I$4:$I$2463,$A47+J$41)</f>
        <v>0</v>
      </c>
      <c r="K47" s="68">
        <f>F47*F55</f>
        <v>8970889.868596701</v>
      </c>
      <c r="L47" s="14">
        <f>K47-F47</f>
        <v>431882.37337638997</v>
      </c>
    </row>
    <row r="48" spans="1:12" x14ac:dyDescent="0.25">
      <c r="A48">
        <v>2018</v>
      </c>
      <c r="B48" s="66">
        <f>SUMIFS(Dane!$D$4:$D$2463,Dane!$A$4:$A$2463,'Trójkąty skumulowane'!$A$31,Dane!$H$4:$H$2463,'Trójkąty skumulowane'!$A40,Dane!$I$4:$I$2463,$A48+B$41)</f>
        <v>5289023.9552167226</v>
      </c>
      <c r="C48" s="66">
        <f>SUMIFS(Dane!$D$4:$D$2463,Dane!$A$4:$A$2463,'Trójkąty skumulowane'!$A$31,Dane!$H$4:$H$2463,'Trójkąty skumulowane'!$A40,Dane!$I$4:$I$2463,$A48+C$41)+B48</f>
        <v>7765443.9363761069</v>
      </c>
      <c r="D48" s="66">
        <f>SUMIFS(Dane!$D$4:$D$2463,Dane!$A$4:$A$2463,'Trójkąty skumulowane'!$A$31,Dane!$H$4:$H$2463,'Trójkąty skumulowane'!$A40,Dane!$I$4:$I$2463,$A48+D$41)+C48</f>
        <v>8242777.4404919678</v>
      </c>
      <c r="E48" s="66">
        <f>SUMIFS(Dane!$D$4:$D$2463,Dane!$A$4:$A$2463,'Trójkąty skumulowane'!$A$31,Dane!$H$4:$H$2463,'Trójkąty skumulowane'!$A40,Dane!$I$4:$I$2463,$A48+E$41)+D48</f>
        <v>8468153.0281122215</v>
      </c>
      <c r="F48" s="67">
        <f>SUMIFS(Dane!$D$4:$D$2463,Dane!$A$4:$A$2463,'Trójkąty skumulowane'!$A$31,Dane!$H$4:$H$2463,'Trójkąty skumulowane'!$A40,Dane!$I$4:$I$2463,$A48+F$41)</f>
        <v>0</v>
      </c>
      <c r="G48" s="67">
        <f>SUMIFS(Dane!$D$4:$D$2463,Dane!$A$4:$A$2463,'Trójkąty skumulowane'!$A$31,Dane!$H$4:$H$2463,'Trójkąty skumulowane'!$A40,Dane!$I$4:$I$2463,$A48+G$41)</f>
        <v>0</v>
      </c>
      <c r="H48" s="67">
        <f>SUMIFS(Dane!$D$4:$D$2463,Dane!$A$4:$A$2463,'Trójkąty skumulowane'!$A$31,Dane!$H$4:$H$2463,'Trójkąty skumulowane'!$A40,Dane!$I$4:$I$2463,$A48+H$41)</f>
        <v>0</v>
      </c>
      <c r="I48" s="67">
        <f>SUMIFS(Dane!$D$4:$D$2463,Dane!$A$4:$A$2463,'Trójkąty skumulowane'!$A$31,Dane!$H$4:$H$2463,'Trójkąty skumulowane'!$A40,Dane!$I$4:$I$2463,$A48+I$41)</f>
        <v>0</v>
      </c>
      <c r="J48" s="67">
        <f>SUMIFS(Dane!$D$4:$D$2463,Dane!$A$4:$A$2463,'Trójkąty skumulowane'!$A$31,Dane!$H$4:$H$2463,'Trójkąty skumulowane'!$A40,Dane!$I$4:$I$2463,$A48+J$41)</f>
        <v>0</v>
      </c>
      <c r="K48" s="68">
        <f>E48*E55</f>
        <v>9105642.4696670733</v>
      </c>
      <c r="L48" s="14">
        <f>K48-E48</f>
        <v>637489.44155485183</v>
      </c>
    </row>
    <row r="49" spans="1:12" x14ac:dyDescent="0.25">
      <c r="A49">
        <v>2019</v>
      </c>
      <c r="B49" s="66">
        <f>SUMIFS(Dane!$D$4:$D$2463,Dane!$A$4:$A$2463,'Trójkąty skumulowane'!$A$31,Dane!$H$4:$H$2463,'Trójkąty skumulowane'!$A41,Dane!$I$4:$I$2463,$A49+B$41)</f>
        <v>5361675.0260812119</v>
      </c>
      <c r="C49" s="66">
        <f>SUMIFS(Dane!$D$4:$D$2463,Dane!$A$4:$A$2463,'Trójkąty skumulowane'!$A$31,Dane!$H$4:$H$2463,'Trójkąty skumulowane'!$A41,Dane!$I$4:$I$2463,$A49+C$41)+B49</f>
        <v>7552270.4508919688</v>
      </c>
      <c r="D49" s="66">
        <f>SUMIFS(Dane!$D$4:$D$2463,Dane!$A$4:$A$2463,'Trójkąty skumulowane'!$A$31,Dane!$H$4:$H$2463,'Trójkąty skumulowane'!$A41,Dane!$I$4:$I$2463,$A49+D$41)+C49</f>
        <v>8066188.6737497589</v>
      </c>
      <c r="E49" s="67">
        <f>SUMIFS(Dane!$D$4:$D$2463,Dane!$A$4:$A$2463,'Trójkąty skumulowane'!$A$31,Dane!$H$4:$H$2463,'Trójkąty skumulowane'!$A41,Dane!$I$4:$I$2463,$A49+E$41)</f>
        <v>0</v>
      </c>
      <c r="F49" s="67">
        <f>SUMIFS(Dane!$D$4:$D$2463,Dane!$A$4:$A$2463,'Trójkąty skumulowane'!$A$31,Dane!$H$4:$H$2463,'Trójkąty skumulowane'!$A41,Dane!$I$4:$I$2463,$A49+F$41)</f>
        <v>0</v>
      </c>
      <c r="G49" s="67">
        <f>SUMIFS(Dane!$D$4:$D$2463,Dane!$A$4:$A$2463,'Trójkąty skumulowane'!$A$31,Dane!$H$4:$H$2463,'Trójkąty skumulowane'!$A41,Dane!$I$4:$I$2463,$A49+G$41)</f>
        <v>0</v>
      </c>
      <c r="H49" s="67">
        <f>SUMIFS(Dane!$D$4:$D$2463,Dane!$A$4:$A$2463,'Trójkąty skumulowane'!$A$31,Dane!$H$4:$H$2463,'Trójkąty skumulowane'!$A41,Dane!$I$4:$I$2463,$A49+H$41)</f>
        <v>0</v>
      </c>
      <c r="I49" s="67">
        <f>SUMIFS(Dane!$D$4:$D$2463,Dane!$A$4:$A$2463,'Trójkąty skumulowane'!$A$31,Dane!$H$4:$H$2463,'Trójkąty skumulowane'!$A41,Dane!$I$4:$I$2463,$A49+I$41)</f>
        <v>0</v>
      </c>
      <c r="J49" s="67">
        <f>SUMIFS(Dane!$D$4:$D$2463,Dane!$A$4:$A$2463,'Trójkąty skumulowane'!$A$31,Dane!$H$4:$H$2463,'Trójkąty skumulowane'!$A41,Dane!$I$4:$I$2463,$A49+J$41)</f>
        <v>0</v>
      </c>
      <c r="K49" s="68">
        <f>D49*D55</f>
        <v>8989917.1724612229</v>
      </c>
      <c r="L49" s="14">
        <f>K49-D49</f>
        <v>923728.498711464</v>
      </c>
    </row>
    <row r="50" spans="1:12" x14ac:dyDescent="0.25">
      <c r="A50">
        <v>2020</v>
      </c>
      <c r="B50" s="66">
        <f>SUMIFS(Dane!$D$4:$D$2463,Dane!$A$4:$A$2463,'Trójkąty skumulowane'!$A$31,Dane!$H$4:$H$2463,'Trójkąty skumulowane'!$A42,Dane!$I$4:$I$2463,$A50+B$41)</f>
        <v>5311015.510566188</v>
      </c>
      <c r="C50" s="66">
        <f>SUMIFS(Dane!$D$4:$D$2463,Dane!$A$4:$A$2463,'Trójkąty skumulowane'!$A$31,Dane!$H$4:$H$2463,'Trójkąty skumulowane'!$A42,Dane!$I$4:$I$2463,$A50+C$41)+B50</f>
        <v>7383876.934500345</v>
      </c>
      <c r="D50" s="67">
        <f>SUMIFS(Dane!$D$4:$D$2463,Dane!$A$4:$A$2463,'Trójkąty skumulowane'!$A$31,Dane!$H$4:$H$2463,'Trójkąty skumulowane'!$A42,Dane!$I$4:$I$2463,$A50+D$41)</f>
        <v>0</v>
      </c>
      <c r="E50" s="67">
        <f>SUMIFS(Dane!$D$4:$D$2463,Dane!$A$4:$A$2463,'Trójkąty skumulowane'!$A$31,Dane!$H$4:$H$2463,'Trójkąty skumulowane'!$A42,Dane!$I$4:$I$2463,$A50+E$41)</f>
        <v>0</v>
      </c>
      <c r="F50" s="67">
        <f>SUMIFS(Dane!$D$4:$D$2463,Dane!$A$4:$A$2463,'Trójkąty skumulowane'!$A$31,Dane!$H$4:$H$2463,'Trójkąty skumulowane'!$A42,Dane!$I$4:$I$2463,$A50+F$41)</f>
        <v>0</v>
      </c>
      <c r="G50" s="67">
        <f>SUMIFS(Dane!$D$4:$D$2463,Dane!$A$4:$A$2463,'Trójkąty skumulowane'!$A$31,Dane!$H$4:$H$2463,'Trójkąty skumulowane'!$A42,Dane!$I$4:$I$2463,$A50+G$41)</f>
        <v>0</v>
      </c>
      <c r="H50" s="67">
        <f>SUMIFS(Dane!$D$4:$D$2463,Dane!$A$4:$A$2463,'Trójkąty skumulowane'!$A$31,Dane!$H$4:$H$2463,'Trójkąty skumulowane'!$A42,Dane!$I$4:$I$2463,$A50+H$41)</f>
        <v>0</v>
      </c>
      <c r="I50" s="67">
        <f>SUMIFS(Dane!$D$4:$D$2463,Dane!$A$4:$A$2463,'Trójkąty skumulowane'!$A$31,Dane!$H$4:$H$2463,'Trójkąty skumulowane'!$A42,Dane!$I$4:$I$2463,$A50+I$41)</f>
        <v>0</v>
      </c>
      <c r="J50" s="67">
        <f>SUMIFS(Dane!$D$4:$D$2463,Dane!$A$4:$A$2463,'Trójkąty skumulowane'!$A$31,Dane!$H$4:$H$2463,'Trójkąty skumulowane'!$A42,Dane!$I$4:$I$2463,$A50+J$41)</f>
        <v>0</v>
      </c>
      <c r="K50" s="68">
        <f>C50*C55</f>
        <v>8837217.3212364353</v>
      </c>
      <c r="L50" s="14">
        <f>K50-C50</f>
        <v>1453340.3867360903</v>
      </c>
    </row>
    <row r="51" spans="1:12" x14ac:dyDescent="0.25">
      <c r="A51">
        <v>2021</v>
      </c>
      <c r="B51" s="66">
        <f>SUMIFS(Dane!$D$4:$D$2463,Dane!$A$4:$A$2463,'Trójkąty skumulowane'!$A$31,Dane!$H$4:$H$2463,'Trójkąty skumulowane'!$A43,Dane!$I$4:$I$2463,$A51+B$41)</f>
        <v>5299650.8412340274</v>
      </c>
      <c r="C51" s="67">
        <f>SUMIFS(Dane!$D$4:$D$2463,Dane!$A$4:$A$2463,'Trójkąty skumulowane'!$A$31,Dane!$H$4:$H$2463,'Trójkąty skumulowane'!$A43,Dane!$I$4:$I$2463,$A51+C$41)</f>
        <v>0</v>
      </c>
      <c r="D51" s="67">
        <f>SUMIFS(Dane!$D$4:$D$2463,Dane!$A$4:$A$2463,'Trójkąty skumulowane'!$A$31,Dane!$H$4:$H$2463,'Trójkąty skumulowane'!$A43,Dane!$I$4:$I$2463,$A51+D$41)</f>
        <v>0</v>
      </c>
      <c r="E51" s="67">
        <f>SUMIFS(Dane!$D$4:$D$2463,Dane!$A$4:$A$2463,'Trójkąty skumulowane'!$A$31,Dane!$H$4:$H$2463,'Trójkąty skumulowane'!$A43,Dane!$I$4:$I$2463,$A51+E$41)</f>
        <v>0</v>
      </c>
      <c r="F51" s="67">
        <f>SUMIFS(Dane!$D$4:$D$2463,Dane!$A$4:$A$2463,'Trójkąty skumulowane'!$A$31,Dane!$H$4:$H$2463,'Trójkąty skumulowane'!$A43,Dane!$I$4:$I$2463,$A51+F$41)</f>
        <v>0</v>
      </c>
      <c r="G51" s="67">
        <f>SUMIFS(Dane!$D$4:$D$2463,Dane!$A$4:$A$2463,'Trójkąty skumulowane'!$A$31,Dane!$H$4:$H$2463,'Trójkąty skumulowane'!$A43,Dane!$I$4:$I$2463,$A51+G$41)</f>
        <v>0</v>
      </c>
      <c r="H51" s="67">
        <f>SUMIFS(Dane!$D$4:$D$2463,Dane!$A$4:$A$2463,'Trójkąty skumulowane'!$A$31,Dane!$H$4:$H$2463,'Trójkąty skumulowane'!$A43,Dane!$I$4:$I$2463,$A51+H$41)</f>
        <v>0</v>
      </c>
      <c r="I51" s="67">
        <f>SUMIFS(Dane!$D$4:$D$2463,Dane!$A$4:$A$2463,'Trójkąty skumulowane'!$A$31,Dane!$H$4:$H$2463,'Trójkąty skumulowane'!$A43,Dane!$I$4:$I$2463,$A51+I$41)</f>
        <v>0</v>
      </c>
      <c r="J51" s="67">
        <f>SUMIFS(Dane!$D$4:$D$2463,Dane!$A$4:$A$2463,'Trójkąty skumulowane'!$A$31,Dane!$H$4:$H$2463,'Trójkąty skumulowane'!$A43,Dane!$I$4:$I$2463,$A51+J$41)</f>
        <v>0</v>
      </c>
      <c r="K51" s="68">
        <f>B51*B55</f>
        <v>9221340.6336116344</v>
      </c>
      <c r="L51" s="14">
        <f>K51-B51</f>
        <v>3921689.792377607</v>
      </c>
    </row>
    <row r="52" spans="1:12" x14ac:dyDescent="0.25">
      <c r="L52" s="18">
        <f>SUM(L42:L51)</f>
        <v>8112161.9012587937</v>
      </c>
    </row>
    <row r="54" spans="1:12" x14ac:dyDescent="0.25">
      <c r="A54" t="s">
        <v>25</v>
      </c>
      <c r="C54">
        <f>SUM(C42:C50)/SUM(B42:B50)</f>
        <v>1.4538370151276416</v>
      </c>
      <c r="D54">
        <f>SUM(D42:D49)/SUM(C42:C49)</f>
        <v>1.0738503700731286</v>
      </c>
      <c r="E54">
        <f>SUM(E42:E48)/SUM(D42:D48)</f>
        <v>1.0364907195313748</v>
      </c>
      <c r="F54">
        <f>SUM(F42:F47)/SUM(E42:E47)</f>
        <v>1.0235139493552665</v>
      </c>
      <c r="G54">
        <f>SUM(G42:G46)/SUM(F42:F46)</f>
        <v>1.0155511477960275</v>
      </c>
      <c r="H54">
        <f>SUM(H42:H45)/SUM(G42:G45)</f>
        <v>1.0093016313257899</v>
      </c>
      <c r="I54">
        <f>SUM(I42:I44)/SUM(H42:H44)</f>
        <v>1.0081374615625842</v>
      </c>
      <c r="J54">
        <f>SUM(J42:J43)/SUM(I42:I43)</f>
        <v>1.0071027793074627</v>
      </c>
      <c r="K54">
        <f>SUM(K42)/SUM(J42)</f>
        <v>1.0095127449174679</v>
      </c>
    </row>
    <row r="55" spans="1:12" x14ac:dyDescent="0.25">
      <c r="A55" t="s">
        <v>26</v>
      </c>
      <c r="B55">
        <f>PRODUCT(C54:K54)</f>
        <v>1.7399902200848458</v>
      </c>
      <c r="C55">
        <f>PRODUCT(D54:K54)</f>
        <v>1.1968261930186728</v>
      </c>
      <c r="D55">
        <f>PRODUCT(E54:K54)</f>
        <v>1.1145185831962503</v>
      </c>
      <c r="E55">
        <f>PRODUCT(F54:K54)</f>
        <v>1.0752808126445685</v>
      </c>
      <c r="F55">
        <f>PRODUCT(G54:K54)</f>
        <v>1.0505775845281944</v>
      </c>
      <c r="G55">
        <f>PRODUCT(H54:K54)</f>
        <v>1.0344900764557081</v>
      </c>
      <c r="H55">
        <f>PRODUCT(I54:K54)</f>
        <v>1.0249563107282718</v>
      </c>
      <c r="I55">
        <f>PRODUCT(J54:K54)</f>
        <v>1.0166830911526876</v>
      </c>
      <c r="J55">
        <f>PRODUCT(K54)</f>
        <v>1.0095127449174679</v>
      </c>
      <c r="K5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8BB62-D696-4EFA-9E0C-C3AF5D836828}">
  <sheetPr codeName="Arkusz8"/>
  <dimension ref="A1:EE56"/>
  <sheetViews>
    <sheetView zoomScale="70" zoomScaleNormal="70" workbookViewId="0">
      <selection activeCell="DN46" sqref="DN46:DO47"/>
    </sheetView>
  </sheetViews>
  <sheetFormatPr defaultRowHeight="15" x14ac:dyDescent="0.25"/>
  <cols>
    <col min="1" max="1" width="26.140625" bestFit="1" customWidth="1"/>
    <col min="2" max="2" width="28.7109375" bestFit="1" customWidth="1"/>
    <col min="3" max="10" width="12.5703125" bestFit="1" customWidth="1"/>
    <col min="11" max="11" width="15.42578125" bestFit="1" customWidth="1"/>
    <col min="12" max="12" width="23" customWidth="1"/>
    <col min="13" max="13" width="26.140625" bestFit="1" customWidth="1"/>
    <col min="14" max="14" width="28.7109375" bestFit="1" customWidth="1"/>
    <col min="15" max="23" width="12.5703125" bestFit="1" customWidth="1"/>
    <col min="27" max="27" width="11.28515625" bestFit="1" customWidth="1"/>
    <col min="53" max="53" width="10" bestFit="1" customWidth="1"/>
    <col min="118" max="118" width="11.5703125" customWidth="1"/>
    <col min="119" max="119" width="12.5703125" bestFit="1" customWidth="1"/>
  </cols>
  <sheetData>
    <row r="1" spans="1:135" x14ac:dyDescent="0.25">
      <c r="A1" s="3" t="s">
        <v>17</v>
      </c>
      <c r="B1" s="75" t="s">
        <v>27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3" t="s">
        <v>17</v>
      </c>
      <c r="N1" s="76" t="s">
        <v>16</v>
      </c>
      <c r="O1" s="76"/>
      <c r="P1" s="76"/>
      <c r="Q1" s="76"/>
      <c r="R1" s="76"/>
      <c r="S1" s="76"/>
      <c r="T1" s="76"/>
      <c r="U1" s="76"/>
      <c r="V1" s="76"/>
      <c r="W1" s="76"/>
      <c r="X1" s="76"/>
    </row>
    <row r="2" spans="1:135" x14ac:dyDescent="0.25">
      <c r="B2" t="s">
        <v>21</v>
      </c>
      <c r="N2" t="s">
        <v>21</v>
      </c>
      <c r="AO2" s="74" t="s">
        <v>28</v>
      </c>
      <c r="AP2" s="74"/>
      <c r="AQ2" s="74"/>
      <c r="DQ2" s="74"/>
      <c r="DR2" s="74"/>
      <c r="DS2" s="74"/>
    </row>
    <row r="3" spans="1:135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 t="s">
        <v>24</v>
      </c>
      <c r="M3" t="s">
        <v>22</v>
      </c>
      <c r="N3">
        <v>0</v>
      </c>
      <c r="O3">
        <v>1</v>
      </c>
      <c r="P3">
        <v>2</v>
      </c>
      <c r="Q3">
        <v>3</v>
      </c>
      <c r="R3">
        <v>4</v>
      </c>
      <c r="S3">
        <v>5</v>
      </c>
      <c r="T3">
        <v>6</v>
      </c>
      <c r="U3">
        <v>7</v>
      </c>
      <c r="V3">
        <v>8</v>
      </c>
      <c r="W3">
        <v>9</v>
      </c>
      <c r="X3" t="s">
        <v>24</v>
      </c>
      <c r="AA3" s="74" t="s">
        <v>29</v>
      </c>
      <c r="AB3" s="74"/>
      <c r="AC3" s="74"/>
      <c r="AR3" t="s">
        <v>30</v>
      </c>
      <c r="AS3">
        <v>0</v>
      </c>
      <c r="AT3">
        <v>1</v>
      </c>
      <c r="AU3">
        <v>2</v>
      </c>
      <c r="AV3">
        <v>3</v>
      </c>
      <c r="AW3">
        <v>4</v>
      </c>
      <c r="AX3">
        <v>5</v>
      </c>
      <c r="AY3">
        <v>6</v>
      </c>
      <c r="AZ3">
        <v>7</v>
      </c>
      <c r="BA3">
        <v>8</v>
      </c>
      <c r="BB3">
        <v>9</v>
      </c>
      <c r="BD3" t="s">
        <v>31</v>
      </c>
      <c r="BE3">
        <v>0</v>
      </c>
      <c r="BF3">
        <v>1</v>
      </c>
      <c r="BG3">
        <v>2</v>
      </c>
      <c r="BH3">
        <v>3</v>
      </c>
      <c r="BI3">
        <v>4</v>
      </c>
      <c r="BJ3">
        <v>5</v>
      </c>
      <c r="BK3">
        <v>6</v>
      </c>
      <c r="BL3">
        <v>7</v>
      </c>
      <c r="BM3">
        <v>8</v>
      </c>
      <c r="BN3">
        <v>9</v>
      </c>
      <c r="BP3" t="s">
        <v>32</v>
      </c>
      <c r="BQ3">
        <v>0</v>
      </c>
      <c r="BR3">
        <v>1</v>
      </c>
      <c r="BS3">
        <v>2</v>
      </c>
      <c r="BT3">
        <v>3</v>
      </c>
      <c r="BU3">
        <v>4</v>
      </c>
      <c r="BV3">
        <v>5</v>
      </c>
      <c r="BW3">
        <v>6</v>
      </c>
      <c r="BX3">
        <v>7</v>
      </c>
      <c r="BY3">
        <v>8</v>
      </c>
      <c r="BZ3">
        <v>9</v>
      </c>
      <c r="CB3" t="s">
        <v>33</v>
      </c>
      <c r="CC3">
        <v>0</v>
      </c>
      <c r="CD3">
        <v>1</v>
      </c>
      <c r="CE3">
        <v>2</v>
      </c>
      <c r="CF3">
        <v>3</v>
      </c>
      <c r="CG3">
        <v>4</v>
      </c>
      <c r="CH3">
        <v>5</v>
      </c>
      <c r="CI3">
        <v>6</v>
      </c>
      <c r="CJ3">
        <v>7</v>
      </c>
      <c r="CK3">
        <v>8</v>
      </c>
      <c r="CL3">
        <v>9</v>
      </c>
      <c r="CN3" t="s">
        <v>34</v>
      </c>
      <c r="CO3">
        <v>0</v>
      </c>
      <c r="CP3">
        <v>1</v>
      </c>
      <c r="CQ3">
        <v>2</v>
      </c>
      <c r="CR3">
        <v>3</v>
      </c>
      <c r="CS3">
        <v>4</v>
      </c>
      <c r="CT3">
        <v>5</v>
      </c>
      <c r="CU3">
        <v>6</v>
      </c>
      <c r="CV3">
        <v>7</v>
      </c>
      <c r="CW3">
        <v>8</v>
      </c>
      <c r="CZ3" t="s">
        <v>35</v>
      </c>
      <c r="DA3">
        <v>0</v>
      </c>
      <c r="DB3">
        <v>1</v>
      </c>
      <c r="DC3">
        <v>2</v>
      </c>
      <c r="DD3">
        <v>3</v>
      </c>
      <c r="DE3">
        <v>4</v>
      </c>
      <c r="DF3">
        <v>5</v>
      </c>
      <c r="DG3">
        <v>6</v>
      </c>
      <c r="DH3">
        <v>7</v>
      </c>
      <c r="DI3">
        <v>8</v>
      </c>
      <c r="DJ3">
        <v>9</v>
      </c>
    </row>
    <row r="4" spans="1:135" x14ac:dyDescent="0.25">
      <c r="A4">
        <v>2012</v>
      </c>
      <c r="B4" s="13">
        <f>SUMIFS(Dane!$D$4:$D$2463,Dane!$A$4:$A$2463,'Trójkąty skumulowane'!$A$1,Dane!$H$4:$H$2463,'Trójkąty skumulowane'!$A4,Dane!$I$4:$I$2463,$A4+B$3)</f>
        <v>1088980.6210946122</v>
      </c>
      <c r="C4" s="13">
        <f>SUMIFS(Dane!$D$4:$D$2463,Dane!$A$4:$A$2463,'Trójkąty skumulowane'!$A$1,Dane!$H$4:$H$2463,'Trójkąty skumulowane'!$A4,Dane!$I$4:$I$2463,$A4+C$3)+B4</f>
        <v>2131667.1827891804</v>
      </c>
      <c r="D4" s="13">
        <f>SUMIFS(Dane!$D$4:$D$2463,Dane!$A$4:$A$2463,'Trójkąty skumulowane'!$A$1,Dane!$H$4:$H$2463,'Trójkąty skumulowane'!$A4,Dane!$I$4:$I$2463,$A4+D$3)+C4</f>
        <v>2574995.4197594547</v>
      </c>
      <c r="E4" s="13">
        <f>SUMIFS(Dane!$D$4:$D$2463,Dane!$A$4:$A$2463,'Trójkąty skumulowane'!$A$1,Dane!$H$4:$H$2463,'Trójkąty skumulowane'!$A4,Dane!$I$4:$I$2463,$A4+E$3)+D4</f>
        <v>2879586.2460659551</v>
      </c>
      <c r="F4" s="13">
        <f>SUMIFS(Dane!$D$4:$D$2463,Dane!$A$4:$A$2463,'Trójkąty skumulowane'!$A$1,Dane!$H$4:$H$2463,'Trójkąty skumulowane'!$A4,Dane!$I$4:$I$2463,$A4+F$3)+E4</f>
        <v>3145556.0155862393</v>
      </c>
      <c r="G4" s="13">
        <f>SUMIFS(Dane!$D$4:$D$2463,Dane!$A$4:$A$2463,'Trójkąty skumulowane'!$A$1,Dane!$H$4:$H$2463,'Trójkąty skumulowane'!$A4,Dane!$I$4:$I$2463,$A4+G$3)+F4</f>
        <v>3510642.3092168202</v>
      </c>
      <c r="H4" s="13">
        <f>SUMIFS(Dane!$D$4:$D$2463,Dane!$A$4:$A$2463,'Trójkąty skumulowane'!$A$1,Dane!$H$4:$H$2463,'Trójkąty skumulowane'!$A4,Dane!$I$4:$I$2463,$A4+H$3)+G4</f>
        <v>3735083.5657222392</v>
      </c>
      <c r="I4" s="13">
        <f>SUMIFS(Dane!$D$4:$D$2463,Dane!$A$4:$A$2463,'Trójkąty skumulowane'!$A$1,Dane!$H$4:$H$2463,'Trójkąty skumulowane'!$A4,Dane!$I$4:$I$2463,$A4+I$3)+H4</f>
        <v>3851623.8752911706</v>
      </c>
      <c r="J4" s="13">
        <f>SUMIFS(Dane!$D$4:$D$2463,Dane!$A$4:$A$2463,'Trójkąty skumulowane'!$A$1,Dane!$H$4:$H$2463,'Trójkąty skumulowane'!$A4,Dane!$I$4:$I$2463,$A4+J$3)+I4</f>
        <v>3919451.366290886</v>
      </c>
      <c r="K4" s="13">
        <f>SUMIFS(Dane!$D$4:$D$2463,Dane!$A$4:$A$2463,'Trójkąty skumulowane'!$A$1,Dane!$H$4:$H$2463,'Trójkąty skumulowane'!$A4,Dane!$I$4:$I$2463,$A4+K$3)+J4</f>
        <v>4047893.3726979974</v>
      </c>
      <c r="L4" s="14">
        <f>K4-K4</f>
        <v>0</v>
      </c>
      <c r="M4">
        <v>2012</v>
      </c>
      <c r="N4" s="13">
        <f>SUMIFS(Dane!$J$4:$J$2463,Dane!$A$4:$A$2463,'Trójkąty skumulowane'!$A$1,Dane!$H$4:$H$2463,'Trójkąty skumulowane'!$A4,Dane!$I$4:$I$2463,$M4+N$3)</f>
        <v>6001986.5047522709</v>
      </c>
      <c r="O4" s="13">
        <f>SUMIFS(Dane!$J$4:$J$2463,Dane!$A$4:$A$2463,'Trójkąty skumulowane'!$A$1,Dane!$H$4:$H$2463,'Trójkąty skumulowane'!$A4,Dane!$I$4:$I$2463,$M4+O$3)+N4</f>
        <v>15550842.840368563</v>
      </c>
      <c r="P4" s="13">
        <f>SUMIFS(Dane!$J$4:$J$2463,Dane!$A$4:$A$2463,'Trójkąty skumulowane'!$A$1,Dane!$H$4:$H$2463,'Trójkąty skumulowane'!$A4,Dane!$I$4:$I$2463,$M4+P$3)+O4</f>
        <v>23964366.537289709</v>
      </c>
      <c r="Q4" s="13">
        <f>SUMIFS(Dane!$J$4:$J$2463,Dane!$A$4:$A$2463,'Trójkąty skumulowane'!$A$1,Dane!$H$4:$H$2463,'Trójkąty skumulowane'!$A4,Dane!$I$4:$I$2463,$M4+Q$3)+P4</f>
        <v>31346792.227155551</v>
      </c>
      <c r="R4" s="13">
        <f>SUMIFS(Dane!$J$4:$J$2463,Dane!$A$4:$A$2463,'Trójkąty skumulowane'!$A$1,Dane!$H$4:$H$2463,'Trójkąty skumulowane'!$A4,Dane!$I$4:$I$2463,$M4+R$3)+Q4</f>
        <v>37796754.284816973</v>
      </c>
      <c r="S4" s="13">
        <f>SUMIFS(Dane!$J$4:$J$2463,Dane!$A$4:$A$2463,'Trójkąty skumulowane'!$A$1,Dane!$H$4:$H$2463,'Trójkąty skumulowane'!$A4,Dane!$I$4:$I$2463,$M4+S$3)+R4</f>
        <v>42841898.39738927</v>
      </c>
      <c r="T4" s="13">
        <f>SUMIFS(Dane!$J$4:$J$2463,Dane!$A$4:$A$2463,'Trójkąty skumulowane'!$A$1,Dane!$H$4:$H$2463,'Trójkąty skumulowane'!$A4,Dane!$I$4:$I$2463,$M4+T$3)+S4</f>
        <v>46602176.793634765</v>
      </c>
      <c r="U4" s="13">
        <f>SUMIFS(Dane!$J$4:$J$2463,Dane!$A$4:$A$2463,'Trójkąty skumulowane'!$A$1,Dane!$H$4:$H$2463,'Trójkąty skumulowane'!$A4,Dane!$I$4:$I$2463,$M4+U$3)+T4</f>
        <v>49618282.436432816</v>
      </c>
      <c r="V4" s="13">
        <f>SUMIFS(Dane!$J$4:$J$2463,Dane!$A$4:$A$2463,'Trójkąty skumulowane'!$A$1,Dane!$H$4:$H$2463,'Trójkąty skumulowane'!$A4,Dane!$I$4:$I$2463,$M4+V$3)+U4</f>
        <v>52196181.260823667</v>
      </c>
      <c r="W4" s="13">
        <f>SUMIFS(Dane!$J$4:$J$2463,Dane!$A$4:$A$2463,'Trójkąty skumulowane'!$A$1,Dane!$H$4:$H$2463,'Trójkąty skumulowane'!$A4,Dane!$I$4:$I$2463,$M4+W$3)+V4</f>
        <v>54510116.504212178</v>
      </c>
      <c r="X4" s="11"/>
      <c r="AB4">
        <v>0</v>
      </c>
      <c r="AC4">
        <v>1</v>
      </c>
      <c r="AD4">
        <v>2</v>
      </c>
      <c r="AE4">
        <v>3</v>
      </c>
      <c r="AF4">
        <v>4</v>
      </c>
      <c r="AG4">
        <v>5</v>
      </c>
      <c r="AH4">
        <v>6</v>
      </c>
      <c r="AI4">
        <v>7</v>
      </c>
      <c r="AJ4">
        <v>8</v>
      </c>
      <c r="AK4">
        <v>9</v>
      </c>
      <c r="AR4">
        <v>0</v>
      </c>
      <c r="AS4" s="8">
        <f>(C$4/B$4-C$16)/AB$7*SQRT(B$4)</f>
        <v>-0.90068203928135493</v>
      </c>
      <c r="AT4" s="8">
        <f>(D$4/C$4-D$16)/AC$7*SQRT(C$4)</f>
        <v>-1.121660938653011</v>
      </c>
      <c r="AU4" s="8">
        <f>(E$4/D$4-E$16)/AD$7*SQRT(D$4)</f>
        <v>-1.247488342909097</v>
      </c>
      <c r="AV4" s="8">
        <f t="shared" ref="AV4:AY4" si="0">(F$4/E$4-F$16)/AE$7*SQRT(E$4)</f>
        <v>-0.42267177945010659</v>
      </c>
      <c r="AW4" s="8">
        <f t="shared" si="0"/>
        <v>0.64425683008187029</v>
      </c>
      <c r="AX4" s="8">
        <f t="shared" si="0"/>
        <v>0.84966544289073997</v>
      </c>
      <c r="AY4" s="8">
        <f t="shared" si="0"/>
        <v>-1.0761300549289226</v>
      </c>
      <c r="AZ4" s="8">
        <f>(J$4/I$4-J$16)/AI$7*SQRT(I$4)</f>
        <v>-0.74746347329128948</v>
      </c>
      <c r="BA4" s="8">
        <f>(K$4/J$4-K$16)/AJ$7*SQRT(J$4)</f>
        <v>0</v>
      </c>
      <c r="BB4" s="8">
        <v>0</v>
      </c>
      <c r="BD4">
        <v>0</v>
      </c>
      <c r="BE4" s="8">
        <f>(O4/N4-O$16)/AB$8*SQRT(N4)</f>
        <v>-0.84000138882147701</v>
      </c>
      <c r="BF4" s="8">
        <f t="shared" ref="BF4:BL4" si="1">(P$4/O$4-P$16)/AC$8*SQRT(O$4)</f>
        <v>-0.9417369540342887</v>
      </c>
      <c r="BG4" s="8">
        <f t="shared" si="1"/>
        <v>-0.94619068930623296</v>
      </c>
      <c r="BH4" s="8">
        <f t="shared" si="1"/>
        <v>-0.42215691756229445</v>
      </c>
      <c r="BI4" s="8">
        <f t="shared" si="1"/>
        <v>-0.36537388717926855</v>
      </c>
      <c r="BJ4" s="8">
        <f t="shared" si="1"/>
        <v>-1.1830135197383262</v>
      </c>
      <c r="BK4" s="8">
        <f t="shared" si="1"/>
        <v>-1.2075819326458661</v>
      </c>
      <c r="BL4" s="8">
        <f t="shared" si="1"/>
        <v>-0.76018113824724909</v>
      </c>
      <c r="BM4" s="8">
        <f>(W$4/V$4-W$16)/AJ$8*SQRT(V$4)</f>
        <v>0</v>
      </c>
      <c r="BN4" s="8">
        <v>0</v>
      </c>
      <c r="BP4">
        <v>0</v>
      </c>
      <c r="BQ4" s="8">
        <f>(B4/N4-AB$5)/AB$9*SQRT(N4)</f>
        <v>0.26450729981652937</v>
      </c>
      <c r="BR4" s="8">
        <f t="shared" ref="BR4:BY4" si="2">(C4/O4-AC$5)/AC$9*SQRT(O4)</f>
        <v>1.4271050509541792</v>
      </c>
      <c r="BS4" s="8">
        <f t="shared" si="2"/>
        <v>0.97477887400211993</v>
      </c>
      <c r="BT4" s="8">
        <f t="shared" si="2"/>
        <v>0.81342121370515319</v>
      </c>
      <c r="BU4" s="8">
        <f t="shared" si="2"/>
        <v>0.72828518256979557</v>
      </c>
      <c r="BV4" s="8">
        <f t="shared" si="2"/>
        <v>1.3181037766842945</v>
      </c>
      <c r="BW4" s="8">
        <f t="shared" si="2"/>
        <v>1.2964042975675141</v>
      </c>
      <c r="BX4" s="8">
        <f t="shared" si="2"/>
        <v>1.1706535431239564</v>
      </c>
      <c r="BY4" s="8">
        <f t="shared" si="2"/>
        <v>0.76273813466622464</v>
      </c>
      <c r="BZ4" s="8">
        <v>0</v>
      </c>
      <c r="CB4">
        <v>0</v>
      </c>
      <c r="CC4" s="8">
        <f>(N4/B4-AB$6)/AB$10*SQRT(B4)</f>
        <v>-0.31338154011592201</v>
      </c>
      <c r="CD4" s="8">
        <f t="shared" ref="CD4:CK4" si="3">(O4/C4-AC$6)/AC$10*SQRT(C4)</f>
        <v>-1.3744855069296975</v>
      </c>
      <c r="CE4" s="8">
        <f t="shared" si="3"/>
        <v>-0.92828936820471863</v>
      </c>
      <c r="CF4" s="8">
        <f t="shared" si="3"/>
        <v>-0.80123760105248332</v>
      </c>
      <c r="CG4" s="8">
        <f t="shared" si="3"/>
        <v>-0.71464913238668593</v>
      </c>
      <c r="CH4" s="8">
        <f t="shared" si="3"/>
        <v>-1.2934826871737022</v>
      </c>
      <c r="CI4" s="8">
        <f t="shared" si="3"/>
        <v>-1.2671983977656021</v>
      </c>
      <c r="CJ4" s="8">
        <f t="shared" si="3"/>
        <v>-1.1513497580436076</v>
      </c>
      <c r="CK4" s="8">
        <f t="shared" si="3"/>
        <v>-0.75505302081409176</v>
      </c>
      <c r="CL4" s="8">
        <v>0</v>
      </c>
      <c r="CN4">
        <v>0</v>
      </c>
      <c r="CO4" s="8">
        <f>AS4*CC4</f>
        <v>0.2822571246247404</v>
      </c>
      <c r="CP4" s="8">
        <f t="shared" ref="CP4:CW4" si="4">AT4*CD4</f>
        <v>1.5417067038677241</v>
      </c>
      <c r="CQ4" s="8">
        <f t="shared" si="4"/>
        <v>1.158030165681837</v>
      </c>
      <c r="CR4" s="8">
        <f t="shared" si="4"/>
        <v>0.33866052259918772</v>
      </c>
      <c r="CS4" s="8">
        <f t="shared" si="4"/>
        <v>-0.46041758465220511</v>
      </c>
      <c r="CT4" s="8">
        <f t="shared" si="4"/>
        <v>-1.0990275402689482</v>
      </c>
      <c r="CU4" s="8">
        <f t="shared" si="4"/>
        <v>1.3636702813933399</v>
      </c>
      <c r="CV4" s="8">
        <f t="shared" si="4"/>
        <v>0.86059188912036066</v>
      </c>
      <c r="CW4" s="8">
        <f t="shared" si="4"/>
        <v>0</v>
      </c>
      <c r="CX4" s="8"/>
      <c r="CZ4">
        <v>0</v>
      </c>
      <c r="DA4" s="8">
        <f>BE4*BQ4</f>
        <v>-0.22218649919930347</v>
      </c>
      <c r="DB4" s="8">
        <f t="shared" ref="DB4:DJ4" si="5">BF4*BR4</f>
        <v>-1.3439575637725369</v>
      </c>
      <c r="DC4" s="8">
        <f t="shared" si="5"/>
        <v>-0.92232669471321949</v>
      </c>
      <c r="DD4" s="8">
        <f t="shared" si="5"/>
        <v>-0.34339139225754783</v>
      </c>
      <c r="DE4" s="8">
        <f t="shared" si="5"/>
        <v>-0.2660963881305895</v>
      </c>
      <c r="DF4" s="8">
        <f t="shared" si="5"/>
        <v>-1.559334588235668</v>
      </c>
      <c r="DG4" s="8">
        <f t="shared" si="5"/>
        <v>-1.5655144071469851</v>
      </c>
      <c r="DH4" s="8">
        <f t="shared" si="5"/>
        <v>-0.88990874290514432</v>
      </c>
      <c r="DI4" s="8">
        <f t="shared" si="5"/>
        <v>0</v>
      </c>
      <c r="DJ4" s="8">
        <f t="shared" si="5"/>
        <v>0</v>
      </c>
      <c r="DV4" s="8"/>
      <c r="DW4" s="8"/>
      <c r="DX4" s="8"/>
      <c r="DY4" s="8"/>
      <c r="DZ4" s="8"/>
      <c r="EA4" s="8"/>
      <c r="EB4" s="8"/>
      <c r="EC4" s="8"/>
      <c r="ED4" s="8"/>
      <c r="EE4" s="8"/>
    </row>
    <row r="5" spans="1:135" x14ac:dyDescent="0.25">
      <c r="A5">
        <v>2013</v>
      </c>
      <c r="B5" s="13">
        <f>SUMIFS(Dane!$D$4:$D$2463,Dane!$A$4:$A$2463,'Trójkąty skumulowane'!$A$1,Dane!$H$4:$H$2463,'Trójkąty skumulowane'!$A5,Dane!$I$4:$I$2463,$A5+B$3)</f>
        <v>1306152.7922672718</v>
      </c>
      <c r="C5" s="13">
        <f>SUMIFS(Dane!$D$4:$D$2463,Dane!$A$4:$A$2463,'Trójkąty skumulowane'!$A$1,Dane!$H$4:$H$2463,'Trójkąty skumulowane'!$A5,Dane!$I$4:$I$2463,$A5+C$3)+B5</f>
        <v>2423098.0772959162</v>
      </c>
      <c r="D5" s="13">
        <f>SUMIFS(Dane!$D$4:$D$2463,Dane!$A$4:$A$2463,'Trójkąty skumulowane'!$A$1,Dane!$H$4:$H$2463,'Trójkąty skumulowane'!$A5,Dane!$I$4:$I$2463,$A5+D$3)+C5</f>
        <v>3075018.113358567</v>
      </c>
      <c r="E5" s="13">
        <f>SUMIFS(Dane!$D$4:$D$2463,Dane!$A$4:$A$2463,'Trójkąty skumulowane'!$A$1,Dane!$H$4:$H$2463,'Trójkąty skumulowane'!$A5,Dane!$I$4:$I$2463,$A5+E$3)+D5</f>
        <v>3476624.6799267773</v>
      </c>
      <c r="F5" s="13">
        <f>SUMIFS(Dane!$D$4:$D$2463,Dane!$A$4:$A$2463,'Trójkąty skumulowane'!$A$1,Dane!$H$4:$H$2463,'Trójkąty skumulowane'!$A5,Dane!$I$4:$I$2463,$A5+F$3)+E5</f>
        <v>3794890.9619714259</v>
      </c>
      <c r="G5" s="13">
        <f>SUMIFS(Dane!$D$4:$D$2463,Dane!$A$4:$A$2463,'Trójkąty skumulowane'!$A$1,Dane!$H$4:$H$2463,'Trójkąty skumulowane'!$A5,Dane!$I$4:$I$2463,$A5+G$3)+F5</f>
        <v>4284126.0679999879</v>
      </c>
      <c r="H5" s="13">
        <f>SUMIFS(Dane!$D$4:$D$2463,Dane!$A$4:$A$2463,'Trójkąty skumulowane'!$A$1,Dane!$H$4:$H$2463,'Trójkąty skumulowane'!$A5,Dane!$I$4:$I$2463,$A5+H$3)+G5</f>
        <v>4512725.01252825</v>
      </c>
      <c r="I5" s="13">
        <f>SUMIFS(Dane!$D$4:$D$2463,Dane!$A$4:$A$2463,'Trójkąty skumulowane'!$A$1,Dane!$H$4:$H$2463,'Trójkąty skumulowane'!$A5,Dane!$I$4:$I$2463,$A5+I$3)+H5</f>
        <v>4876312.2751422348</v>
      </c>
      <c r="J5" s="13">
        <f>SUMIFS(Dane!$D$4:$D$2463,Dane!$A$4:$A$2463,'Trójkąty skumulowane'!$A$1,Dane!$H$4:$H$2463,'Trójkąty skumulowane'!$A5,Dane!$I$4:$I$2463,$A5+J$3)+I5</f>
        <v>5197779.4737660503</v>
      </c>
      <c r="K5" s="14">
        <f>$J5*($K$16+$DO$7*($AJ$7/$AJ$10)*(($V$5/$J$5)-$AJ$6))</f>
        <v>5368153.0689118197</v>
      </c>
      <c r="L5" s="14">
        <f>K5-J5</f>
        <v>170373.59514576942</v>
      </c>
      <c r="M5">
        <v>2013</v>
      </c>
      <c r="N5" s="13">
        <f>SUMIFS(Dane!$J$4:$J$2463,Dane!$A$4:$A$2463,'Trójkąty skumulowane'!$A$1,Dane!$H$4:$H$2463,'Trójkąty skumulowane'!$A5,Dane!$I$4:$I$2463,$M5+N$3)</f>
        <v>6886572.1806147145</v>
      </c>
      <c r="O5" s="13">
        <f>SUMIFS(Dane!$J$4:$J$2463,Dane!$A$4:$A$2463,'Trójkąty skumulowane'!$A$1,Dane!$H$4:$H$2463,'Trójkąty skumulowane'!$A5,Dane!$I$4:$I$2463,$M5+O$3)+N5</f>
        <v>18139091.350933425</v>
      </c>
      <c r="P5" s="13">
        <f>SUMIFS(Dane!$J$4:$J$2463,Dane!$A$4:$A$2463,'Trójkąty skumulowane'!$A$1,Dane!$H$4:$H$2463,'Trójkąty skumulowane'!$A5,Dane!$I$4:$I$2463,$M5+P$3)+O5</f>
        <v>29109253.546859652</v>
      </c>
      <c r="Q5" s="13">
        <f>SUMIFS(Dane!$J$4:$J$2463,Dane!$A$4:$A$2463,'Trójkąty skumulowane'!$A$1,Dane!$H$4:$H$2463,'Trójkąty skumulowane'!$A5,Dane!$I$4:$I$2463,$M5+Q$3)+P5</f>
        <v>39577125.083529375</v>
      </c>
      <c r="R5" s="13">
        <f>SUMIFS(Dane!$J$4:$J$2463,Dane!$A$4:$A$2463,'Trójkąty skumulowane'!$A$1,Dane!$H$4:$H$2463,'Trójkąty skumulowane'!$A5,Dane!$I$4:$I$2463,$M5+R$3)+Q5</f>
        <v>48851754.685517706</v>
      </c>
      <c r="S5" s="13">
        <f>SUMIFS(Dane!$J$4:$J$2463,Dane!$A$4:$A$2463,'Trójkąty skumulowane'!$A$1,Dane!$H$4:$H$2463,'Trójkąty skumulowane'!$A5,Dane!$I$4:$I$2463,$M5+S$3)+R5</f>
        <v>56396657.301249467</v>
      </c>
      <c r="T5" s="13">
        <f>SUMIFS(Dane!$J$4:$J$2463,Dane!$A$4:$A$2463,'Trójkąty skumulowane'!$A$1,Dane!$H$4:$H$2463,'Trójkąty skumulowane'!$A5,Dane!$I$4:$I$2463,$M5+T$3)+S5</f>
        <v>62357060.86425475</v>
      </c>
      <c r="U5" s="13">
        <f>SUMIFS(Dane!$J$4:$J$2463,Dane!$A$4:$A$2463,'Trójkąty skumulowane'!$A$1,Dane!$H$4:$H$2463,'Trójkąty skumulowane'!$A5,Dane!$I$4:$I$2463,$M5+U$3)+T5</f>
        <v>67925869.411286369</v>
      </c>
      <c r="V5" s="13">
        <f>SUMIFS(Dane!$J$4:$J$2463,Dane!$A$4:$A$2463,'Trójkąty skumulowane'!$A$1,Dane!$H$4:$H$2463,'Trójkąty skumulowane'!$A5,Dane!$I$4:$I$2463,$M5+V$3)+U5</f>
        <v>72606233.980488926</v>
      </c>
      <c r="W5" s="13">
        <f>SUMIFS(Dane!$J$4:$J$2463,Dane!$A$4:$A$2463,'Trójkąty skumulowane'!$A$1,Dane!$H$4:$H$2463,'Trójkąty skumulowane'!$A5,Dane!$I$4:$I$2463,$M5+W$3)</f>
        <v>0</v>
      </c>
      <c r="X5" s="11"/>
      <c r="AA5" t="s">
        <v>36</v>
      </c>
      <c r="AB5">
        <f>SUM(B4:B13)/SUM(N4:N13)</f>
        <v>0.17029660317308937</v>
      </c>
      <c r="AC5">
        <f>SUM(C4:C12)/SUM(O4:O12)</f>
        <v>0.12739453770042464</v>
      </c>
      <c r="AD5">
        <f>SUM(D4:D11)/SUM(P4:P11)</f>
        <v>0.10043442057208993</v>
      </c>
      <c r="AE5">
        <f>SUM(E4:E10)/SUM(Q4:Q10)</f>
        <v>8.7894462208986654E-2</v>
      </c>
      <c r="AF5">
        <f>SUM(F4:F9)/SUM(R4:R9)</f>
        <v>8.0956797146385664E-2</v>
      </c>
      <c r="AG5">
        <f>SUM(G4:G8)/SUM(S4:S8)</f>
        <v>7.7437728586516444E-2</v>
      </c>
      <c r="AH5">
        <f>SUM(H4:H7)/SUM(T4:T7)</f>
        <v>7.4811099204466561E-2</v>
      </c>
      <c r="AI5">
        <f>SUM(I4:I6)/SUM(U4:U6)</f>
        <v>7.265728767533422E-2</v>
      </c>
      <c r="AJ5">
        <f>SUM(J4:J5)/SUM(V4:V5)</f>
        <v>7.3053320502077232E-2</v>
      </c>
      <c r="AK5">
        <f>SUM(K4:K4)/SUM(W4:W4)</f>
        <v>7.4259488555398767E-2</v>
      </c>
      <c r="AR5">
        <v>1</v>
      </c>
      <c r="AS5" s="21">
        <f>(C$5/B$5-C$16)/AB$7*SQRT(B$5)</f>
        <v>-1.6828170616965279</v>
      </c>
      <c r="AT5" s="21">
        <f t="shared" ref="AT5:AZ5" si="6">(D$5/C$5-D$16)/AC$7*SQRT(C$5)</f>
        <v>0.32282493836042331</v>
      </c>
      <c r="AU5" s="21">
        <f t="shared" si="6"/>
        <v>-1.0825807395314624</v>
      </c>
      <c r="AV5" s="21">
        <f t="shared" si="6"/>
        <v>-0.47751806582720879</v>
      </c>
      <c r="AW5" s="21">
        <f t="shared" si="6"/>
        <v>1.1459756038776978</v>
      </c>
      <c r="AX5" s="21">
        <f t="shared" si="6"/>
        <v>-6.4608699934652097E-2</v>
      </c>
      <c r="AY5" s="21">
        <f t="shared" si="6"/>
        <v>0.91537479819691758</v>
      </c>
      <c r="AZ5" s="21">
        <f t="shared" si="6"/>
        <v>0.66430290989526886</v>
      </c>
      <c r="BA5" s="60">
        <v>0</v>
      </c>
      <c r="BB5" s="8">
        <v>0</v>
      </c>
      <c r="BD5">
        <v>1</v>
      </c>
      <c r="BE5" s="8">
        <f>(O5/N5-O$16)/AB$8*SQRT(N5)</f>
        <v>-0.45080135374764807</v>
      </c>
      <c r="BF5" s="8">
        <f t="shared" ref="BF5:BL11" si="7">(P5/O5-P$16)/AC$8*SQRT(O5)</f>
        <v>0.41799170334128172</v>
      </c>
      <c r="BG5" s="8">
        <f t="shared" si="7"/>
        <v>1.1434591307678255</v>
      </c>
      <c r="BH5" s="8">
        <f t="shared" si="7"/>
        <v>0.91025631546776631</v>
      </c>
      <c r="BI5" s="8">
        <f t="shared" si="7"/>
        <v>1.2177063433271222</v>
      </c>
      <c r="BJ5" s="8">
        <f t="shared" si="7"/>
        <v>0.33268752424577669</v>
      </c>
      <c r="BK5" s="8">
        <f t="shared" si="7"/>
        <v>0.5117594670583252</v>
      </c>
      <c r="BL5" s="8">
        <f t="shared" si="7"/>
        <v>0.64971119511142539</v>
      </c>
      <c r="BM5" s="8">
        <v>0</v>
      </c>
      <c r="BN5" s="8">
        <v>0</v>
      </c>
      <c r="BP5">
        <v>1</v>
      </c>
      <c r="BQ5" s="8">
        <f t="shared" ref="BQ5:BQ13" si="8">(B5/N5-AB$5)/AB$9*SQRT(N5)</f>
        <v>0.49264322448906955</v>
      </c>
      <c r="BR5" s="8">
        <f t="shared" ref="BR5:BR12" si="9">(C5/O5-AC$5)/AC$9*SQRT(O5)</f>
        <v>0.98528867583883561</v>
      </c>
      <c r="BS5" s="8">
        <f t="shared" ref="BS5:BS11" si="10">(D5/P5-AD$5)/AD$9*SQRT(P5)</f>
        <v>0.79660387258077847</v>
      </c>
      <c r="BT5" s="8">
        <f t="shared" ref="BT5:BT10" si="11">(E5/Q5-AE$5)/AE$9*SQRT(Q5)</f>
        <v>-1.1556023534938058E-2</v>
      </c>
      <c r="BU5" s="8">
        <f t="shared" ref="BU5:BU9" si="12">(F5/R5-AF$5)/AF$9*SQRT(R5)</f>
        <v>-1.1965930348351408</v>
      </c>
      <c r="BV5" s="8">
        <f t="shared" ref="BV5:BV8" si="13">(G5/S5-AG$5)/AG$9*SQRT(S5)</f>
        <v>-0.49450964641369277</v>
      </c>
      <c r="BW5" s="8">
        <f t="shared" ref="BW5:BW7" si="14">(H5/T5-AH$5)/AH$9*SQRT(T5)</f>
        <v>-0.6861408348826562</v>
      </c>
      <c r="BX5" s="8">
        <f t="shared" ref="BX5:BX6" si="15">(I5/U5-AI$5)/AI$9*SQRT(U5)</f>
        <v>-0.23947285780476099</v>
      </c>
      <c r="BY5" s="8">
        <f t="shared" ref="BY5" si="16">(J5/V5-AJ$5)/AJ$9*SQRT(V5)</f>
        <v>-0.64670745930898943</v>
      </c>
      <c r="BZ5" s="8">
        <v>0</v>
      </c>
      <c r="CB5">
        <v>1</v>
      </c>
      <c r="CC5" s="8">
        <f t="shared" ref="CC5:CC13" si="17">(N5/B5-AB$6)/AB$10*SQRT(B5)</f>
        <v>-0.5708675951515092</v>
      </c>
      <c r="CD5" s="8">
        <f t="shared" ref="CD5:CD12" si="18">(O5/C5-AC$6)/AC$10*SQRT(C5)</f>
        <v>-0.96128621370662981</v>
      </c>
      <c r="CE5" s="8">
        <f t="shared" ref="CE5:CE11" si="19">(P5/D5-AD$6)/AD$10*SQRT(D5)</f>
        <v>-0.76509723143444686</v>
      </c>
      <c r="CF5" s="8">
        <f t="shared" ref="CF5:CF10" si="20">(Q5/E5-AE$6)/AE$10*SQRT(E5)</f>
        <v>1.1640347757778701E-2</v>
      </c>
      <c r="CG5" s="8">
        <f t="shared" ref="CG5:CG9" si="21">(R5/F5-AF$6)/AF$10*SQRT(F5)</f>
        <v>1.2153455025726483</v>
      </c>
      <c r="CH5" s="8">
        <f t="shared" ref="CH5:CH8" si="22">(S5/G5-AG$6)/AG$10*SQRT(G5)</f>
        <v>0.50401130998942889</v>
      </c>
      <c r="CI5" s="8">
        <f t="shared" ref="CI5:CI7" si="23">(T5/H5-AH$6)/AH$10*SQRT(H5)</f>
        <v>0.70581009064135325</v>
      </c>
      <c r="CJ5" s="8">
        <f t="shared" ref="CJ5:CJ6" si="24">(U5/I5-AI$6)/AI$10*SQRT(I5)</f>
        <v>0.24491089579981459</v>
      </c>
      <c r="CK5" s="8">
        <f t="shared" ref="CK5" si="25">(V5/J5-AJ$6)/AJ$10*SQRT(J5)</f>
        <v>0.65566373680379386</v>
      </c>
      <c r="CL5" s="8">
        <v>0</v>
      </c>
      <c r="CN5">
        <v>1</v>
      </c>
      <c r="CO5" s="8">
        <f t="shared" ref="CO5:CO13" si="26">AS5*CC5</f>
        <v>0.96066572909062575</v>
      </c>
      <c r="CP5" s="8">
        <f t="shared" ref="CP5:CP13" si="27">AT5*CD5</f>
        <v>-0.31032716268656746</v>
      </c>
      <c r="CQ5" s="8">
        <f t="shared" ref="CQ5:CQ13" si="28">AU5*CE5</f>
        <v>0.82827952661977788</v>
      </c>
      <c r="CR5" s="8">
        <f t="shared" ref="CR5:CR13" si="29">AV5*CF5</f>
        <v>-5.5584763468505723E-3</v>
      </c>
      <c r="CS5" s="8">
        <f t="shared" ref="CS5:CS13" si="30">AW5*CG5</f>
        <v>1.3927562962307347</v>
      </c>
      <c r="CT5" s="8">
        <f t="shared" ref="CT5:CT13" si="31">AX5*CH5</f>
        <v>-3.2563515490777933E-2</v>
      </c>
      <c r="CU5" s="8">
        <f t="shared" ref="CU5:CU13" si="32">AY5*CI5</f>
        <v>0.64608076928617686</v>
      </c>
      <c r="CV5" s="8">
        <f t="shared" ref="CV5:CV13" si="33">AZ5*CJ5</f>
        <v>0.16269502074487383</v>
      </c>
      <c r="CW5" s="8">
        <f>BA5*CK5</f>
        <v>0</v>
      </c>
      <c r="CX5" s="8"/>
      <c r="CZ5">
        <v>1</v>
      </c>
      <c r="DA5" s="8">
        <f t="shared" ref="DA5:DA13" si="34">BE5*BQ5</f>
        <v>-0.22208423251427906</v>
      </c>
      <c r="DB5" s="8">
        <f t="shared" ref="DB5:DB13" si="35">BF5*BR5</f>
        <v>0.41184249189675087</v>
      </c>
      <c r="DC5" s="8">
        <f t="shared" ref="DC5:DC13" si="36">BG5*BS5</f>
        <v>0.91088397170750057</v>
      </c>
      <c r="DD5" s="8">
        <f t="shared" ref="DD5:DD13" si="37">BH5*BT5</f>
        <v>-1.0518943404371508E-2</v>
      </c>
      <c r="DE5" s="8">
        <f t="shared" ref="DE5:DE13" si="38">BI5*BU5</f>
        <v>-1.4570989288998031</v>
      </c>
      <c r="DF5" s="8">
        <f t="shared" ref="DF5:DF13" si="39">BJ5*BV5</f>
        <v>-0.16451718998102588</v>
      </c>
      <c r="DG5" s="8">
        <f t="shared" ref="DG5:DG13" si="40">BK5*BW5</f>
        <v>-0.35113906798650246</v>
      </c>
      <c r="DH5" s="8">
        <f t="shared" ref="DH5:DH13" si="41">BL5*BX5</f>
        <v>-0.1555881966410797</v>
      </c>
      <c r="DI5" s="8">
        <f>BM5*BY5</f>
        <v>0</v>
      </c>
      <c r="DJ5" s="8">
        <f t="shared" ref="DJ5:DJ13" si="42">BN5*BZ5</f>
        <v>0</v>
      </c>
      <c r="DV5" s="8"/>
      <c r="DW5" s="8"/>
      <c r="DX5" s="8"/>
      <c r="DY5" s="8"/>
      <c r="DZ5" s="8"/>
      <c r="EA5" s="8"/>
      <c r="EB5" s="8"/>
      <c r="EC5" s="8"/>
      <c r="ED5" s="8"/>
      <c r="EE5" s="8"/>
    </row>
    <row r="6" spans="1:135" x14ac:dyDescent="0.25">
      <c r="A6">
        <v>2014</v>
      </c>
      <c r="B6" s="13">
        <f>SUMIFS(Dane!$D$4:$D$2463,Dane!$A$4:$A$2463,'Trójkąty skumulowane'!$A$1,Dane!$H$4:$H$2463,'Trójkąty skumulowane'!$A6,Dane!$I$4:$I$2463,$A6+B$3)</f>
        <v>1249812.5880425794</v>
      </c>
      <c r="C6" s="13">
        <f>SUMIFS(Dane!$D$4:$D$2463,Dane!$A$4:$A$2463,'Trójkąty skumulowane'!$A$1,Dane!$H$4:$H$2463,'Trójkąty skumulowane'!$A6,Dane!$I$4:$I$2463,$A6+C$3)+B6</f>
        <v>2496387.4909922341</v>
      </c>
      <c r="D6" s="13">
        <f>SUMIFS(Dane!$D$4:$D$2463,Dane!$A$4:$A$2463,'Trójkąty skumulowane'!$A$1,Dane!$H$4:$H$2463,'Trójkąty skumulowane'!$A6,Dane!$I$4:$I$2463,$A6+D$3)+C6</f>
        <v>3107175.4555642856</v>
      </c>
      <c r="E6" s="13">
        <f>SUMIFS(Dane!$D$4:$D$2463,Dane!$A$4:$A$2463,'Trójkąty skumulowane'!$A$1,Dane!$H$4:$H$2463,'Trójkąty skumulowane'!$A6,Dane!$I$4:$I$2463,$A6+E$3)+D6</f>
        <v>3687301.6275404561</v>
      </c>
      <c r="F6" s="13">
        <f>SUMIFS(Dane!$D$4:$D$2463,Dane!$A$4:$A$2463,'Trójkąty skumulowane'!$A$1,Dane!$H$4:$H$2463,'Trójkąty skumulowane'!$A6,Dane!$I$4:$I$2463,$A6+F$3)+E6</f>
        <v>4140844.1681218585</v>
      </c>
      <c r="G6" s="13">
        <f>SUMIFS(Dane!$D$4:$D$2463,Dane!$A$4:$A$2463,'Trójkąty skumulowane'!$A$1,Dane!$H$4:$H$2463,'Trójkąty skumulowane'!$A6,Dane!$I$4:$I$2463,$A6+G$3)+F6</f>
        <v>4360722.1576600038</v>
      </c>
      <c r="H6" s="13">
        <f>SUMIFS(Dane!$D$4:$D$2463,Dane!$A$4:$A$2463,'Trójkąty skumulowane'!$A$1,Dane!$H$4:$H$2463,'Trójkąty skumulowane'!$A6,Dane!$I$4:$I$2463,$A6+H$3)+G6</f>
        <v>4533709.2103520939</v>
      </c>
      <c r="I6" s="13">
        <f>SUMIFS(Dane!$D$4:$D$2463,Dane!$A$4:$A$2463,'Trójkąty skumulowane'!$A$1,Dane!$H$4:$H$2463,'Trójkąty skumulowane'!$A6,Dane!$I$4:$I$2463,$A6+I$3)+H6</f>
        <v>4808102.5173431104</v>
      </c>
      <c r="J6" s="14">
        <f>$I6*($J$16+$DO$7*($AI$7/$AI$10)*(($U$6/$I$6)-$AI$6))</f>
        <v>5055367.97248533</v>
      </c>
      <c r="K6" s="14">
        <f t="shared" ref="K6:K13" si="43">$J6*($K$16+$DO$7*($AJ$7/$AJ$10)*(($V$5/$J$5)-$AJ$6))</f>
        <v>5221073.5820834702</v>
      </c>
      <c r="L6" s="14">
        <f>K6-I6</f>
        <v>412971.06474035978</v>
      </c>
      <c r="M6">
        <v>2014</v>
      </c>
      <c r="N6" s="13">
        <f>SUMIFS(Dane!$J$4:$J$2463,Dane!$A$4:$A$2463,'Trójkąty skumulowane'!$A$1,Dane!$H$4:$H$2463,'Trójkąty skumulowane'!$A6,Dane!$I$4:$I$2463,$M6+N$3)</f>
        <v>7657927.6014328264</v>
      </c>
      <c r="O6" s="13">
        <f>SUMIFS(Dane!$J$4:$J$2463,Dane!$A$4:$A$2463,'Trójkąty skumulowane'!$A$1,Dane!$H$4:$H$2463,'Trójkąty skumulowane'!$A6,Dane!$I$4:$I$2463,$M6+O$3)+N6</f>
        <v>20172828.973118216</v>
      </c>
      <c r="P6" s="13">
        <f>SUMIFS(Dane!$J$4:$J$2463,Dane!$A$4:$A$2463,'Trójkąty skumulowane'!$A$1,Dane!$H$4:$H$2463,'Trójkąty skumulowane'!$A6,Dane!$I$4:$I$2463,$M6+P$3)+O6</f>
        <v>32072874.935845725</v>
      </c>
      <c r="Q6" s="13">
        <f>SUMIFS(Dane!$J$4:$J$2463,Dane!$A$4:$A$2463,'Trójkąty skumulowane'!$A$1,Dane!$H$4:$H$2463,'Trójkąty skumulowane'!$A6,Dane!$I$4:$I$2463,$M6+Q$3)+P6</f>
        <v>42652731.401071317</v>
      </c>
      <c r="R6" s="13">
        <f>SUMIFS(Dane!$J$4:$J$2463,Dane!$A$4:$A$2463,'Trójkąty skumulowane'!$A$1,Dane!$H$4:$H$2463,'Trójkąty skumulowane'!$A6,Dane!$I$4:$I$2463,$M6+R$3)+Q6</f>
        <v>51350890.100564182</v>
      </c>
      <c r="S6" s="13">
        <f>SUMIFS(Dane!$J$4:$J$2463,Dane!$A$4:$A$2463,'Trójkąty skumulowane'!$A$1,Dane!$H$4:$H$2463,'Trójkąty skumulowane'!$A6,Dane!$I$4:$I$2463,$M6+S$3)+R6</f>
        <v>57532382.614423975</v>
      </c>
      <c r="T6" s="13">
        <f>SUMIFS(Dane!$J$4:$J$2463,Dane!$A$4:$A$2463,'Trójkąty skumulowane'!$A$1,Dane!$H$4:$H$2463,'Trójkąty skumulowane'!$A6,Dane!$I$4:$I$2463,$M6+T$3)+S6</f>
        <v>63108303.689542651</v>
      </c>
      <c r="U6" s="13">
        <f>SUMIFS(Dane!$J$4:$J$2463,Dane!$A$4:$A$2463,'Trójkąty skumulowane'!$A$1,Dane!$H$4:$H$2463,'Trójkąty skumulowane'!$A6,Dane!$I$4:$I$2463,$M6+U$3)+T6</f>
        <v>68755655.107113615</v>
      </c>
      <c r="V6" s="13">
        <f>SUMIFS(Dane!$J$4:$J$2463,Dane!$A$4:$A$2463,'Trójkąty skumulowane'!$A$1,Dane!$H$4:$H$2463,'Trójkąty skumulowane'!$A6,Dane!$I$4:$I$2463,$M6+V$3)</f>
        <v>0</v>
      </c>
      <c r="W6" s="13">
        <f>SUMIFS(Dane!$J$4:$J$2463,Dane!$A$4:$A$2463,'Trójkąty skumulowane'!$A$1,Dane!$H$4:$H$2463,'Trójkąty skumulowane'!$A6,Dane!$I$4:$I$2463,$M6+W$3)+V6</f>
        <v>0</v>
      </c>
      <c r="X6" s="11"/>
      <c r="AA6" t="s">
        <v>37</v>
      </c>
      <c r="AB6">
        <f>1/AB5</f>
        <v>5.8721077306727052</v>
      </c>
      <c r="AC6">
        <f t="shared" ref="AC6:AK6" si="44">1/AC5</f>
        <v>7.8496301179847743</v>
      </c>
      <c r="AD6">
        <f t="shared" si="44"/>
        <v>9.956745847726765</v>
      </c>
      <c r="AE6">
        <f t="shared" si="44"/>
        <v>11.377281058075082</v>
      </c>
      <c r="AF6">
        <f t="shared" si="44"/>
        <v>12.352267323419492</v>
      </c>
      <c r="AG6">
        <f t="shared" si="44"/>
        <v>12.913601912829366</v>
      </c>
      <c r="AH6">
        <f t="shared" si="44"/>
        <v>13.367000493695398</v>
      </c>
      <c r="AI6">
        <f t="shared" si="44"/>
        <v>13.763244293792722</v>
      </c>
      <c r="AJ6">
        <f t="shared" si="44"/>
        <v>13.688631716221106</v>
      </c>
      <c r="AK6">
        <f t="shared" si="44"/>
        <v>13.466292583660659</v>
      </c>
      <c r="AR6">
        <v>2</v>
      </c>
      <c r="AS6" s="21">
        <f>(C$6/B$6-C$16)/AB$7*SQRT(B$6)</f>
        <v>-0.69919179312437374</v>
      </c>
      <c r="AT6" s="21">
        <f t="shared" ref="AT6:AY6" si="45">(D$6/C$6-D$16)/AC$7*SQRT(C$6)</f>
        <v>-0.28758407782413925</v>
      </c>
      <c r="AU6" s="21">
        <f t="shared" si="45"/>
        <v>0.19700352669218441</v>
      </c>
      <c r="AV6" s="21">
        <f t="shared" si="45"/>
        <v>2.5892934054635636E-2</v>
      </c>
      <c r="AW6" s="21">
        <f t="shared" si="45"/>
        <v>-1.5035029423725281</v>
      </c>
      <c r="AX6" s="21">
        <f t="shared" si="45"/>
        <v>-1.3758427590009707</v>
      </c>
      <c r="AY6" s="21">
        <f t="shared" si="45"/>
        <v>6.3506564264071155E-2</v>
      </c>
      <c r="AZ6" s="60">
        <v>0</v>
      </c>
      <c r="BA6" s="21">
        <v>0</v>
      </c>
      <c r="BB6" s="8">
        <v>0</v>
      </c>
      <c r="BD6">
        <v>2</v>
      </c>
      <c r="BE6" s="8">
        <f t="shared" ref="BE6:BE11" si="46">(O6/N6-O$16)/AB$8*SQRT(N6)</f>
        <v>-0.47250022551777365</v>
      </c>
      <c r="BF6" s="8">
        <f t="shared" si="7"/>
        <v>8.7646998394991821E-2</v>
      </c>
      <c r="BG6" s="8">
        <f t="shared" si="7"/>
        <v>-0.12361801991822841</v>
      </c>
      <c r="BH6" s="8">
        <f t="shared" si="7"/>
        <v>-0.58455853864168472</v>
      </c>
      <c r="BI6" s="8">
        <f t="shared" si="7"/>
        <v>-1.4724112470065656</v>
      </c>
      <c r="BJ6" s="8">
        <f t="shared" si="7"/>
        <v>-0.49945678397951548</v>
      </c>
      <c r="BK6" s="8">
        <f t="shared" si="7"/>
        <v>0.52900673324963821</v>
      </c>
      <c r="BL6" s="8">
        <v>0</v>
      </c>
      <c r="BM6" s="8">
        <v>0</v>
      </c>
      <c r="BN6" s="8">
        <v>0</v>
      </c>
      <c r="BP6">
        <v>2</v>
      </c>
      <c r="BQ6" s="8">
        <f t="shared" si="8"/>
        <v>-0.19019415147840663</v>
      </c>
      <c r="BR6" s="8">
        <f t="shared" si="9"/>
        <v>-0.61179675867320193</v>
      </c>
      <c r="BS6" s="8">
        <f t="shared" si="10"/>
        <v>-0.57148505708669428</v>
      </c>
      <c r="BT6" s="8">
        <f t="shared" si="11"/>
        <v>-0.34557520092127686</v>
      </c>
      <c r="BU6" s="8">
        <f t="shared" si="12"/>
        <v>-0.11934000383603674</v>
      </c>
      <c r="BV6" s="8">
        <f t="shared" si="13"/>
        <v>-0.55648449946399758</v>
      </c>
      <c r="BW6" s="8">
        <f t="shared" si="14"/>
        <v>-0.83978298203815749</v>
      </c>
      <c r="BX6" s="8">
        <f t="shared" si="15"/>
        <v>-0.75645425000203947</v>
      </c>
      <c r="BY6" s="8">
        <v>0</v>
      </c>
      <c r="BZ6" s="8">
        <v>0</v>
      </c>
      <c r="CB6">
        <v>2</v>
      </c>
      <c r="CC6" s="8">
        <f t="shared" si="17"/>
        <v>0.23759027258520116</v>
      </c>
      <c r="CD6" s="8">
        <f t="shared" si="18"/>
        <v>0.62015683017082468</v>
      </c>
      <c r="CE6" s="8">
        <f t="shared" si="19"/>
        <v>0.57315681089198744</v>
      </c>
      <c r="CF6" s="8">
        <f t="shared" si="20"/>
        <v>0.35089403111358736</v>
      </c>
      <c r="CG6" s="8">
        <f t="shared" si="21"/>
        <v>0.11896753050305374</v>
      </c>
      <c r="CH6" s="8">
        <f t="shared" si="22"/>
        <v>0.56780602584756723</v>
      </c>
      <c r="CI6" s="8">
        <f t="shared" si="23"/>
        <v>0.86703115894683502</v>
      </c>
      <c r="CJ6" s="8">
        <f t="shared" si="24"/>
        <v>0.78384461966097485</v>
      </c>
      <c r="CK6" s="8">
        <v>0</v>
      </c>
      <c r="CL6" s="8">
        <v>0</v>
      </c>
      <c r="CN6">
        <v>2</v>
      </c>
      <c r="CO6" s="8">
        <f t="shared" si="26"/>
        <v>-0.16612116871775554</v>
      </c>
      <c r="CP6" s="8">
        <f t="shared" si="27"/>
        <v>-0.17834723011101794</v>
      </c>
      <c r="CQ6" s="8">
        <f t="shared" si="28"/>
        <v>0.11291391309336694</v>
      </c>
      <c r="CR6" s="8">
        <f t="shared" si="29"/>
        <v>9.0856760077893828E-3</v>
      </c>
      <c r="CS6" s="8">
        <f t="shared" si="30"/>
        <v>-0.17886803215813479</v>
      </c>
      <c r="CT6" s="8">
        <f t="shared" si="31"/>
        <v>-0.7812118091794934</v>
      </c>
      <c r="CU6" s="8">
        <f t="shared" si="32"/>
        <v>5.5062170014609273E-2</v>
      </c>
      <c r="CV6" s="8">
        <f>AZ6*CJ6</f>
        <v>0</v>
      </c>
      <c r="CW6" s="8">
        <f t="shared" ref="CW6:CW13" si="47">BA6*CK6</f>
        <v>0</v>
      </c>
      <c r="CX6" s="8"/>
      <c r="CZ6">
        <v>2</v>
      </c>
      <c r="DA6" s="8">
        <f t="shared" si="34"/>
        <v>8.9866779465708729E-2</v>
      </c>
      <c r="DB6" s="8">
        <f t="shared" si="35"/>
        <v>-5.3622149525491325E-2</v>
      </c>
      <c r="DC6" s="8">
        <f t="shared" si="36"/>
        <v>7.0645851169912871E-2</v>
      </c>
      <c r="DD6" s="8">
        <f t="shared" si="37"/>
        <v>0.20200893444134818</v>
      </c>
      <c r="DE6" s="8">
        <f t="shared" si="38"/>
        <v>0.17571756386598716</v>
      </c>
      <c r="DF6" s="8">
        <f t="shared" si="39"/>
        <v>0.27793995843673863</v>
      </c>
      <c r="DG6" s="8">
        <f t="shared" si="40"/>
        <v>-0.44425085196664527</v>
      </c>
      <c r="DH6" s="8">
        <f t="shared" si="41"/>
        <v>0</v>
      </c>
      <c r="DI6" s="8">
        <f t="shared" ref="DI6:DI13" si="48">BM6*BY6</f>
        <v>0</v>
      </c>
      <c r="DJ6" s="8">
        <f t="shared" si="42"/>
        <v>0</v>
      </c>
      <c r="DV6" s="8"/>
      <c r="DW6" s="8"/>
      <c r="DX6" s="8"/>
      <c r="DY6" s="8"/>
      <c r="DZ6" s="8"/>
      <c r="EA6" s="8"/>
      <c r="EB6" s="8"/>
      <c r="EC6" s="8"/>
      <c r="ED6" s="8"/>
      <c r="EE6" s="8"/>
    </row>
    <row r="7" spans="1:135" x14ac:dyDescent="0.25">
      <c r="A7">
        <v>2015</v>
      </c>
      <c r="B7" s="13">
        <f>SUMIFS(Dane!$D$4:$D$2463,Dane!$A$4:$A$2463,'Trójkąty skumulowane'!$A$1,Dane!$H$4:$H$2463,'Trójkąty skumulowane'!$A7,Dane!$I$4:$I$2463,$A7+B$3)</f>
        <v>1189810.0064459562</v>
      </c>
      <c r="C7" s="13">
        <f>SUMIFS(Dane!$D$4:$D$2463,Dane!$A$4:$A$2463,'Trójkąty skumulowane'!$A$1,Dane!$H$4:$H$2463,'Trójkąty skumulowane'!$A7,Dane!$I$4:$I$2463,$A7+C$3)+B7</f>
        <v>2530869.5952481655</v>
      </c>
      <c r="D7" s="13">
        <f>SUMIFS(Dane!$D$4:$D$2463,Dane!$A$4:$A$2463,'Trójkąty skumulowane'!$A$1,Dane!$H$4:$H$2463,'Trójkąty skumulowane'!$A7,Dane!$I$4:$I$2463,$A7+D$3)+C7</f>
        <v>3096984.4536133888</v>
      </c>
      <c r="E7" s="13">
        <f>SUMIFS(Dane!$D$4:$D$2463,Dane!$A$4:$A$2463,'Trójkąty skumulowane'!$A$1,Dane!$H$4:$H$2463,'Trójkąty skumulowane'!$A7,Dane!$I$4:$I$2463,$A7+E$3)+D7</f>
        <v>3877846.3341324432</v>
      </c>
      <c r="F7" s="13">
        <f>SUMIFS(Dane!$D$4:$D$2463,Dane!$A$4:$A$2463,'Trójkąty skumulowane'!$A$1,Dane!$H$4:$H$2463,'Trójkąty skumulowane'!$A7,Dane!$I$4:$I$2463,$A7+F$3)+E7</f>
        <v>4804008.5771144684</v>
      </c>
      <c r="G7" s="13">
        <f>SUMIFS(Dane!$D$4:$D$2463,Dane!$A$4:$A$2463,'Trójkąty skumulowane'!$A$1,Dane!$H$4:$H$2463,'Trójkąty skumulowane'!$A7,Dane!$I$4:$I$2463,$A7+G$3)+F7</f>
        <v>5254496.0051183002</v>
      </c>
      <c r="H7" s="13">
        <f>SUMIFS(Dane!$D$4:$D$2463,Dane!$A$4:$A$2463,'Trójkąty skumulowane'!$A$1,Dane!$H$4:$H$2463,'Trójkąty skumulowane'!$A7,Dane!$I$4:$I$2463,$A7+H$3)+G7</f>
        <v>5569311.1871171584</v>
      </c>
      <c r="I7" s="14">
        <f>$H7*($I$16+$DO$7*($AH$7/$AH$10)*(($T$7/$H$7)-$AH$6))</f>
        <v>5886012.2362374421</v>
      </c>
      <c r="J7" s="14">
        <f t="shared" ref="J7:J13" si="49">$I7*($J$16+$DO$7*($AI$7/$AI$10)*(($U$6/$I$6)-$AI$6))</f>
        <v>6188711.1677423725</v>
      </c>
      <c r="K7" s="14">
        <f t="shared" si="43"/>
        <v>6391565.6705716513</v>
      </c>
      <c r="L7" s="14">
        <f>K7-H7</f>
        <v>822254.48345449287</v>
      </c>
      <c r="M7">
        <v>2015</v>
      </c>
      <c r="N7" s="13">
        <f>SUMIFS(Dane!$J$4:$J$2463,Dane!$A$4:$A$2463,'Trójkąty skumulowane'!$A$1,Dane!$H$4:$H$2463,'Trójkąty skumulowane'!$A7,Dane!$I$4:$I$2463,$M7+N$3)</f>
        <v>7728654.9382386552</v>
      </c>
      <c r="O7" s="13">
        <f>SUMIFS(Dane!$J$4:$J$2463,Dane!$A$4:$A$2463,'Trójkąty skumulowane'!$A$1,Dane!$H$4:$H$2463,'Trójkąty skumulowane'!$A7,Dane!$I$4:$I$2463,$M7+O$3)+N7</f>
        <v>21348249.243139196</v>
      </c>
      <c r="P7" s="13">
        <f>SUMIFS(Dane!$J$4:$J$2463,Dane!$A$4:$A$2463,'Trójkąty skumulowane'!$A$1,Dane!$H$4:$H$2463,'Trójkąty skumulowane'!$A7,Dane!$I$4:$I$2463,$M7+P$3)+O7</f>
        <v>34289219.011198446</v>
      </c>
      <c r="Q7" s="13">
        <f>SUMIFS(Dane!$J$4:$J$2463,Dane!$A$4:$A$2463,'Trójkąty skumulowane'!$A$1,Dane!$H$4:$H$2463,'Trójkąty skumulowane'!$A7,Dane!$I$4:$I$2463,$M7+Q$3)+P7</f>
        <v>46885827.258679166</v>
      </c>
      <c r="R7" s="13">
        <f>SUMIFS(Dane!$J$4:$J$2463,Dane!$A$4:$A$2463,'Trójkąty skumulowane'!$A$1,Dane!$H$4:$H$2463,'Trójkąty skumulowane'!$A7,Dane!$I$4:$I$2463,$M7+R$3)+Q7</f>
        <v>57499992.681516454</v>
      </c>
      <c r="S7" s="13">
        <f>SUMIFS(Dane!$J$4:$J$2463,Dane!$A$4:$A$2463,'Trójkąty skumulowane'!$A$1,Dane!$H$4:$H$2463,'Trójkąty skumulowane'!$A7,Dane!$I$4:$I$2463,$M7+S$3)+R7</f>
        <v>65787924.647936709</v>
      </c>
      <c r="T7" s="13">
        <f>SUMIFS(Dane!$J$4:$J$2463,Dane!$A$4:$A$2463,'Trójkąty skumulowane'!$A$1,Dane!$H$4:$H$2463,'Trójkąty skumulowane'!$A7,Dane!$I$4:$I$2463,$M7+T$3)+S7</f>
        <v>73227998.630733475</v>
      </c>
      <c r="U7" s="13">
        <f>SUMIFS(Dane!$J$4:$J$2463,Dane!$A$4:$A$2463,'Trójkąty skumulowane'!$A$1,Dane!$H$4:$H$2463,'Trójkąty skumulowane'!$A7,Dane!$I$4:$I$2463,$M7+U$3)</f>
        <v>0</v>
      </c>
      <c r="V7" s="13">
        <f>SUMIFS(Dane!$J$4:$J$2463,Dane!$A$4:$A$2463,'Trójkąty skumulowane'!$A$1,Dane!$H$4:$H$2463,'Trójkąty skumulowane'!$A7,Dane!$I$4:$I$2463,$M7+V$3)+U7</f>
        <v>0</v>
      </c>
      <c r="W7" s="13">
        <f>SUMIFS(Dane!$J$4:$J$2463,Dane!$A$4:$A$2463,'Trójkąty skumulowane'!$A$1,Dane!$H$4:$H$2463,'Trójkąty skumulowane'!$A7,Dane!$I$4:$I$2463,$M7+W$3)+V7</f>
        <v>0</v>
      </c>
      <c r="X7" s="11"/>
      <c r="AA7" t="s">
        <v>38</v>
      </c>
      <c r="AB7">
        <f>SQRT(1/(8-$AB4)*(B4*(C4/B4-C16)^2+B5*(C5/B5-C16)^2+B6*(C6/B6-C16)^2+B7*(C7/B7-C16)^2+B8*(C8/B8-C16)^2+B9*(C9/B9-C16)^2+B10*(C10/B10-C16)^2+B11*(C11/B11-C16)^2+B12*(C12/B12-C16)^2))</f>
        <v>167.96214002753575</v>
      </c>
      <c r="AC7">
        <f>SQRT(1/(8-AC4)*(C4*(D4/C4-D16)^2+C5*(D5/C5-D16)^2+C6*(D6/C6-D16)^2+C7*(D7/C7-D16)^2+C8*(D8/C8-D16)^2+C9*(D9/C9-D16)^2+C10*(D10/C10-D16)^2+C11*(D11/C11-D16)^2))</f>
        <v>62.596589597405831</v>
      </c>
      <c r="AD7">
        <f>SQRT(1/(8-AD4)*(D4*(E4/D4-E16)^2+D5*(E5/D5-E16)^2+D6*(E6/D6-E16)^2+D7*(E7/D7-E16)^2+D8*(E8/D8-E16)^2+D9*(E9/D9-E16)^2+D10*(E10/D10-E16)^2))</f>
        <v>76.94542927214755</v>
      </c>
      <c r="AE7">
        <f>SQRT(1/(8-AE4)*(E4*(F4/E4-F16)^2+E5*(F5/E5-F16)^2+E6*(F6/E6-F16)^2+E7*(F7/E7-F16)^2+E8*(F8/E8-F16)^2+E9*(F9/E9-F16)^2))</f>
        <v>116.68520529901383</v>
      </c>
      <c r="AF7">
        <f>SQRT(1/(8-AF4)*(F4*(G4/F4-G16)^2+F5*(G5/F5-G16)^2+F6*(G6/F6-G16)^2+F7*(G7/F7-G16)^2+F8*(G8/F8-G16)^2))</f>
        <v>57.130735822967857</v>
      </c>
      <c r="AG7">
        <f>SQRT(1/(8-AG4)*(G4*(H4/G4-H16)^2+G5*(H5/G5-H16)^2+G6*(H6/G6-H16)^2+G7*(H7/G7-H16)^2))</f>
        <v>21.812140478518383</v>
      </c>
      <c r="AH7">
        <f>SQRT(1/(8-AH4)*(H4*(I4/H4-I16)^2+H5*(I5/H5-I16)^2+H6*(I6/H6-I16)^2))</f>
        <v>49.981447186320622</v>
      </c>
      <c r="AI7">
        <f>SQRT(1/(8-AI4)*(I4*(J4/I4-J16)^2+I5*(J5/I5-J16)^2))</f>
        <v>70.873874324172789</v>
      </c>
      <c r="AJ7" s="8">
        <v>0.1</v>
      </c>
      <c r="AK7" s="74" t="s">
        <v>39</v>
      </c>
      <c r="AL7" s="74"/>
      <c r="AM7" s="74"/>
      <c r="AR7">
        <v>3</v>
      </c>
      <c r="AS7" s="21">
        <f>(C$7/B$7-C$16)/AB$7*SQRT(B$7)</f>
        <v>0.16017313875468342</v>
      </c>
      <c r="AT7" s="21">
        <f t="shared" ref="AT7:AX7" si="50">(D$7/C$7-D$16)/AC$7*SQRT(C$7)</f>
        <v>-0.82288494788971056</v>
      </c>
      <c r="AU7" s="21">
        <f t="shared" si="50"/>
        <v>1.6931551615234459</v>
      </c>
      <c r="AV7" s="21">
        <f t="shared" si="50"/>
        <v>1.9813957490909346</v>
      </c>
      <c r="AW7" s="21">
        <f t="shared" si="50"/>
        <v>-5.9003136402928875E-2</v>
      </c>
      <c r="AX7" s="21">
        <f t="shared" si="50"/>
        <v>0.61721232453235553</v>
      </c>
      <c r="AY7" s="60">
        <v>0</v>
      </c>
      <c r="AZ7" s="21">
        <v>0</v>
      </c>
      <c r="BA7" s="8">
        <v>0</v>
      </c>
      <c r="BB7" s="8">
        <v>0</v>
      </c>
      <c r="BD7">
        <v>3</v>
      </c>
      <c r="BE7" s="8">
        <f t="shared" si="46"/>
        <v>0.93992982857604301</v>
      </c>
      <c r="BF7" s="8">
        <f t="shared" si="7"/>
        <v>0.48775110169976094</v>
      </c>
      <c r="BG7" s="8">
        <f t="shared" si="7"/>
        <v>1.5981135370457902</v>
      </c>
      <c r="BH7" s="8">
        <f t="shared" si="7"/>
        <v>0.57103824972990291</v>
      </c>
      <c r="BI7" s="8">
        <f t="shared" si="7"/>
        <v>0.4500213814143938</v>
      </c>
      <c r="BJ7" s="8">
        <f t="shared" si="7"/>
        <v>1.1137059505382882</v>
      </c>
      <c r="BK7" s="8">
        <v>0</v>
      </c>
      <c r="BL7" s="21">
        <v>0</v>
      </c>
      <c r="BM7" s="8">
        <v>0</v>
      </c>
      <c r="BN7" s="8">
        <v>0</v>
      </c>
      <c r="BP7">
        <v>3</v>
      </c>
      <c r="BQ7" s="8">
        <f t="shared" si="8"/>
        <v>-0.44049110028291322</v>
      </c>
      <c r="BR7" s="8">
        <f t="shared" si="9"/>
        <v>-1.527064331960339</v>
      </c>
      <c r="BS7" s="8">
        <f t="shared" si="10"/>
        <v>-1.680889210488381</v>
      </c>
      <c r="BT7" s="8">
        <f t="shared" si="11"/>
        <v>-1.3002919077084674</v>
      </c>
      <c r="BU7" s="8">
        <f t="shared" si="12"/>
        <v>1.0271288838887356</v>
      </c>
      <c r="BV7" s="8">
        <f t="shared" si="13"/>
        <v>0.88167650852108037</v>
      </c>
      <c r="BW7" s="8">
        <f t="shared" si="14"/>
        <v>0.37856465106255222</v>
      </c>
      <c r="BX7" s="8">
        <v>0</v>
      </c>
      <c r="BY7" s="8">
        <v>0</v>
      </c>
      <c r="BZ7" s="8">
        <v>0</v>
      </c>
      <c r="CB7">
        <v>3</v>
      </c>
      <c r="CC7" s="8">
        <f t="shared" si="17"/>
        <v>0.56656351720312081</v>
      </c>
      <c r="CD7" s="8">
        <f t="shared" si="18"/>
        <v>1.5815048805394716</v>
      </c>
      <c r="CE7" s="8">
        <f t="shared" si="19"/>
        <v>1.7459463539633318</v>
      </c>
      <c r="CF7" s="8">
        <f t="shared" si="20"/>
        <v>1.3498349655964224</v>
      </c>
      <c r="CG7" s="8">
        <f t="shared" si="21"/>
        <v>-1.0059347350198697</v>
      </c>
      <c r="CH7" s="8">
        <f t="shared" si="22"/>
        <v>-0.87636854895353256</v>
      </c>
      <c r="CI7" s="8">
        <f t="shared" si="23"/>
        <v>-0.37986485236784329</v>
      </c>
      <c r="CJ7" s="8">
        <v>0</v>
      </c>
      <c r="CK7" s="8">
        <v>0</v>
      </c>
      <c r="CL7" s="8">
        <v>0</v>
      </c>
      <c r="CN7">
        <v>3</v>
      </c>
      <c r="CO7" s="8">
        <f t="shared" si="26"/>
        <v>9.0748256854316936E-2</v>
      </c>
      <c r="CP7" s="8">
        <f t="shared" si="27"/>
        <v>-1.301396561210046</v>
      </c>
      <c r="CQ7" s="8">
        <f t="shared" si="28"/>
        <v>2.9561580809560564</v>
      </c>
      <c r="CR7" s="8">
        <f t="shared" si="29"/>
        <v>2.6745572628070593</v>
      </c>
      <c r="CS7" s="8">
        <f t="shared" si="30"/>
        <v>5.9353304382821485E-2</v>
      </c>
      <c r="CT7" s="8">
        <f t="shared" si="31"/>
        <v>-0.54090546924665728</v>
      </c>
      <c r="CU7" s="8">
        <f>AY7*CI7</f>
        <v>0</v>
      </c>
      <c r="CV7" s="8">
        <f t="shared" si="33"/>
        <v>0</v>
      </c>
      <c r="CW7" s="8">
        <f t="shared" si="47"/>
        <v>0</v>
      </c>
      <c r="CX7" s="8"/>
      <c r="CZ7">
        <v>3</v>
      </c>
      <c r="DA7" s="8">
        <f t="shared" si="34"/>
        <v>-0.41403072437819122</v>
      </c>
      <c r="DB7" s="8">
        <f t="shared" si="35"/>
        <v>-0.74482731028006477</v>
      </c>
      <c r="DC7" s="8">
        <f t="shared" si="36"/>
        <v>-2.6862518015556924</v>
      </c>
      <c r="DD7" s="8">
        <f t="shared" si="37"/>
        <v>-0.74251641511579969</v>
      </c>
      <c r="DE7" s="8">
        <f t="shared" si="38"/>
        <v>0.46222995921823329</v>
      </c>
      <c r="DF7" s="8">
        <f t="shared" si="39"/>
        <v>0.98192837398974897</v>
      </c>
      <c r="DG7" s="8">
        <f t="shared" si="40"/>
        <v>0</v>
      </c>
      <c r="DH7" s="8">
        <f t="shared" si="41"/>
        <v>0</v>
      </c>
      <c r="DI7" s="8">
        <f t="shared" si="48"/>
        <v>0</v>
      </c>
      <c r="DJ7" s="8">
        <f t="shared" si="42"/>
        <v>0</v>
      </c>
      <c r="DN7" t="s">
        <v>40</v>
      </c>
      <c r="DO7">
        <f>CR15/CF15</f>
        <v>0.26932711254421937</v>
      </c>
      <c r="DV7" s="8"/>
      <c r="DW7" s="8"/>
      <c r="DX7" s="8"/>
      <c r="DY7" s="8"/>
      <c r="DZ7" s="8"/>
      <c r="EA7" s="8"/>
      <c r="EB7" s="8"/>
      <c r="EC7" s="8"/>
      <c r="ED7" s="8"/>
      <c r="EE7" s="8"/>
    </row>
    <row r="8" spans="1:135" x14ac:dyDescent="0.25">
      <c r="A8">
        <v>2016</v>
      </c>
      <c r="B8" s="13">
        <f>SUMIFS(Dane!$D$4:$D$2463,Dane!$A$4:$A$2463,'Trójkąty skumulowane'!$A$1,Dane!$H$4:$H$2463,'Trójkąty skumulowane'!$A8,Dane!$I$4:$I$2463,$A8+B$3)</f>
        <v>1306513.6047854258</v>
      </c>
      <c r="C8" s="13">
        <f>SUMIFS(Dane!$D$4:$D$2463,Dane!$A$4:$A$2463,'Trójkąty skumulowane'!$A$1,Dane!$H$4:$H$2463,'Trójkąty skumulowane'!$A8,Dane!$I$4:$I$2463,$A8+C$3)+B8</f>
        <v>2773697.3594055078</v>
      </c>
      <c r="D8" s="13">
        <f>SUMIFS(Dane!$D$4:$D$2463,Dane!$A$4:$A$2463,'Trójkąty skumulowane'!$A$1,Dane!$H$4:$H$2463,'Trójkąty skumulowane'!$A8,Dane!$I$4:$I$2463,$A8+D$3)+C8</f>
        <v>3527548.34662739</v>
      </c>
      <c r="E8" s="13">
        <f>SUMIFS(Dane!$D$4:$D$2463,Dane!$A$4:$A$2463,'Trójkąty skumulowane'!$A$1,Dane!$H$4:$H$2463,'Trójkąty skumulowane'!$A8,Dane!$I$4:$I$2463,$A8+E$3)+D8</f>
        <v>4125343.1103807935</v>
      </c>
      <c r="F8" s="13">
        <f>SUMIFS(Dane!$D$4:$D$2463,Dane!$A$4:$A$2463,'Trójkąty skumulowane'!$A$1,Dane!$H$4:$H$2463,'Trójkąty skumulowane'!$A8,Dane!$I$4:$I$2463,$A8+F$3)+E8</f>
        <v>4521858.2407059222</v>
      </c>
      <c r="G8" s="13">
        <f>SUMIFS(Dane!$D$4:$D$2463,Dane!$A$4:$A$2463,'Trójkąty skumulowane'!$A$1,Dane!$H$4:$H$2463,'Trójkąty skumulowane'!$A8,Dane!$I$4:$I$2463,$A8+G$3)+F8</f>
        <v>4942201.9018943151</v>
      </c>
      <c r="H8" s="14">
        <f>$G8*($H$16+$DO$7*($AG$7/$AG$10)*(($S$8/$G$8)-$AG$6))</f>
        <v>5222225.1649144562</v>
      </c>
      <c r="I8" s="14">
        <f t="shared" ref="I8:I13" si="51">$H8*($I$16+$DO$7*($AH$7/$AH$10)*(($T$7/$H$7)-$AH$6))</f>
        <v>5519189.032240903</v>
      </c>
      <c r="J8" s="14">
        <f t="shared" si="49"/>
        <v>5803023.4103870476</v>
      </c>
      <c r="K8" s="14">
        <f t="shared" si="43"/>
        <v>5993235.7820608988</v>
      </c>
      <c r="L8" s="14">
        <f>K8-G8</f>
        <v>1051033.8801665837</v>
      </c>
      <c r="M8">
        <v>2016</v>
      </c>
      <c r="N8" s="13">
        <f>SUMIFS(Dane!$J$4:$J$2463,Dane!$A$4:$A$2463,'Trójkąty skumulowane'!$A$1,Dane!$H$4:$H$2463,'Trójkąty skumulowane'!$A8,Dane!$I$4:$I$2463,$M8+N$3)</f>
        <v>7932441.7296596244</v>
      </c>
      <c r="O8" s="13">
        <f>SUMIFS(Dane!$J$4:$J$2463,Dane!$A$4:$A$2463,'Trójkąty skumulowane'!$A$1,Dane!$H$4:$H$2463,'Trójkąty skumulowane'!$A8,Dane!$I$4:$I$2463,$M8+O$3)+N8</f>
        <v>22809841.717422321</v>
      </c>
      <c r="P8" s="13">
        <f>SUMIFS(Dane!$J$4:$J$2463,Dane!$A$4:$A$2463,'Trójkąty skumulowane'!$A$1,Dane!$H$4:$H$2463,'Trójkąty skumulowane'!$A8,Dane!$I$4:$I$2463,$M8+P$3)+O8</f>
        <v>37109393.534407973</v>
      </c>
      <c r="Q8" s="13">
        <f>SUMIFS(Dane!$J$4:$J$2463,Dane!$A$4:$A$2463,'Trójkąty skumulowane'!$A$1,Dane!$H$4:$H$2463,'Trójkąty skumulowane'!$A8,Dane!$I$4:$I$2463,$M8+Q$3)+P8</f>
        <v>48808519.132520214</v>
      </c>
      <c r="R8" s="13">
        <f>SUMIFS(Dane!$J$4:$J$2463,Dane!$A$4:$A$2463,'Trójkąty skumulowane'!$A$1,Dane!$H$4:$H$2463,'Trójkąty skumulowane'!$A8,Dane!$I$4:$I$2463,$M8+R$3)+Q8</f>
        <v>57963836.849617273</v>
      </c>
      <c r="S8" s="13">
        <f>SUMIFS(Dane!$J$4:$J$2463,Dane!$A$4:$A$2463,'Trójkąty skumulowane'!$A$1,Dane!$H$4:$H$2463,'Trójkąty skumulowane'!$A8,Dane!$I$4:$I$2463,$M8+S$3)+R8</f>
        <v>66088400.458106309</v>
      </c>
      <c r="T8" s="13">
        <f>SUMIFS(Dane!$J$4:$J$2463,Dane!$A$4:$A$2463,'Trójkąty skumulowane'!$A$1,Dane!$H$4:$H$2463,'Trójkąty skumulowane'!$A8,Dane!$I$4:$I$2463,$M8+T$3)</f>
        <v>0</v>
      </c>
      <c r="U8" s="13">
        <f>SUMIFS(Dane!$J$4:$J$2463,Dane!$A$4:$A$2463,'Trójkąty skumulowane'!$A$1,Dane!$H$4:$H$2463,'Trójkąty skumulowane'!$A8,Dane!$I$4:$I$2463,$M8+U$3)+T8</f>
        <v>0</v>
      </c>
      <c r="V8" s="13">
        <f>SUMIFS(Dane!$J$4:$J$2463,Dane!$A$4:$A$2463,'Trójkąty skumulowane'!$A$1,Dane!$H$4:$H$2463,'Trójkąty skumulowane'!$A8,Dane!$I$4:$I$2463,$M8+V$3)+U8</f>
        <v>0</v>
      </c>
      <c r="W8" s="13">
        <f>SUMIFS(Dane!$J$4:$J$2463,Dane!$A$4:$A$2463,'Trójkąty skumulowane'!$A$1,Dane!$H$4:$H$2463,'Trójkąty skumulowane'!$A8,Dane!$I$4:$I$2463,$M8+W$3)+V8</f>
        <v>0</v>
      </c>
      <c r="X8" s="11"/>
      <c r="AA8" t="s">
        <v>41</v>
      </c>
      <c r="AB8">
        <f>SQRT(1/(8-AB4)*(N4*(O4/N4-O16)^2+N5*(O5/N5-O16)^2+N6*(O6/N6-O16)^2+N7*(O7/N7-O16)^2+N8*(O8/N8-O16)^2+N9*(O9/N9-O16)^2+N10*(O10/N10-O16)^2+N11*(O11/N11-O16)^2+N12*(O12/N12-O16)^2))</f>
        <v>251.51024928930195</v>
      </c>
      <c r="AC8">
        <f>SQRT(1/(8-AC4)*(O4*(P4/O4-P16)^2+O5*(P5/O5-P16)^2+O6*(P6/O6-P16)^2+O7*(P7/O7-P16)^2+O8*(P8/O8-P16)^2+O9*(P9/O9-P16)^2+O10*(P10/O10-P16)^2+O11*(P11/O11-P16)^2))</f>
        <v>189.18605462412481</v>
      </c>
      <c r="AD8">
        <f>SQRT(1/(8-AD4)*(P4*(Q4/P4-Q16)^2+P5*(Q5/P5-Q16)^2+P6*(Q6/P6-Q16)^2+P7*(Q7/P7-Q16)^2+P8*(Q8/P8-Q16)^2+P9*(Q9/P9-Q16)^2+P10*(Q10/P10-Q16)^2))</f>
        <v>127.20955238345469</v>
      </c>
      <c r="AE8">
        <f>SQRT(1/(8-AE4)*(Q4*(R4/Q4-R16)^2+Q5*(R5/Q5-R16)^2+Q6*(R6/Q6-R16)^2+Q7*(R7/Q7-R16)^2+Q8*(R8/Q8-R16)^2+Q9*(R9/Q9-R16)^2))</f>
        <v>129.8625476182464</v>
      </c>
      <c r="AF8">
        <f>SQRT(1/(8-AF4)*(R4*(S4/R4-S16)^2+R5*(S5/R5-S16)^2+R6*(S6/R6-S16)^2+R7*(S7/R7-S16)^2+R8*(S8/R8-S16)^2))</f>
        <v>89.72294108789572</v>
      </c>
      <c r="AG8">
        <f>SQRT(1/(8-AG4)*(S4*(T4/S4-T16)^2+S5*(T5/S5-T16)^2+S6*(T6/S6-T16)^2+S7*(T7/S7-T16)^2))</f>
        <v>79.612704622956898</v>
      </c>
      <c r="AH8">
        <f>SQRT(1/(8-AH4)*(T4*(U4/T4-U16)^2+T5*(U5/T5-U16)^2+T6*(U6/T6-U16)^2))</f>
        <v>101.7160545158073</v>
      </c>
      <c r="AI8">
        <f>SQRT(1/(8-AI4)*(U4*(V4/U4-V16)^2+U5*(V5/U5-V16)^2))</f>
        <v>90.759488513929099</v>
      </c>
      <c r="AJ8">
        <v>0.1</v>
      </c>
      <c r="AK8" s="74" t="s">
        <v>39</v>
      </c>
      <c r="AL8" s="74"/>
      <c r="AM8" s="74"/>
      <c r="AR8">
        <v>4</v>
      </c>
      <c r="AS8" s="21">
        <f>(C$8/B$8-C$16)/AB$7*SQRT(B$8)</f>
        <v>0.13964011941209772</v>
      </c>
      <c r="AT8" s="21">
        <f t="shared" ref="AT8:AW8" si="52">(D$8/C$8-D$16)/AC$7*SQRT(C$8)</f>
        <v>0.41833342940637852</v>
      </c>
      <c r="AU8" s="21">
        <f t="shared" si="52"/>
        <v>-0.21092349854746692</v>
      </c>
      <c r="AV8" s="21">
        <f t="shared" si="52"/>
        <v>-0.44057711453568721</v>
      </c>
      <c r="AW8" s="21">
        <f t="shared" si="52"/>
        <v>-8.7581872449569068E-2</v>
      </c>
      <c r="AX8" s="60">
        <v>0</v>
      </c>
      <c r="AY8" s="21">
        <v>0</v>
      </c>
      <c r="AZ8" s="8">
        <v>0</v>
      </c>
      <c r="BA8" s="8">
        <v>0</v>
      </c>
      <c r="BB8" s="8">
        <v>0</v>
      </c>
      <c r="BD8">
        <v>4</v>
      </c>
      <c r="BE8" s="8">
        <f t="shared" si="46"/>
        <v>2.2209150100896036</v>
      </c>
      <c r="BF8" s="8">
        <f t="shared" si="7"/>
        <v>1.0272083754558314</v>
      </c>
      <c r="BG8" s="8">
        <f t="shared" si="7"/>
        <v>-0.83254927027163494</v>
      </c>
      <c r="BH8" s="8">
        <f t="shared" si="7"/>
        <v>-1.5050998706096257</v>
      </c>
      <c r="BI8" s="8">
        <f t="shared" si="7"/>
        <v>0.11480008687649625</v>
      </c>
      <c r="BJ8" s="8">
        <v>0</v>
      </c>
      <c r="BK8" s="21">
        <v>0</v>
      </c>
      <c r="BL8" s="8">
        <v>0</v>
      </c>
      <c r="BM8" s="8">
        <v>0</v>
      </c>
      <c r="BN8" s="8">
        <v>0</v>
      </c>
      <c r="BP8">
        <v>4</v>
      </c>
      <c r="BQ8" s="8">
        <f t="shared" si="8"/>
        <v>-0.15262766822322676</v>
      </c>
      <c r="BR8" s="8">
        <f t="shared" si="9"/>
        <v>-1.0341724818823017</v>
      </c>
      <c r="BS8" s="8">
        <f t="shared" si="10"/>
        <v>-0.92944624521386532</v>
      </c>
      <c r="BT8" s="8">
        <f t="shared" si="11"/>
        <v>-0.86298034695795167</v>
      </c>
      <c r="BU8" s="8">
        <f t="shared" si="12"/>
        <v>-1.1721094795904416</v>
      </c>
      <c r="BV8" s="8">
        <f t="shared" si="13"/>
        <v>-0.96490112429864339</v>
      </c>
      <c r="BW8" s="8">
        <v>0</v>
      </c>
      <c r="BX8" s="8">
        <v>0</v>
      </c>
      <c r="BY8" s="8">
        <v>0</v>
      </c>
      <c r="BZ8" s="8">
        <v>0</v>
      </c>
      <c r="CB8">
        <v>4</v>
      </c>
      <c r="CC8" s="8">
        <f t="shared" si="17"/>
        <v>0.18979207030149625</v>
      </c>
      <c r="CD8" s="8">
        <f t="shared" si="18"/>
        <v>1.0575271645786308</v>
      </c>
      <c r="CE8" s="8">
        <f t="shared" si="19"/>
        <v>0.94104900579251838</v>
      </c>
      <c r="CF8" s="8">
        <f t="shared" si="20"/>
        <v>0.886202566777612</v>
      </c>
      <c r="CG8" s="8">
        <f t="shared" si="21"/>
        <v>1.1879581032514701</v>
      </c>
      <c r="CH8" s="8">
        <f t="shared" si="22"/>
        <v>0.99118596680991666</v>
      </c>
      <c r="CI8" s="8">
        <v>0</v>
      </c>
      <c r="CJ8" s="8">
        <v>0</v>
      </c>
      <c r="CK8" s="8">
        <v>0</v>
      </c>
      <c r="CL8" s="8">
        <v>0</v>
      </c>
      <c r="CN8">
        <v>4</v>
      </c>
      <c r="CO8" s="8">
        <f t="shared" si="26"/>
        <v>2.6502587360370183E-2</v>
      </c>
      <c r="CP8" s="8">
        <f t="shared" si="27"/>
        <v>0.44239896544858232</v>
      </c>
      <c r="CQ8" s="8">
        <f t="shared" si="28"/>
        <v>-0.19848934860637343</v>
      </c>
      <c r="CR8" s="8">
        <f t="shared" si="29"/>
        <v>-0.39044056976499997</v>
      </c>
      <c r="CS8" s="8">
        <f t="shared" si="30"/>
        <v>-0.10404359507440225</v>
      </c>
      <c r="CT8" s="8">
        <f t="shared" si="31"/>
        <v>0</v>
      </c>
      <c r="CU8" s="8">
        <f t="shared" si="32"/>
        <v>0</v>
      </c>
      <c r="CV8" s="8">
        <f t="shared" si="33"/>
        <v>0</v>
      </c>
      <c r="CW8" s="8">
        <f t="shared" si="47"/>
        <v>0</v>
      </c>
      <c r="CX8" s="8"/>
      <c r="CZ8">
        <v>4</v>
      </c>
      <c r="DA8" s="8">
        <f t="shared" si="34"/>
        <v>-0.33897307931194032</v>
      </c>
      <c r="DB8" s="8">
        <f t="shared" si="35"/>
        <v>-1.0623106350554443</v>
      </c>
      <c r="DC8" s="8">
        <f t="shared" si="36"/>
        <v>0.7738097932095146</v>
      </c>
      <c r="DD8" s="8">
        <f t="shared" si="37"/>
        <v>1.2988716085450629</v>
      </c>
      <c r="DE8" s="8">
        <f t="shared" si="38"/>
        <v>-0.1345582700857475</v>
      </c>
      <c r="DF8" s="8">
        <f t="shared" si="39"/>
        <v>0</v>
      </c>
      <c r="DG8" s="8">
        <f t="shared" si="40"/>
        <v>0</v>
      </c>
      <c r="DH8" s="8">
        <f t="shared" si="41"/>
        <v>0</v>
      </c>
      <c r="DI8" s="8">
        <f t="shared" si="48"/>
        <v>0</v>
      </c>
      <c r="DJ8" s="8">
        <f t="shared" si="42"/>
        <v>0</v>
      </c>
      <c r="DN8" t="s">
        <v>42</v>
      </c>
      <c r="DO8">
        <f>DD15/BT15</f>
        <v>-0.15087399226942935</v>
      </c>
      <c r="DV8" s="8"/>
      <c r="DW8" s="8"/>
      <c r="DX8" s="8"/>
      <c r="DY8" s="8"/>
      <c r="DZ8" s="8"/>
      <c r="EA8" s="8"/>
      <c r="EB8" s="8"/>
      <c r="EC8" s="8"/>
      <c r="ED8" s="8"/>
      <c r="EE8" s="8"/>
    </row>
    <row r="9" spans="1:135" x14ac:dyDescent="0.25">
      <c r="A9">
        <v>2017</v>
      </c>
      <c r="B9" s="13">
        <f>SUMIFS(Dane!$D$4:$D$2463,Dane!$A$4:$A$2463,'Trójkąty skumulowane'!$A$1,Dane!$H$4:$H$2463,'Trójkąty skumulowane'!$A9,Dane!$I$4:$I$2463,$A9+B$3)</f>
        <v>1300441.1763369546</v>
      </c>
      <c r="C9" s="13">
        <f>SUMIFS(Dane!$D$4:$D$2463,Dane!$A$4:$A$2463,'Trójkąty skumulowane'!$A$1,Dane!$H$4:$H$2463,'Trójkąty skumulowane'!$A9,Dane!$I$4:$I$2463,$A9+C$3)+B9</f>
        <v>2920987.7803644901</v>
      </c>
      <c r="D9" s="13">
        <f>SUMIFS(Dane!$D$4:$D$2463,Dane!$A$4:$A$2463,'Trójkąty skumulowane'!$A$1,Dane!$H$4:$H$2463,'Trójkąty skumulowane'!$A9,Dane!$I$4:$I$2463,$A9+D$3)+C9</f>
        <v>3700349.6056891792</v>
      </c>
      <c r="E9" s="13">
        <f>SUMIFS(Dane!$D$4:$D$2463,Dane!$A$4:$A$2463,'Trójkąty skumulowane'!$A$1,Dane!$H$4:$H$2463,'Trójkąty skumulowane'!$A9,Dane!$I$4:$I$2463,$A9+E$3)+D9</f>
        <v>4442914.2707381379</v>
      </c>
      <c r="F9" s="13">
        <f>SUMIFS(Dane!$D$4:$D$2463,Dane!$A$4:$A$2463,'Trójkąty skumulowane'!$A$1,Dane!$H$4:$H$2463,'Trójkąty skumulowane'!$A9,Dane!$I$4:$I$2463,$A9+F$3)+E9</f>
        <v>4813322.7351754596</v>
      </c>
      <c r="G9" s="14">
        <f>$F9*($G$16+$DO$7*($AF$7/$AF$10)*(($R$9/$F$9)-$AF$6))</f>
        <v>5246490.2438256377</v>
      </c>
      <c r="H9" s="14">
        <f t="shared" ref="H9:H13" si="53">$G9*($H$16+$DO$7*($AG$7/$AG$10)*(($S$8/$G$8)-$AG$6))</f>
        <v>5543754.3675184157</v>
      </c>
      <c r="I9" s="14">
        <f t="shared" si="51"/>
        <v>5859002.1181414239</v>
      </c>
      <c r="J9" s="14">
        <f t="shared" si="49"/>
        <v>6160312.0049826093</v>
      </c>
      <c r="K9" s="14">
        <f t="shared" si="43"/>
        <v>6362235.6357956873</v>
      </c>
      <c r="L9" s="14">
        <f>K9-F9</f>
        <v>1548912.9006202277</v>
      </c>
      <c r="M9">
        <v>2017</v>
      </c>
      <c r="N9" s="13">
        <f>SUMIFS(Dane!$J$4:$J$2463,Dane!$A$4:$A$2463,'Trójkąty skumulowane'!$A$1,Dane!$H$4:$H$2463,'Trójkąty skumulowane'!$A9,Dane!$I$4:$I$2463,$M9+N$3)</f>
        <v>8635928.6529552229</v>
      </c>
      <c r="O9" s="13">
        <f>SUMIFS(Dane!$J$4:$J$2463,Dane!$A$4:$A$2463,'Trójkąty skumulowane'!$A$1,Dane!$H$4:$H$2463,'Trójkąty skumulowane'!$A9,Dane!$I$4:$I$2463,$M9+O$3)+N9</f>
        <v>23056343.265268236</v>
      </c>
      <c r="P9" s="13">
        <f>SUMIFS(Dane!$J$4:$J$2463,Dane!$A$4:$A$2463,'Trójkąty skumulowane'!$A$1,Dane!$H$4:$H$2463,'Trójkąty skumulowane'!$A9,Dane!$I$4:$I$2463,$M9+P$3)+O9</f>
        <v>35690240.249603331</v>
      </c>
      <c r="Q9" s="13">
        <f>SUMIFS(Dane!$J$4:$J$2463,Dane!$A$4:$A$2463,'Trójkąty skumulowane'!$A$1,Dane!$H$4:$H$2463,'Trójkąty skumulowane'!$A9,Dane!$I$4:$I$2463,$M9+Q$3)+P9</f>
        <v>47015697.137931883</v>
      </c>
      <c r="R9" s="13">
        <f>SUMIFS(Dane!$J$4:$J$2463,Dane!$A$4:$A$2463,'Trójkąty skumulowane'!$A$1,Dane!$H$4:$H$2463,'Trójkąty skumulowane'!$A9,Dane!$I$4:$I$2463,$M9+R$3)+Q9</f>
        <v>58066891.013147183</v>
      </c>
      <c r="S9" s="13">
        <f>SUMIFS(Dane!$J$4:$J$2463,Dane!$A$4:$A$2463,'Trójkąty skumulowane'!$A$1,Dane!$H$4:$H$2463,'Trójkąty skumulowane'!$A9,Dane!$I$4:$I$2463,$M9+S$3)</f>
        <v>0</v>
      </c>
      <c r="T9" s="13">
        <f>SUMIFS(Dane!$J$4:$J$2463,Dane!$A$4:$A$2463,'Trójkąty skumulowane'!$A$1,Dane!$H$4:$H$2463,'Trójkąty skumulowane'!$A9,Dane!$I$4:$I$2463,$M9+T$3)+S9</f>
        <v>0</v>
      </c>
      <c r="U9" s="13">
        <f>SUMIFS(Dane!$J$4:$J$2463,Dane!$A$4:$A$2463,'Trójkąty skumulowane'!$A$1,Dane!$H$4:$H$2463,'Trójkąty skumulowane'!$A9,Dane!$I$4:$I$2463,$M9+U$3)+T9</f>
        <v>0</v>
      </c>
      <c r="V9" s="13">
        <f>SUMIFS(Dane!$J$4:$J$2463,Dane!$A$4:$A$2463,'Trójkąty skumulowane'!$A$1,Dane!$H$4:$H$2463,'Trójkąty skumulowane'!$A9,Dane!$I$4:$I$2463,$M9+V$3)+U9</f>
        <v>0</v>
      </c>
      <c r="W9" s="13">
        <f>SUMIFS(Dane!$J$4:$J$2463,Dane!$A$4:$A$2463,'Trójkąty skumulowane'!$A$1,Dane!$H$4:$H$2463,'Trójkąty skumulowane'!$A9,Dane!$I$4:$I$2463,$M9+W$3)+V9</f>
        <v>0</v>
      </c>
      <c r="X9" s="11"/>
      <c r="AA9" t="s">
        <v>43</v>
      </c>
      <c r="AB9">
        <f>SQRT(1/(9-AB4)*(N4*(B4/N4-AB5)^2+N5*(B5/N5-AB5)^2+N6*(B6/N6-AB5)^2+N7*(B7/N7-AB5)^2+N8*(B8/N8-AB5)^2+N9*(B9/N9-AB5)^2+N10*(B10/N10-AB5)^2+N11*(B11/N11-AB5)^2+N12*(B12/N12-AB5)^2+N13*(B13/N13-AB5)^2))</f>
        <v>103.18077517819346</v>
      </c>
      <c r="AC9">
        <f>SQRT(1/(9-AC4)*(O4*(C4/O4-AC5)^2+O5*(C5/O5-AC5)^2+O6*(C6/O6-AC5)^2+O7*(C7/O7-AC5)^2+O8*(C8/O8-AC5)^2+O9*(C9/O9-AC5)^2+O10*(C10/O10-AC5)^2+O11*(C11/O11-AC5)^2+O12*(C12/O12-AC5)^2))</f>
        <v>26.755879812783096</v>
      </c>
      <c r="AD9">
        <f>SQRT(1/(9-AD4)*(P4*(D4/P4-AD5)^2+P5*(D5/P5-AD5)^2+P6*(D6/P6-AD5)^2+P7*(D7/P7-AD5)^2+P8*(D8/P8-AD5)^2+P9*(D9/P9-AD5)^2+P10*(D10/P10-AD5)^2+P11*(D11/P11-AD5)^2))</f>
        <v>35.237331657790648</v>
      </c>
      <c r="AE9">
        <f>SQRT(1/(9-AE4)*(Q4*(E4/Q4-AE5)^2+Q5*(E5/Q5-AE5)^2+Q6*(E6/Q6-AE5)^2+Q7*(E7/Q7-AE5)^2+Q8*(E8/Q8-AE5)^2+Q9*(E9/Q9-AE5)^2+Q10*(E10/Q10-AE5)^2))</f>
        <v>27.310354427653142</v>
      </c>
      <c r="AF9">
        <f>SQRT(1/(9-AF4)*(R4*(F4/R4-AF5)^2+R5*(F5/R5-AF5)^2+R6*(F6/R6-AF5)^2+R7*(F7/R7-AF5)^2+R8*(F8/R8-AF5)^2+R9*(F9/R9-AF5)^2))</f>
        <v>19.129693008681464</v>
      </c>
      <c r="AG9">
        <f>SQRT(1/(9-AG4)*(S4*(G4/S4-AG5)^2+S5*(G5/S5-AG5)^2+S6*(G6/S6-AG5)^2+S7*(G7/S7-AG5)^2+S8*(G8/S8-AG5)^2))</f>
        <v>22.377682762121911</v>
      </c>
      <c r="AH9">
        <f>SQRT(1/(9-AH4)*(T4*(H4/T4-AH5)^2+T5*(H5/T5-AH5)^2+T6*(H6/T6-AH5)^2+T7*(H7/T7-AH5)^2))</f>
        <v>28.104330702988545</v>
      </c>
      <c r="AI9">
        <f>SQRT(1/(9-AI4)*(U4*(I4/U4-AI5)^2+U5*(I5/U5-AI5)^2+U6*(I6/U6-AI5)^2))</f>
        <v>29.892153300215899</v>
      </c>
      <c r="AJ9">
        <f>SQRT(1/(9-AJ4)*(V4*(J4/V4-AJ5)^2+V5*(J5/V5-AJ5)^2))</f>
        <v>19.298806369940436</v>
      </c>
      <c r="AR9">
        <v>5</v>
      </c>
      <c r="AS9" s="21">
        <f>(C$9/B$9-C$16)/AB$7*SQRT(B$9)</f>
        <v>0.97560555353970113</v>
      </c>
      <c r="AT9" s="21">
        <f t="shared" ref="AT9:AV9" si="54">(D$9/C$9-D$16)/AC$7*SQRT(C$9)</f>
        <v>0.29356940342624577</v>
      </c>
      <c r="AU9" s="21">
        <f t="shared" si="54"/>
        <v>0.5642078848690727</v>
      </c>
      <c r="AV9" s="21">
        <f t="shared" si="54"/>
        <v>-0.68747168033523132</v>
      </c>
      <c r="AW9" s="60">
        <v>0</v>
      </c>
      <c r="AX9" s="21">
        <v>0</v>
      </c>
      <c r="AY9" s="8">
        <v>0</v>
      </c>
      <c r="AZ9" s="8">
        <v>0</v>
      </c>
      <c r="BA9" s="8">
        <v>0</v>
      </c>
      <c r="BB9" s="8">
        <v>0</v>
      </c>
      <c r="BD9">
        <v>5</v>
      </c>
      <c r="BE9" s="8">
        <f t="shared" si="46"/>
        <v>-8.6099830318548135E-2</v>
      </c>
      <c r="BF9" s="8">
        <f t="shared" si="7"/>
        <v>-0.97095174600572431</v>
      </c>
      <c r="BG9" s="8">
        <f t="shared" si="7"/>
        <v>-0.71945171266718089</v>
      </c>
      <c r="BH9" s="8">
        <f t="shared" si="7"/>
        <v>1.0296106005877863</v>
      </c>
      <c r="BI9" s="8">
        <v>0</v>
      </c>
      <c r="BJ9" s="21">
        <v>0</v>
      </c>
      <c r="BK9" s="8">
        <v>0</v>
      </c>
      <c r="BL9" s="8">
        <v>0</v>
      </c>
      <c r="BM9" s="8">
        <v>0</v>
      </c>
      <c r="BN9" s="8">
        <v>0</v>
      </c>
      <c r="BP9">
        <v>5</v>
      </c>
      <c r="BQ9" s="8">
        <f t="shared" si="8"/>
        <v>-0.56140728111103377</v>
      </c>
      <c r="BR9" s="8">
        <f t="shared" si="9"/>
        <v>-0.12659713828611793</v>
      </c>
      <c r="BS9" s="8">
        <f t="shared" si="10"/>
        <v>0.5501860612853372</v>
      </c>
      <c r="BT9" s="8">
        <f t="shared" si="11"/>
        <v>1.6580805785603288</v>
      </c>
      <c r="BU9" s="8">
        <f t="shared" si="12"/>
        <v>0.77116106557153508</v>
      </c>
      <c r="BV9" s="8">
        <v>0</v>
      </c>
      <c r="BW9" s="8">
        <v>0</v>
      </c>
      <c r="BX9" s="8">
        <v>0</v>
      </c>
      <c r="BY9" s="8">
        <v>0</v>
      </c>
      <c r="BZ9" s="8">
        <v>0</v>
      </c>
      <c r="CB9">
        <v>5</v>
      </c>
      <c r="CC9" s="8">
        <f t="shared" si="17"/>
        <v>0.73010533922690657</v>
      </c>
      <c r="CD9" s="8">
        <f t="shared" si="18"/>
        <v>0.12682976514911556</v>
      </c>
      <c r="CE9" s="8">
        <f t="shared" si="19"/>
        <v>-0.5333907281979573</v>
      </c>
      <c r="CF9" s="8">
        <f t="shared" si="20"/>
        <v>-1.6103023470086317</v>
      </c>
      <c r="CG9" s="8">
        <f t="shared" si="21"/>
        <v>-0.75822787303097261</v>
      </c>
      <c r="CH9" s="8">
        <v>0</v>
      </c>
      <c r="CI9" s="8">
        <v>0</v>
      </c>
      <c r="CJ9" s="8">
        <v>0</v>
      </c>
      <c r="CK9" s="8">
        <v>0</v>
      </c>
      <c r="CL9" s="8">
        <v>0</v>
      </c>
      <c r="CN9">
        <v>5</v>
      </c>
      <c r="CO9" s="8">
        <f t="shared" si="26"/>
        <v>0.7122948236187574</v>
      </c>
      <c r="CP9" s="8">
        <f t="shared" si="27"/>
        <v>3.7233338491516714E-2</v>
      </c>
      <c r="CQ9" s="8">
        <f t="shared" si="28"/>
        <v>-0.30094325456534393</v>
      </c>
      <c r="CR9" s="8">
        <f t="shared" si="29"/>
        <v>1.1070372603457908</v>
      </c>
      <c r="CS9" s="8">
        <f t="shared" si="30"/>
        <v>0</v>
      </c>
      <c r="CT9" s="8">
        <f t="shared" si="31"/>
        <v>0</v>
      </c>
      <c r="CU9" s="8">
        <f t="shared" si="32"/>
        <v>0</v>
      </c>
      <c r="CV9" s="8">
        <f t="shared" si="33"/>
        <v>0</v>
      </c>
      <c r="CW9" s="8">
        <f t="shared" si="47"/>
        <v>0</v>
      </c>
      <c r="CX9" s="8"/>
      <c r="CZ9">
        <v>5</v>
      </c>
      <c r="DA9" s="8">
        <f t="shared" si="34"/>
        <v>4.8337071643257463E-2</v>
      </c>
      <c r="DB9" s="8">
        <f t="shared" si="35"/>
        <v>0.12291971245823434</v>
      </c>
      <c r="DC9" s="8">
        <f t="shared" si="36"/>
        <v>-0.39583230407734638</v>
      </c>
      <c r="DD9" s="8">
        <f t="shared" si="37"/>
        <v>1.7071773403144443</v>
      </c>
      <c r="DE9" s="8">
        <f t="shared" si="38"/>
        <v>0</v>
      </c>
      <c r="DF9" s="8">
        <f t="shared" si="39"/>
        <v>0</v>
      </c>
      <c r="DG9" s="8">
        <f t="shared" si="40"/>
        <v>0</v>
      </c>
      <c r="DH9" s="8">
        <f t="shared" si="41"/>
        <v>0</v>
      </c>
      <c r="DI9" s="8">
        <f t="shared" si="48"/>
        <v>0</v>
      </c>
      <c r="DJ9" s="8">
        <f t="shared" si="42"/>
        <v>0</v>
      </c>
      <c r="DV9" s="8"/>
      <c r="DW9" s="8"/>
      <c r="DX9" s="8"/>
      <c r="DY9" s="8"/>
      <c r="DZ9" s="8"/>
      <c r="EA9" s="8"/>
      <c r="EB9" s="8"/>
      <c r="EC9" s="8"/>
      <c r="ED9" s="8"/>
      <c r="EE9" s="8"/>
    </row>
    <row r="10" spans="1:135" x14ac:dyDescent="0.25">
      <c r="A10">
        <v>2018</v>
      </c>
      <c r="B10" s="13">
        <f>SUMIFS(Dane!$D$4:$D$2463,Dane!$A$4:$A$2463,'Trójkąty skumulowane'!$A$1,Dane!$H$4:$H$2463,'Trójkąty skumulowane'!$A10,Dane!$I$4:$I$2463,$A10+B$3)</f>
        <v>1397368.0926729222</v>
      </c>
      <c r="C10" s="13">
        <f>SUMIFS(Dane!$D$4:$D$2463,Dane!$A$4:$A$2463,'Trójkąty skumulowane'!$A$1,Dane!$H$4:$H$2463,'Trójkąty skumulowane'!$A10,Dane!$I$4:$I$2463,$A10+C$3)+B10</f>
        <v>3243490.0729121687</v>
      </c>
      <c r="D10" s="13">
        <f>SUMIFS(Dane!$D$4:$D$2463,Dane!$A$4:$A$2463,'Trójkąty skumulowane'!$A$1,Dane!$H$4:$H$2463,'Trójkąty skumulowane'!$A10,Dane!$I$4:$I$2463,$A10+D$3)+C10</f>
        <v>3964518.8150557899</v>
      </c>
      <c r="E10" s="13">
        <f>SUMIFS(Dane!$D$4:$D$2463,Dane!$A$4:$A$2463,'Trójkąty skumulowane'!$A$1,Dane!$H$4:$H$2463,'Trójkąty skumulowane'!$A10,Dane!$I$4:$I$2463,$A10+E$3)+D10</f>
        <v>4661705.3347352361</v>
      </c>
      <c r="F10" s="14">
        <f>$E10*($F$16+$DO$7*($AE$7/$AE$10)*(($Q$10/$E$10)-$AE$6))</f>
        <v>5215204.313858429</v>
      </c>
      <c r="G10" s="14">
        <f t="shared" ref="G10:G13" si="55">$F10*($G$16+$DO$7*($AF$7/$AF$10)*(($R$9/$F$9)-$AF$6))</f>
        <v>5684538.5314097833</v>
      </c>
      <c r="H10" s="14">
        <f t="shared" si="53"/>
        <v>6006622.3029608727</v>
      </c>
      <c r="I10" s="14">
        <f t="shared" si="51"/>
        <v>6348191.2189548975</v>
      </c>
      <c r="J10" s="14">
        <f t="shared" si="49"/>
        <v>6674658.5489302399</v>
      </c>
      <c r="K10" s="14">
        <f t="shared" si="43"/>
        <v>6893441.5079017067</v>
      </c>
      <c r="L10" s="14">
        <f>K10-E10</f>
        <v>2231736.1731664706</v>
      </c>
      <c r="M10">
        <v>2018</v>
      </c>
      <c r="N10" s="13">
        <f>SUMIFS(Dane!$J$4:$J$2463,Dane!$A$4:$A$2463,'Trójkąty skumulowane'!$A$1,Dane!$H$4:$H$2463,'Trójkąty skumulowane'!$A10,Dane!$I$4:$I$2463,$M10+N$3)</f>
        <v>9775804.7516274471</v>
      </c>
      <c r="O10" s="13">
        <f>SUMIFS(Dane!$J$4:$J$2463,Dane!$A$4:$A$2463,'Trójkąty skumulowane'!$A$1,Dane!$H$4:$H$2463,'Trójkąty skumulowane'!$A10,Dane!$I$4:$I$2463,$M10+O$3)+N10</f>
        <v>25813919.810431801</v>
      </c>
      <c r="P10" s="13">
        <f>SUMIFS(Dane!$J$4:$J$2463,Dane!$A$4:$A$2463,'Trójkąty skumulowane'!$A$1,Dane!$H$4:$H$2463,'Trójkąty skumulowane'!$A10,Dane!$I$4:$I$2463,$M10+P$3)+O10</f>
        <v>39565305.991250157</v>
      </c>
      <c r="Q10" s="13">
        <f>SUMIFS(Dane!$J$4:$J$2463,Dane!$A$4:$A$2463,'Trójkąty skumulowane'!$A$1,Dane!$H$4:$H$2463,'Trójkąty skumulowane'!$A10,Dane!$I$4:$I$2463,$M10+Q$3)+P10</f>
        <v>52621524.740543216</v>
      </c>
      <c r="R10" s="13">
        <f>SUMIFS(Dane!$J$4:$J$2463,Dane!$A$4:$A$2463,'Trójkąty skumulowane'!$A$1,Dane!$H$4:$H$2463,'Trójkąty skumulowane'!$A10,Dane!$I$4:$I$2463,$M10+R$3)</f>
        <v>0</v>
      </c>
      <c r="S10" s="13">
        <f>SUMIFS(Dane!$J$4:$J$2463,Dane!$A$4:$A$2463,'Trójkąty skumulowane'!$A$1,Dane!$H$4:$H$2463,'Trójkąty skumulowane'!$A10,Dane!$I$4:$I$2463,$M10+S$3)+R10</f>
        <v>0</v>
      </c>
      <c r="T10" s="13">
        <f>SUMIFS(Dane!$J$4:$J$2463,Dane!$A$4:$A$2463,'Trójkąty skumulowane'!$A$1,Dane!$H$4:$H$2463,'Trójkąty skumulowane'!$A10,Dane!$I$4:$I$2463,$M10+T$3)+S10</f>
        <v>0</v>
      </c>
      <c r="U10" s="13">
        <f>SUMIFS(Dane!$J$4:$J$2463,Dane!$A$4:$A$2463,'Trójkąty skumulowane'!$A$1,Dane!$H$4:$H$2463,'Trójkąty skumulowane'!$A10,Dane!$I$4:$I$2463,$M10+U$3)+T10</f>
        <v>0</v>
      </c>
      <c r="V10" s="13">
        <f>SUMIFS(Dane!$J$4:$J$2463,Dane!$A$4:$A$2463,'Trójkąty skumulowane'!$A$1,Dane!$H$4:$H$2463,'Trójkąty skumulowane'!$A10,Dane!$I$4:$I$2463,$M10+V$3)+U10</f>
        <v>0</v>
      </c>
      <c r="W10" s="13">
        <f>SUMIFS(Dane!$J$4:$J$2463,Dane!$A$4:$A$2463,'Trójkąty skumulowane'!$A$1,Dane!$H$4:$H$2463,'Trójkąty skumulowane'!$A10,Dane!$I$4:$I$2463,$M10+W$3)+V10</f>
        <v>0</v>
      </c>
      <c r="X10" s="11"/>
      <c r="AA10" t="s">
        <v>44</v>
      </c>
      <c r="AB10">
        <f>SQRT(1/(9-AB4)*(B4*(N4/B4-AB6)^2+B5*(N5/B5-AB6)^2+B6*(N6/B6-AB6)^2+B7*(N7/B7-AB6)^2+B8*(N8/B8-AB6)^2+B9*(N9/B9-AB6)^2+B10*(N10/B10-AB6)^2+B11*(N11/B11-AB6)^2+B12*(N12/B12-AB6)^2+B13*(N13/B13-AB6)^2))</f>
        <v>1200.5893431789957</v>
      </c>
      <c r="AC10">
        <f>SQRT(1/(9-AC4)*(C4*(O4/C4-AC6)^2+C5*(O5/C5-AC6)^2+C6*(O6/C6-AC6)^2+C7*(O7/C7-AC6)^2+C8*(O8/C8-AC6)^2+C9*(O9/C9-AC6)^2+C10*(O10/C10-AC6)^2+C11*(O11/C11-AC6)^2+C12*(O12/C12-AC6)^2))</f>
        <v>588.98125655328261</v>
      </c>
      <c r="AD10">
        <f>SQRT(1/(9-AD4)*(D4*(P4/D4-AD6)^2+D5*(P5/D5-AD6)^2+D6*(P6/D6-AD6)^2+D7*(P7/D7-AD6)^2+D8*(P8/D8-AD6)^2+D9*(P9/D9-AD6)^2+D10*(P10/D10-AD6)^2+D11*(P11/D11-AD6)^2))</f>
        <v>1123.9265071361378</v>
      </c>
      <c r="AE10">
        <f>SQRT(1/(9-AE4)*(E4*(Q4/E4-AE6)^2+E5*(Q5/E5-AE6)^2+E6*(Q6/E6-AE6)^2+E7*(Q7/E7-AE6)^2+E8*(Q8/E8-AE6)^2+E9*(Q9/E9-AE6)^2+E10*(Q10/E10-AE6)^2))</f>
        <v>1040.762182079812</v>
      </c>
      <c r="AF10">
        <f>SQRT(1/(9-AF4)*(F4*(R4/F4-AF6)^2+F5*(R5/F5-AF6)^2+F6*(R6/F6-AF6)^2+F7*(R7/F7-AF6)^2+F8*(R8/F8-AF6)^2+F9*(R9/F9-AF6)^2))</f>
        <v>834.72193802166964</v>
      </c>
      <c r="AG10">
        <f>SQRT(1/(9-AG4)*(G4*(S4/G4-AG6)^2+G5*(S5/G5-AG6)^2+G6*(S6/G6-AG6)^2+G7*(S7/G7-AG6)^2+G8*(S8/G8-AG6)^2))</f>
        <v>1028.7090332229088</v>
      </c>
      <c r="AH10">
        <f>SQRT(1/(9-AH4)*(H4*(T4/H4-AH6)^2+H5*(T5/H5-AH6)^2+H6*(T6/H6-AH6)^2+H7*(T7/H7-AH6)^2))</f>
        <v>1357.5505133539493</v>
      </c>
      <c r="AI10">
        <f>SQRT(1/(9-AI4)*(I4*(U4/I4-AI6)^2+I5*(U5/I5-AI6)^2+I6*(U6/I6-AI6)^2))</f>
        <v>1501.4056907682489</v>
      </c>
      <c r="AJ10">
        <f>SQRT(1/(9-AJ4)*(J4*(V4/J4-AJ6)^2+J5*(V5/J5-AJ6)^2))</f>
        <v>973.85707622796144</v>
      </c>
      <c r="AR10">
        <v>6</v>
      </c>
      <c r="AS10" s="21">
        <f>(C$10/B$10-C$16)/AB$7*SQRT(B$10)</f>
        <v>1.5390889685385256</v>
      </c>
      <c r="AT10" s="21">
        <f t="shared" ref="AT10:AU10" si="56">(D$10/C$10-D$16)/AC$7*SQRT(C$10)</f>
        <v>-0.97136847923489578</v>
      </c>
      <c r="AU10" s="21">
        <f t="shared" si="56"/>
        <v>-5.8204180183621043E-2</v>
      </c>
      <c r="AV10" s="60">
        <v>0</v>
      </c>
      <c r="AW10" s="21">
        <v>0</v>
      </c>
      <c r="AX10" s="8">
        <v>0</v>
      </c>
      <c r="AY10" s="8">
        <v>0</v>
      </c>
      <c r="AZ10" s="8">
        <v>0</v>
      </c>
      <c r="BA10" s="8">
        <v>0</v>
      </c>
      <c r="BB10" s="8">
        <v>0</v>
      </c>
      <c r="BD10">
        <v>6</v>
      </c>
      <c r="BE10" s="8">
        <f t="shared" si="46"/>
        <v>-0.45489553271809058</v>
      </c>
      <c r="BF10" s="8">
        <f t="shared" si="7"/>
        <v>-1.43680537529651</v>
      </c>
      <c r="BG10" s="8">
        <f t="shared" si="7"/>
        <v>-0.13125185448900681</v>
      </c>
      <c r="BH10" s="8">
        <v>0</v>
      </c>
      <c r="BI10" s="21">
        <v>0</v>
      </c>
      <c r="BJ10" s="8">
        <v>0</v>
      </c>
      <c r="BK10" s="8">
        <v>0</v>
      </c>
      <c r="BL10" s="8">
        <v>0</v>
      </c>
      <c r="BM10" s="8">
        <v>0</v>
      </c>
      <c r="BN10" s="8">
        <v>0</v>
      </c>
      <c r="BP10">
        <v>6</v>
      </c>
      <c r="BQ10" s="8">
        <f t="shared" si="8"/>
        <v>-0.82892644744408661</v>
      </c>
      <c r="BR10" s="8">
        <f t="shared" si="9"/>
        <v>-0.33148754310131756</v>
      </c>
      <c r="BS10" s="8">
        <f t="shared" si="10"/>
        <v>-4.1506541395479393E-2</v>
      </c>
      <c r="BT10" s="8">
        <f t="shared" si="11"/>
        <v>0.18456662329892704</v>
      </c>
      <c r="BU10" s="8">
        <v>0</v>
      </c>
      <c r="BV10" s="8">
        <v>0</v>
      </c>
      <c r="BW10" s="8">
        <v>0</v>
      </c>
      <c r="BX10" s="8">
        <v>0</v>
      </c>
      <c r="BY10" s="8">
        <v>0</v>
      </c>
      <c r="BZ10" s="8">
        <v>0</v>
      </c>
      <c r="CB10">
        <v>6</v>
      </c>
      <c r="CC10" s="8">
        <f t="shared" si="17"/>
        <v>1.1064585814888281</v>
      </c>
      <c r="CD10" s="8">
        <f t="shared" si="18"/>
        <v>0.33346853349992944</v>
      </c>
      <c r="CE10" s="8">
        <f t="shared" si="19"/>
        <v>4.0931823345852825E-2</v>
      </c>
      <c r="CF10" s="8">
        <f t="shared" si="20"/>
        <v>-0.18512999595194518</v>
      </c>
      <c r="CG10" s="8">
        <v>0</v>
      </c>
      <c r="CH10" s="8">
        <v>0</v>
      </c>
      <c r="CI10" s="8">
        <v>0</v>
      </c>
      <c r="CJ10" s="8">
        <v>0</v>
      </c>
      <c r="CK10" s="8">
        <v>0</v>
      </c>
      <c r="CL10" s="8">
        <v>0</v>
      </c>
      <c r="CN10">
        <v>6</v>
      </c>
      <c r="CO10" s="8">
        <f t="shared" si="26"/>
        <v>1.7029381969142408</v>
      </c>
      <c r="CP10" s="8">
        <f t="shared" si="27"/>
        <v>-0.32392082225851737</v>
      </c>
      <c r="CQ10" s="8">
        <f t="shared" si="28"/>
        <v>-2.3824032212661642E-3</v>
      </c>
      <c r="CR10" s="8">
        <f t="shared" si="29"/>
        <v>0</v>
      </c>
      <c r="CS10" s="8">
        <f t="shared" si="30"/>
        <v>0</v>
      </c>
      <c r="CT10" s="8">
        <f t="shared" si="31"/>
        <v>0</v>
      </c>
      <c r="CU10" s="8">
        <f t="shared" si="32"/>
        <v>0</v>
      </c>
      <c r="CV10" s="8">
        <f t="shared" si="33"/>
        <v>0</v>
      </c>
      <c r="CW10" s="8">
        <f t="shared" si="47"/>
        <v>0</v>
      </c>
      <c r="CX10" s="8"/>
      <c r="CZ10">
        <v>6</v>
      </c>
      <c r="DA10" s="8">
        <f t="shared" si="34"/>
        <v>0.37707493789419211</v>
      </c>
      <c r="DB10" s="8">
        <f t="shared" si="35"/>
        <v>0.47628308377180661</v>
      </c>
      <c r="DC10" s="8">
        <f t="shared" si="36"/>
        <v>5.4478105315813987E-3</v>
      </c>
      <c r="DD10" s="8">
        <f t="shared" si="37"/>
        <v>0</v>
      </c>
      <c r="DE10" s="8">
        <f t="shared" si="38"/>
        <v>0</v>
      </c>
      <c r="DF10" s="8">
        <f t="shared" si="39"/>
        <v>0</v>
      </c>
      <c r="DG10" s="8">
        <f t="shared" si="40"/>
        <v>0</v>
      </c>
      <c r="DH10" s="8">
        <f t="shared" si="41"/>
        <v>0</v>
      </c>
      <c r="DI10" s="8">
        <f t="shared" si="48"/>
        <v>0</v>
      </c>
      <c r="DJ10" s="8">
        <f t="shared" si="42"/>
        <v>0</v>
      </c>
      <c r="DV10" s="8"/>
      <c r="DW10" s="8"/>
      <c r="DX10" s="8"/>
      <c r="DY10" s="8"/>
      <c r="DZ10" s="8"/>
      <c r="EA10" s="8"/>
      <c r="EB10" s="8"/>
      <c r="EC10" s="8"/>
      <c r="ED10" s="8"/>
      <c r="EE10" s="8"/>
    </row>
    <row r="11" spans="1:135" x14ac:dyDescent="0.25">
      <c r="A11">
        <v>2019</v>
      </c>
      <c r="B11" s="13">
        <f>SUMIFS(Dane!$D$4:$D$2463,Dane!$A$4:$A$2463,'Trójkąty skumulowane'!$A$1,Dane!$H$4:$H$2463,'Trójkąty skumulowane'!$A11,Dane!$I$4:$I$2463,$A11+B$3)</f>
        <v>1570945.7683077177</v>
      </c>
      <c r="C11" s="13">
        <f>SUMIFS(Dane!$D$4:$D$2463,Dane!$A$4:$A$2463,'Trójkąty skumulowane'!$A$1,Dane!$H$4:$H$2463,'Trójkąty skumulowane'!$A11,Dane!$I$4:$I$2463,$A11+C$3)+B11</f>
        <v>3239675.6456166534</v>
      </c>
      <c r="D11" s="13">
        <f>SUMIFS(Dane!$D$4:$D$2463,Dane!$A$4:$A$2463,'Trójkąty skumulowane'!$A$1,Dane!$H$4:$H$2463,'Trójkąty skumulowane'!$A11,Dane!$I$4:$I$2463,$A11+D$3)+C11</f>
        <v>4285166.062277033</v>
      </c>
      <c r="E11" s="14">
        <f>$D11*($E$16+$DO$7*($AD$7/$AD$10)*(($P$11/$D$11)-$AD$6))</f>
        <v>5005387.616814917</v>
      </c>
      <c r="F11" s="14">
        <f t="shared" ref="F11:F13" si="57">$E11*($F$16+$DO$7*($AE$7/$AE$10)*(($Q$10/$E$10)-$AE$6))</f>
        <v>5599693.0773895243</v>
      </c>
      <c r="G11" s="14">
        <f t="shared" si="55"/>
        <v>6103628.7644383693</v>
      </c>
      <c r="H11" s="14">
        <f t="shared" si="53"/>
        <v>6449458.0277524637</v>
      </c>
      <c r="I11" s="14">
        <f t="shared" si="51"/>
        <v>6816208.9696591105</v>
      </c>
      <c r="J11" s="14">
        <f t="shared" si="49"/>
        <v>7166744.9674145365</v>
      </c>
      <c r="K11" s="14">
        <f t="shared" si="43"/>
        <v>7401657.6088134171</v>
      </c>
      <c r="L11" s="14">
        <f>K11-D11</f>
        <v>3116491.5465363842</v>
      </c>
      <c r="M11">
        <v>2019</v>
      </c>
      <c r="N11" s="13">
        <f>SUMIFS(Dane!$J$4:$J$2463,Dane!$A$4:$A$2463,'Trójkąty skumulowane'!$A$1,Dane!$H$4:$H$2463,'Trójkąty skumulowane'!$A11,Dane!$I$4:$I$2463,$M11+N$3)</f>
        <v>9208164.3942606039</v>
      </c>
      <c r="O11" s="13">
        <f>SUMIFS(Dane!$J$4:$J$2463,Dane!$A$4:$A$2463,'Trójkąty skumulowane'!$A$1,Dane!$H$4:$H$2463,'Trójkąty skumulowane'!$A11,Dane!$I$4:$I$2463,$M11+O$3)+N11</f>
        <v>24671831.946449332</v>
      </c>
      <c r="P11" s="13">
        <f>SUMIFS(Dane!$J$4:$J$2463,Dane!$A$4:$A$2463,'Trójkąty skumulowane'!$A$1,Dane!$H$4:$H$2463,'Trójkąty skumulowane'!$A11,Dane!$I$4:$I$2463,$M11+P$3)+O11</f>
        <v>40334696.965314284</v>
      </c>
      <c r="Q11" s="13">
        <f>SUMIFS(Dane!$J$4:$J$2463,Dane!$A$4:$A$2463,'Trójkąty skumulowane'!$A$1,Dane!$H$4:$H$2463,'Trójkąty skumulowane'!$A11,Dane!$I$4:$I$2463,$M11+Q$3)</f>
        <v>0</v>
      </c>
      <c r="R11" s="13">
        <f>SUMIFS(Dane!$J$4:$J$2463,Dane!$A$4:$A$2463,'Trójkąty skumulowane'!$A$1,Dane!$H$4:$H$2463,'Trójkąty skumulowane'!$A11,Dane!$I$4:$I$2463,$M11+R$3)+Q11</f>
        <v>0</v>
      </c>
      <c r="S11" s="13">
        <f>SUMIFS(Dane!$J$4:$J$2463,Dane!$A$4:$A$2463,'Trójkąty skumulowane'!$A$1,Dane!$H$4:$H$2463,'Trójkąty skumulowane'!$A11,Dane!$I$4:$I$2463,$M11+S$3)+R11</f>
        <v>0</v>
      </c>
      <c r="T11" s="13">
        <f>SUMIFS(Dane!$J$4:$J$2463,Dane!$A$4:$A$2463,'Trójkąty skumulowane'!$A$1,Dane!$H$4:$H$2463,'Trójkąty skumulowane'!$A11,Dane!$I$4:$I$2463,$M11+T$3)+S11</f>
        <v>0</v>
      </c>
      <c r="U11" s="13">
        <f>SUMIFS(Dane!$J$4:$J$2463,Dane!$A$4:$A$2463,'Trójkąty skumulowane'!$A$1,Dane!$H$4:$H$2463,'Trójkąty skumulowane'!$A11,Dane!$I$4:$I$2463,$M11+U$3)+T11</f>
        <v>0</v>
      </c>
      <c r="V11" s="13">
        <f>SUMIFS(Dane!$J$4:$J$2463,Dane!$A$4:$A$2463,'Trójkąty skumulowane'!$A$1,Dane!$H$4:$H$2463,'Trójkąty skumulowane'!$A11,Dane!$I$4:$I$2463,$M11+V$3)+U11</f>
        <v>0</v>
      </c>
      <c r="W11" s="13">
        <f>SUMIFS(Dane!$J$4:$J$2463,Dane!$A$4:$A$2463,'Trójkąty skumulowane'!$A$1,Dane!$H$4:$H$2463,'Trójkąty skumulowane'!$A11,Dane!$I$4:$I$2463,$M11+W$3)+V11</f>
        <v>0</v>
      </c>
      <c r="X11" s="11"/>
      <c r="AR11">
        <v>7</v>
      </c>
      <c r="AS11" s="21">
        <f>(C$11/B$11-C$16)/AB$7*SQRT(B$11)</f>
        <v>-0.30006770407250116</v>
      </c>
      <c r="AT11" s="21">
        <f t="shared" ref="AT11" si="58">(D$11/C$11-D$16)/AC$7*SQRT(C$11)</f>
        <v>1.9165265412597778</v>
      </c>
      <c r="AU11" s="60">
        <v>0</v>
      </c>
      <c r="AV11" s="8">
        <v>0</v>
      </c>
      <c r="AW11" s="8">
        <v>0</v>
      </c>
      <c r="AX11" s="8">
        <v>0</v>
      </c>
      <c r="AY11" s="8">
        <v>0</v>
      </c>
      <c r="AZ11" s="8">
        <v>0</v>
      </c>
      <c r="BA11" s="8">
        <v>0</v>
      </c>
      <c r="BB11" s="8">
        <v>0</v>
      </c>
      <c r="BD11">
        <v>7</v>
      </c>
      <c r="BE11" s="8">
        <f t="shared" si="46"/>
        <v>2.6035136042377543E-2</v>
      </c>
      <c r="BF11" s="8">
        <f t="shared" si="7"/>
        <v>1.2769171021048997</v>
      </c>
      <c r="BG11" s="8">
        <v>0</v>
      </c>
      <c r="BH11" s="8">
        <v>0</v>
      </c>
      <c r="BI11" s="8">
        <v>0</v>
      </c>
      <c r="BJ11" s="8">
        <v>0</v>
      </c>
      <c r="BK11" s="8">
        <v>0</v>
      </c>
      <c r="BL11" s="8">
        <v>0</v>
      </c>
      <c r="BM11" s="8">
        <v>0</v>
      </c>
      <c r="BN11" s="8">
        <v>0</v>
      </c>
      <c r="BP11">
        <v>7</v>
      </c>
      <c r="BQ11" s="8">
        <f t="shared" si="8"/>
        <v>9.0279011695905392E-3</v>
      </c>
      <c r="BR11" s="8">
        <f t="shared" si="9"/>
        <v>0.72701386799265022</v>
      </c>
      <c r="BS11" s="8">
        <f t="shared" si="10"/>
        <v>1.0463970999698871</v>
      </c>
      <c r="BT11" s="8">
        <v>0</v>
      </c>
      <c r="BU11" s="8">
        <v>0</v>
      </c>
      <c r="BV11" s="8">
        <v>0</v>
      </c>
      <c r="BW11" s="8">
        <v>0</v>
      </c>
      <c r="BX11" s="8">
        <v>0</v>
      </c>
      <c r="BY11" s="8">
        <v>0</v>
      </c>
      <c r="BZ11" s="8">
        <v>0</v>
      </c>
      <c r="CB11">
        <v>7</v>
      </c>
      <c r="CC11" s="8">
        <f t="shared" si="17"/>
        <v>-1.1030394589348517E-2</v>
      </c>
      <c r="CD11" s="8">
        <f t="shared" si="18"/>
        <v>-0.71541754036447625</v>
      </c>
      <c r="CE11" s="8">
        <f t="shared" si="19"/>
        <v>-1.0021543594410256</v>
      </c>
      <c r="CF11" s="8">
        <v>0</v>
      </c>
      <c r="CG11" s="8">
        <v>0</v>
      </c>
      <c r="CH11" s="8">
        <v>0</v>
      </c>
      <c r="CI11" s="8">
        <v>0</v>
      </c>
      <c r="CJ11" s="8">
        <v>0</v>
      </c>
      <c r="CK11" s="8">
        <v>0</v>
      </c>
      <c r="CL11" s="8">
        <v>0</v>
      </c>
      <c r="CN11">
        <v>7</v>
      </c>
      <c r="CO11" s="8">
        <f>AS11*CC11</f>
        <v>3.3098651794395487E-3</v>
      </c>
      <c r="CP11" s="8">
        <f t="shared" si="27"/>
        <v>-1.3711167041913073</v>
      </c>
      <c r="CQ11" s="8">
        <f t="shared" si="28"/>
        <v>0</v>
      </c>
      <c r="CR11" s="8">
        <f t="shared" si="29"/>
        <v>0</v>
      </c>
      <c r="CS11" s="8">
        <f t="shared" si="30"/>
        <v>0</v>
      </c>
      <c r="CT11" s="8">
        <f t="shared" si="31"/>
        <v>0</v>
      </c>
      <c r="CU11" s="8">
        <f t="shared" si="32"/>
        <v>0</v>
      </c>
      <c r="CV11" s="8">
        <f t="shared" si="33"/>
        <v>0</v>
      </c>
      <c r="CW11" s="8">
        <f t="shared" si="47"/>
        <v>0</v>
      </c>
      <c r="CX11" s="8"/>
      <c r="CZ11">
        <v>7</v>
      </c>
      <c r="DA11" s="8">
        <f t="shared" si="34"/>
        <v>2.3504263512742903E-4</v>
      </c>
      <c r="DB11" s="8">
        <f t="shared" si="35"/>
        <v>0.92833644150724903</v>
      </c>
      <c r="DC11" s="8">
        <f t="shared" si="36"/>
        <v>0</v>
      </c>
      <c r="DD11" s="8">
        <f t="shared" si="37"/>
        <v>0</v>
      </c>
      <c r="DE11" s="8">
        <f t="shared" si="38"/>
        <v>0</v>
      </c>
      <c r="DF11" s="8">
        <f t="shared" si="39"/>
        <v>0</v>
      </c>
      <c r="DG11" s="8">
        <f t="shared" si="40"/>
        <v>0</v>
      </c>
      <c r="DH11" s="8">
        <f t="shared" si="41"/>
        <v>0</v>
      </c>
      <c r="DI11" s="8">
        <f t="shared" si="48"/>
        <v>0</v>
      </c>
      <c r="DJ11" s="8">
        <f t="shared" si="42"/>
        <v>0</v>
      </c>
      <c r="DV11" s="8"/>
      <c r="DW11" s="8"/>
      <c r="DX11" s="8"/>
      <c r="DY11" s="8"/>
      <c r="DZ11" s="8"/>
      <c r="EA11" s="8"/>
      <c r="EB11" s="8"/>
      <c r="EC11" s="8"/>
      <c r="ED11" s="8"/>
      <c r="EE11" s="8"/>
    </row>
    <row r="12" spans="1:135" x14ac:dyDescent="0.25">
      <c r="A12">
        <v>2020</v>
      </c>
      <c r="B12" s="13">
        <f>SUMIFS(Dane!$D$4:$D$2463,Dane!$A$4:$A$2463,'Trójkąty skumulowane'!$A$1,Dane!$H$4:$H$2463,'Trójkąty skumulowane'!$A12,Dane!$I$4:$I$2463,$A12+B$3)</f>
        <v>1381532.6675622216</v>
      </c>
      <c r="C12" s="13">
        <f>SUMIFS(Dane!$D$4:$D$2463,Dane!$A$4:$A$2463,'Trójkąty skumulowane'!$A$1,Dane!$H$4:$H$2463,'Trójkąty skumulowane'!$A12,Dane!$I$4:$I$2463,$A12+C$3)+B12</f>
        <v>3031367.3134870529</v>
      </c>
      <c r="D12" s="14">
        <f>$C12*($D$16+$DO$7*($AC$7/$AC$10)*(($O$12/$C$12)-$AC$6))</f>
        <v>3785946.6906474922</v>
      </c>
      <c r="E12" s="14">
        <f t="shared" ref="E12:E13" si="59">$D12*($E$16+$DO$7*($AD$7/$AD$10)*(($P$11/$D$11)-$AD$6))</f>
        <v>4422262.849999968</v>
      </c>
      <c r="F12" s="14">
        <f t="shared" si="57"/>
        <v>4947332.0676210392</v>
      </c>
      <c r="G12" s="14">
        <f t="shared" si="55"/>
        <v>5392559.538144771</v>
      </c>
      <c r="H12" s="14">
        <f t="shared" si="53"/>
        <v>5698099.8919945192</v>
      </c>
      <c r="I12" s="14">
        <f t="shared" si="51"/>
        <v>6022124.5609627748</v>
      </c>
      <c r="J12" s="14">
        <f t="shared" si="49"/>
        <v>6331823.3174095144</v>
      </c>
      <c r="K12" s="14">
        <f t="shared" si="43"/>
        <v>6539368.7717443146</v>
      </c>
      <c r="L12" s="14">
        <f>K12-C12</f>
        <v>3508001.4582572617</v>
      </c>
      <c r="M12">
        <v>2020</v>
      </c>
      <c r="N12" s="13">
        <f>SUMIFS(Dane!$J$4:$J$2463,Dane!$A$4:$A$2463,'Trójkąty skumulowane'!$A$1,Dane!$H$4:$H$2463,'Trójkąty skumulowane'!$A12,Dane!$I$4:$I$2463,$M12+N$3)</f>
        <v>8861575.5425889567</v>
      </c>
      <c r="O12" s="13">
        <f>SUMIFS(Dane!$J$4:$J$2463,Dane!$A$4:$A$2463,'Trójkąty skumulowane'!$A$1,Dane!$H$4:$H$2463,'Trójkąty skumulowane'!$A12,Dane!$I$4:$I$2463,$M12+O$3)+N12</f>
        <v>23039119.086040381</v>
      </c>
      <c r="P12" s="13">
        <f>SUMIFS(Dane!$J$4:$J$2463,Dane!$A$4:$A$2463,'Trójkąty skumulowane'!$A$1,Dane!$H$4:$H$2463,'Trójkąty skumulowane'!$A12,Dane!$I$4:$I$2463,$M12+P$3)</f>
        <v>0</v>
      </c>
      <c r="Q12" s="13">
        <f>SUMIFS(Dane!$J$4:$J$2463,Dane!$A$4:$A$2463,'Trójkąty skumulowane'!$A$1,Dane!$H$4:$H$2463,'Trójkąty skumulowane'!$A12,Dane!$I$4:$I$2463,$M12+Q$3)+P12</f>
        <v>0</v>
      </c>
      <c r="R12" s="13">
        <f>SUMIFS(Dane!$J$4:$J$2463,Dane!$A$4:$A$2463,'Trójkąty skumulowane'!$A$1,Dane!$H$4:$H$2463,'Trójkąty skumulowane'!$A12,Dane!$I$4:$I$2463,$M12+R$3)+Q12</f>
        <v>0</v>
      </c>
      <c r="S12" s="13">
        <f>SUMIFS(Dane!$J$4:$J$2463,Dane!$A$4:$A$2463,'Trójkąty skumulowane'!$A$1,Dane!$H$4:$H$2463,'Trójkąty skumulowane'!$A12,Dane!$I$4:$I$2463,$M12+S$3)+R12</f>
        <v>0</v>
      </c>
      <c r="T12" s="13">
        <f>SUMIFS(Dane!$J$4:$J$2463,Dane!$A$4:$A$2463,'Trójkąty skumulowane'!$A$1,Dane!$H$4:$H$2463,'Trójkąty skumulowane'!$A12,Dane!$I$4:$I$2463,$M12+T$3)+S12</f>
        <v>0</v>
      </c>
      <c r="U12" s="13">
        <f>SUMIFS(Dane!$J$4:$J$2463,Dane!$A$4:$A$2463,'Trójkąty skumulowane'!$A$1,Dane!$H$4:$H$2463,'Trójkąty skumulowane'!$A12,Dane!$I$4:$I$2463,$M12+U$3)+T12</f>
        <v>0</v>
      </c>
      <c r="V12" s="13">
        <f>SUMIFS(Dane!$J$4:$J$2463,Dane!$A$4:$A$2463,'Trójkąty skumulowane'!$A$1,Dane!$H$4:$H$2463,'Trójkąty skumulowane'!$A12,Dane!$I$4:$I$2463,$M12+V$3)+U12</f>
        <v>0</v>
      </c>
      <c r="W12" s="13">
        <f>SUMIFS(Dane!$J$4:$J$2463,Dane!$A$4:$A$2463,'Trójkąty skumulowane'!$A$1,Dane!$H$4:$H$2463,'Trójkąty skumulowane'!$A12,Dane!$I$4:$I$2463,$M12+W$3)+V12</f>
        <v>0</v>
      </c>
      <c r="X12" s="11"/>
      <c r="AR12">
        <v>8</v>
      </c>
      <c r="AS12" s="21">
        <f>(C$12/B$12-C$16)/AB$7*SQRT(B$12)</f>
        <v>0.64205370793788052</v>
      </c>
      <c r="AT12" s="60">
        <v>0</v>
      </c>
      <c r="AU12" s="8">
        <v>0</v>
      </c>
      <c r="AV12" s="8">
        <v>0</v>
      </c>
      <c r="AW12" s="8">
        <v>0</v>
      </c>
      <c r="AX12" s="8">
        <v>0</v>
      </c>
      <c r="AY12" s="8">
        <v>0</v>
      </c>
      <c r="AZ12" s="8">
        <v>0</v>
      </c>
      <c r="BA12" s="8">
        <v>0</v>
      </c>
      <c r="BB12" s="8">
        <v>0</v>
      </c>
      <c r="BD12">
        <v>8</v>
      </c>
      <c r="BE12" s="8">
        <f>(O12/N12-O$16)/AB$8*SQRT(N12)</f>
        <v>-0.91485890915382928</v>
      </c>
      <c r="BF12" s="8">
        <v>0</v>
      </c>
      <c r="BG12" s="8">
        <v>0</v>
      </c>
      <c r="BH12" s="8">
        <v>0</v>
      </c>
      <c r="BI12" s="8">
        <v>0</v>
      </c>
      <c r="BJ12" s="8">
        <v>0</v>
      </c>
      <c r="BK12" s="8">
        <v>0</v>
      </c>
      <c r="BL12" s="8">
        <v>0</v>
      </c>
      <c r="BM12" s="8">
        <v>0</v>
      </c>
      <c r="BN12" s="8">
        <v>0</v>
      </c>
      <c r="BP12">
        <v>8</v>
      </c>
      <c r="BQ12" s="8">
        <f t="shared" si="8"/>
        <v>-0.41530993961148088</v>
      </c>
      <c r="BR12" s="8">
        <f t="shared" si="9"/>
        <v>0.74992262117267416</v>
      </c>
      <c r="BS12" s="8">
        <v>0</v>
      </c>
      <c r="BT12" s="8">
        <v>0</v>
      </c>
      <c r="BU12" s="8">
        <v>0</v>
      </c>
      <c r="BV12" s="8">
        <v>0</v>
      </c>
      <c r="BW12" s="8">
        <v>0</v>
      </c>
      <c r="BX12" s="8">
        <v>0</v>
      </c>
      <c r="BY12" s="8">
        <v>0</v>
      </c>
      <c r="BZ12" s="8">
        <v>0</v>
      </c>
      <c r="CB12">
        <v>8</v>
      </c>
      <c r="CC12" s="8">
        <f t="shared" si="17"/>
        <v>0.53081786974028322</v>
      </c>
      <c r="CD12" s="8">
        <f t="shared" si="18"/>
        <v>-0.73721992129543057</v>
      </c>
      <c r="CE12" s="8">
        <v>0</v>
      </c>
      <c r="CF12" s="8">
        <v>0</v>
      </c>
      <c r="CG12" s="8">
        <v>0</v>
      </c>
      <c r="CH12" s="8">
        <v>0</v>
      </c>
      <c r="CI12" s="8">
        <v>0</v>
      </c>
      <c r="CJ12" s="8">
        <v>0</v>
      </c>
      <c r="CK12" s="8">
        <v>0</v>
      </c>
      <c r="CL12" s="8">
        <v>0</v>
      </c>
      <c r="CN12">
        <v>8</v>
      </c>
      <c r="CO12" s="8">
        <f t="shared" si="26"/>
        <v>0.3408135815064357</v>
      </c>
      <c r="CP12" s="8">
        <f t="shared" si="27"/>
        <v>0</v>
      </c>
      <c r="CQ12" s="8">
        <f t="shared" si="28"/>
        <v>0</v>
      </c>
      <c r="CR12" s="8">
        <f t="shared" si="29"/>
        <v>0</v>
      </c>
      <c r="CS12" s="8">
        <f t="shared" si="30"/>
        <v>0</v>
      </c>
      <c r="CT12" s="8">
        <f t="shared" si="31"/>
        <v>0</v>
      </c>
      <c r="CU12" s="8">
        <f t="shared" si="32"/>
        <v>0</v>
      </c>
      <c r="CV12" s="8">
        <f t="shared" si="33"/>
        <v>0</v>
      </c>
      <c r="CW12" s="8">
        <f t="shared" si="47"/>
        <v>0</v>
      </c>
      <c r="CX12" s="8"/>
      <c r="CZ12">
        <v>8</v>
      </c>
      <c r="DA12" s="8">
        <f t="shared" si="34"/>
        <v>0.37994999831370213</v>
      </c>
      <c r="DB12" s="8">
        <f t="shared" si="35"/>
        <v>0</v>
      </c>
      <c r="DC12" s="8">
        <f t="shared" si="36"/>
        <v>0</v>
      </c>
      <c r="DD12" s="8">
        <f t="shared" si="37"/>
        <v>0</v>
      </c>
      <c r="DE12" s="8">
        <f t="shared" si="38"/>
        <v>0</v>
      </c>
      <c r="DF12" s="8">
        <f t="shared" si="39"/>
        <v>0</v>
      </c>
      <c r="DG12" s="8">
        <f t="shared" si="40"/>
        <v>0</v>
      </c>
      <c r="DH12" s="8">
        <f t="shared" si="41"/>
        <v>0</v>
      </c>
      <c r="DI12" s="8">
        <f t="shared" si="48"/>
        <v>0</v>
      </c>
      <c r="DJ12" s="8">
        <f t="shared" si="42"/>
        <v>0</v>
      </c>
      <c r="DV12" s="8"/>
      <c r="DW12" s="8"/>
      <c r="DX12" s="8"/>
      <c r="DY12" s="8"/>
      <c r="DZ12" s="8"/>
      <c r="EA12" s="8"/>
      <c r="EB12" s="8"/>
      <c r="EC12" s="8"/>
      <c r="ED12" s="8"/>
      <c r="EE12" s="8"/>
    </row>
    <row r="13" spans="1:135" x14ac:dyDescent="0.25">
      <c r="A13">
        <v>2021</v>
      </c>
      <c r="B13" s="13">
        <f>SUMIFS(Dane!$D$4:$D$2463,Dane!$A$4:$A$2463,'Trójkąty skumulowane'!$A$1,Dane!$H$4:$H$2463,'Trójkąty skumulowane'!$A13,Dane!$I$4:$I$2463,$A13+B$3)</f>
        <v>1346802.3542128429</v>
      </c>
      <c r="C13" s="14">
        <f>$B13*($C$16+$DO$7*($AB$7/$AB$10)*(($N13/$B13)-$AB$6))</f>
        <v>2701686.3513677302</v>
      </c>
      <c r="D13" s="14">
        <f>$C13*($D$16+$DO$7*($AC$7/$AC$10)*(($O$12/$C$12)-$AC$6))</f>
        <v>3374200.3008411876</v>
      </c>
      <c r="E13" s="14">
        <f t="shared" si="59"/>
        <v>3941312.9286077535</v>
      </c>
      <c r="F13" s="14">
        <f t="shared" si="57"/>
        <v>4409277.4449693039</v>
      </c>
      <c r="G13" s="14">
        <f t="shared" si="55"/>
        <v>4806083.5248581385</v>
      </c>
      <c r="H13" s="14">
        <f t="shared" si="53"/>
        <v>5078394.3728755526</v>
      </c>
      <c r="I13" s="14">
        <f t="shared" si="51"/>
        <v>5367179.2462108051</v>
      </c>
      <c r="J13" s="14">
        <f t="shared" si="49"/>
        <v>5643196.2434268994</v>
      </c>
      <c r="K13" s="14">
        <f t="shared" si="43"/>
        <v>5828169.7762515079</v>
      </c>
      <c r="L13" s="14">
        <f>K13-B13</f>
        <v>4481367.422038665</v>
      </c>
      <c r="M13">
        <v>2021</v>
      </c>
      <c r="N13" s="13">
        <f>SUMIFS(Dane!$J$4:$J$2463,Dane!$A$4:$A$2463,'Trójkąty skumulowane'!$A$1,Dane!$H$4:$H$2463,'Trójkąty skumulowane'!$A13,Dane!$I$4:$I$2463,$M13+N$3)</f>
        <v>4460807.1005851589</v>
      </c>
      <c r="O13" s="13">
        <f>SUMIFS(Dane!$J$4:$J$2463,Dane!$A$4:$A$2463,'Trójkąty skumulowane'!$A$1,Dane!$H$4:$H$2463,'Trójkąty skumulowane'!$A13,Dane!$I$4:$I$2463,$M13+O$3)</f>
        <v>0</v>
      </c>
      <c r="P13" s="13">
        <f>SUMIFS(Dane!$J$4:$J$2463,Dane!$A$4:$A$2463,'Trójkąty skumulowane'!$A$1,Dane!$H$4:$H$2463,'Trójkąty skumulowane'!$A13,Dane!$I$4:$I$2463,$M13+P$3)+O13</f>
        <v>0</v>
      </c>
      <c r="Q13" s="13">
        <f>SUMIFS(Dane!$J$4:$J$2463,Dane!$A$4:$A$2463,'Trójkąty skumulowane'!$A$1,Dane!$H$4:$H$2463,'Trójkąty skumulowane'!$A13,Dane!$I$4:$I$2463,$M13+Q$3)+P13</f>
        <v>0</v>
      </c>
      <c r="R13" s="13">
        <f>SUMIFS(Dane!$J$4:$J$2463,Dane!$A$4:$A$2463,'Trójkąty skumulowane'!$A$1,Dane!$H$4:$H$2463,'Trójkąty skumulowane'!$A13,Dane!$I$4:$I$2463,$M13+R$3)+Q13</f>
        <v>0</v>
      </c>
      <c r="S13" s="13">
        <f>SUMIFS(Dane!$J$4:$J$2463,Dane!$A$4:$A$2463,'Trójkąty skumulowane'!$A$1,Dane!$H$4:$H$2463,'Trójkąty skumulowane'!$A13,Dane!$I$4:$I$2463,$M13+S$3)+R13</f>
        <v>0</v>
      </c>
      <c r="T13" s="13">
        <f>SUMIFS(Dane!$J$4:$J$2463,Dane!$A$4:$A$2463,'Trójkąty skumulowane'!$A$1,Dane!$H$4:$H$2463,'Trójkąty skumulowane'!$A13,Dane!$I$4:$I$2463,$M13+T$3)+S13</f>
        <v>0</v>
      </c>
      <c r="U13" s="13">
        <f>SUMIFS(Dane!$J$4:$J$2463,Dane!$A$4:$A$2463,'Trójkąty skumulowane'!$A$1,Dane!$H$4:$H$2463,'Trójkąty skumulowane'!$A13,Dane!$I$4:$I$2463,$M13+U$3)+T13</f>
        <v>0</v>
      </c>
      <c r="V13" s="13">
        <f>SUMIFS(Dane!$J$4:$J$2463,Dane!$A$4:$A$2463,'Trójkąty skumulowane'!$A$1,Dane!$H$4:$H$2463,'Trójkąty skumulowane'!$A13,Dane!$I$4:$I$2463,$M13+V$3)+U13</f>
        <v>0</v>
      </c>
      <c r="W13" s="13">
        <f>SUMIFS(Dane!$J$4:$J$2463,Dane!$A$4:$A$2463,'Trójkąty skumulowane'!$A$1,Dane!$H$4:$H$2463,'Trójkąty skumulowane'!$A13,Dane!$I$4:$I$2463,$M13+W$3)+V13</f>
        <v>0</v>
      </c>
      <c r="X13" s="11"/>
      <c r="AR13">
        <v>9</v>
      </c>
      <c r="AS13" s="60">
        <v>0</v>
      </c>
      <c r="AT13" s="21">
        <v>0</v>
      </c>
      <c r="AU13" s="8">
        <v>0</v>
      </c>
      <c r="AV13" s="8">
        <v>0</v>
      </c>
      <c r="AW13" s="8">
        <v>0</v>
      </c>
      <c r="AX13" s="8">
        <v>0</v>
      </c>
      <c r="AY13" s="8">
        <v>0</v>
      </c>
      <c r="AZ13" s="8">
        <v>0</v>
      </c>
      <c r="BA13" s="8">
        <v>0</v>
      </c>
      <c r="BB13" s="8">
        <v>0</v>
      </c>
      <c r="BD13">
        <v>9</v>
      </c>
      <c r="BE13" s="8">
        <v>0</v>
      </c>
      <c r="BF13" s="8">
        <v>0</v>
      </c>
      <c r="BG13" s="8">
        <v>0</v>
      </c>
      <c r="BH13" s="8">
        <v>0</v>
      </c>
      <c r="BI13" s="8">
        <v>0</v>
      </c>
      <c r="BJ13" s="8">
        <v>0</v>
      </c>
      <c r="BK13" s="8">
        <v>0</v>
      </c>
      <c r="BL13" s="8">
        <v>0</v>
      </c>
      <c r="BM13" s="8">
        <v>0</v>
      </c>
      <c r="BN13" s="8">
        <v>0</v>
      </c>
      <c r="BP13">
        <v>9</v>
      </c>
      <c r="BQ13" s="8">
        <f t="shared" si="8"/>
        <v>2.6942487027778452</v>
      </c>
      <c r="BR13" s="8">
        <v>0</v>
      </c>
      <c r="BS13" s="8">
        <v>0</v>
      </c>
      <c r="BT13" s="8">
        <v>0</v>
      </c>
      <c r="BU13" s="8">
        <v>0</v>
      </c>
      <c r="BV13" s="8">
        <v>0</v>
      </c>
      <c r="BW13" s="8">
        <v>0</v>
      </c>
      <c r="BX13" s="8">
        <v>0</v>
      </c>
      <c r="BY13" s="8">
        <v>0</v>
      </c>
      <c r="BZ13" s="8">
        <v>0</v>
      </c>
      <c r="CB13">
        <v>9</v>
      </c>
      <c r="CC13" s="8">
        <f t="shared" si="17"/>
        <v>-2.4745189700546204</v>
      </c>
      <c r="CD13" s="8">
        <v>0</v>
      </c>
      <c r="CE13" s="8">
        <v>0</v>
      </c>
      <c r="CF13" s="8">
        <v>0</v>
      </c>
      <c r="CG13" s="8">
        <v>0</v>
      </c>
      <c r="CH13" s="8">
        <v>0</v>
      </c>
      <c r="CI13" s="8">
        <v>0</v>
      </c>
      <c r="CJ13" s="8">
        <v>0</v>
      </c>
      <c r="CK13" s="8">
        <v>0</v>
      </c>
      <c r="CL13" s="8">
        <v>0</v>
      </c>
      <c r="CN13">
        <v>9</v>
      </c>
      <c r="CO13" s="8">
        <f t="shared" si="26"/>
        <v>0</v>
      </c>
      <c r="CP13" s="8">
        <f t="shared" si="27"/>
        <v>0</v>
      </c>
      <c r="CQ13" s="8">
        <f t="shared" si="28"/>
        <v>0</v>
      </c>
      <c r="CR13" s="8">
        <f t="shared" si="29"/>
        <v>0</v>
      </c>
      <c r="CS13" s="8">
        <f t="shared" si="30"/>
        <v>0</v>
      </c>
      <c r="CT13" s="8">
        <f t="shared" si="31"/>
        <v>0</v>
      </c>
      <c r="CU13" s="8">
        <f t="shared" si="32"/>
        <v>0</v>
      </c>
      <c r="CV13" s="8">
        <f t="shared" si="33"/>
        <v>0</v>
      </c>
      <c r="CW13" s="8">
        <f t="shared" si="47"/>
        <v>0</v>
      </c>
      <c r="CX13" s="8"/>
      <c r="CZ13">
        <v>9</v>
      </c>
      <c r="DA13" s="8">
        <f t="shared" si="34"/>
        <v>0</v>
      </c>
      <c r="DB13" s="8">
        <f t="shared" si="35"/>
        <v>0</v>
      </c>
      <c r="DC13" s="8">
        <f t="shared" si="36"/>
        <v>0</v>
      </c>
      <c r="DD13" s="8">
        <f t="shared" si="37"/>
        <v>0</v>
      </c>
      <c r="DE13" s="8">
        <f t="shared" si="38"/>
        <v>0</v>
      </c>
      <c r="DF13" s="8">
        <f t="shared" si="39"/>
        <v>0</v>
      </c>
      <c r="DG13" s="8">
        <f t="shared" si="40"/>
        <v>0</v>
      </c>
      <c r="DH13" s="8">
        <f t="shared" si="41"/>
        <v>0</v>
      </c>
      <c r="DI13" s="8">
        <f t="shared" si="48"/>
        <v>0</v>
      </c>
      <c r="DJ13" s="8">
        <f t="shared" si="42"/>
        <v>0</v>
      </c>
      <c r="DV13" s="8"/>
      <c r="DW13" s="8"/>
      <c r="DX13" s="8"/>
      <c r="DY13" s="8"/>
      <c r="DZ13" s="8"/>
      <c r="EA13" s="8"/>
      <c r="EB13" s="8"/>
      <c r="EC13" s="8"/>
      <c r="ED13" s="8"/>
      <c r="EE13" s="8"/>
    </row>
    <row r="14" spans="1:135" x14ac:dyDescent="0.25">
      <c r="K14" s="70" t="s">
        <v>45</v>
      </c>
      <c r="L14" s="69">
        <f>SUM(L4:L13)</f>
        <v>17343142.524126217</v>
      </c>
    </row>
    <row r="15" spans="1:135" x14ac:dyDescent="0.25">
      <c r="AC15" s="19"/>
      <c r="BS15" s="23" t="s">
        <v>46</v>
      </c>
      <c r="BT15" s="22">
        <f>SUMSQ(BQ4:BZ13)</f>
        <v>45</v>
      </c>
      <c r="CE15" s="23" t="s">
        <v>46</v>
      </c>
      <c r="CF15" s="22">
        <f>SUMSQ(CC4:CL13)</f>
        <v>44.999999999999986</v>
      </c>
      <c r="CQ15" s="23" t="s">
        <v>47</v>
      </c>
      <c r="CR15" s="22">
        <f>SUM(CO4:CW13)</f>
        <v>12.119720064489869</v>
      </c>
      <c r="DC15" s="23" t="s">
        <v>47</v>
      </c>
      <c r="DD15" s="22">
        <f>SUM(DA4:DJ13)</f>
        <v>-6.7893296521243203</v>
      </c>
    </row>
    <row r="16" spans="1:135" x14ac:dyDescent="0.25">
      <c r="A16" t="s">
        <v>25</v>
      </c>
      <c r="C16">
        <f>SUM(C4:C12)/SUM(B4:B12)</f>
        <v>2.1024568554049639</v>
      </c>
      <c r="D16">
        <f>SUM(D4:D11)/SUM(C4:C11)</f>
        <v>1.256062294799432</v>
      </c>
      <c r="E16">
        <f>SUM(E4:E10)/SUM(D4:D10)</f>
        <v>1.1781058003161704</v>
      </c>
      <c r="F16">
        <f>SUM(F4:F9)/SUM(E4:E9)</f>
        <v>1.1214277912638833</v>
      </c>
      <c r="G16">
        <f>SUM(G4:G8)/SUM(F4:F8)</f>
        <v>1.0953111884500715</v>
      </c>
      <c r="H16">
        <f>SUM(H4:H7)/SUM(G4:G7)</f>
        <v>1.0540403884611445</v>
      </c>
      <c r="I16">
        <f>SUM(I4:I6)/SUM(H4:H6)</f>
        <v>1.0590321815963633</v>
      </c>
      <c r="J16">
        <f>SUM(J4:J5)/SUM(I4:I5)</f>
        <v>1.0446032925669604</v>
      </c>
      <c r="K16">
        <f>SUM(K4)/SUM(J4)</f>
        <v>1.0327704044274595</v>
      </c>
      <c r="M16" t="s">
        <v>25</v>
      </c>
      <c r="O16">
        <f>SUM(O4:O12)/SUM(N4:N12)</f>
        <v>2.6771852346022462</v>
      </c>
      <c r="P16">
        <f>SUM(P4:P11)/SUM(O4:O11)</f>
        <v>1.5862128281461756</v>
      </c>
      <c r="Q16">
        <f>SUM(Q4:Q10)/SUM(P4:P10)</f>
        <v>1.3326460124627499</v>
      </c>
      <c r="R16">
        <f>SUM(R4:R9)/SUM(Q4:Q9)</f>
        <v>1.2155532419231827</v>
      </c>
      <c r="S16">
        <f>SUM(S4:S8)/SUM(R4:R8)</f>
        <v>1.1388131722740591</v>
      </c>
      <c r="T16">
        <f>SUM(T4:T7)/SUM(S4:S7)</f>
        <v>1.1021602856640695</v>
      </c>
      <c r="U16">
        <f>SUM(U4:U6)/SUM(T4:T6)</f>
        <v>1.0827132502501642</v>
      </c>
      <c r="V16">
        <f>SUM(V4:V5)/SUM(U4:U5)</f>
        <v>1.0617492514897433</v>
      </c>
      <c r="W16">
        <f>SUM(W4)/SUM(V4)</f>
        <v>1.0443315044797206</v>
      </c>
    </row>
    <row r="17" spans="1:119" x14ac:dyDescent="0.25">
      <c r="A17" t="s">
        <v>26</v>
      </c>
      <c r="B17" s="20">
        <f>PRODUCT(C16:K16)</f>
        <v>4.602067543756454</v>
      </c>
      <c r="C17" s="20">
        <f>PRODUCT(D16:K16)</f>
        <v>2.1888998729869433</v>
      </c>
      <c r="D17" s="20">
        <f>PRODUCT(E16:K16)</f>
        <v>1.7426682434858589</v>
      </c>
      <c r="E17" s="20">
        <f>PRODUCT(F16:K16)</f>
        <v>1.4792120054227524</v>
      </c>
      <c r="F17" s="20">
        <f>PRODUCT(G16:K16)</f>
        <v>1.3190434702493288</v>
      </c>
      <c r="G17" s="20">
        <f>PRODUCT(H16:K16)</f>
        <v>1.2042636687714758</v>
      </c>
      <c r="H17" s="20">
        <f>PRODUCT(I16:K16)</f>
        <v>1.1425213701057997</v>
      </c>
      <c r="I17" s="20">
        <f>PRODUCT(J16:K16)</f>
        <v>1.0788353649306355</v>
      </c>
      <c r="J17" s="20">
        <f>PRODUCT(K16:K16)</f>
        <v>1.0327704044274595</v>
      </c>
      <c r="K17" s="20">
        <v>1</v>
      </c>
      <c r="M17" t="s">
        <v>26</v>
      </c>
      <c r="N17">
        <f>PRODUCT(O16:W16)</f>
        <v>10.36572549350273</v>
      </c>
      <c r="O17">
        <f>PRODUCT(P16:W16)</f>
        <v>3.8718745940800696</v>
      </c>
      <c r="P17">
        <f>PRODUCT(Q16:W16)</f>
        <v>2.4409552900950704</v>
      </c>
      <c r="Q17">
        <f>PRODUCT(R16:W16)</f>
        <v>1.8316606715268282</v>
      </c>
      <c r="R17">
        <f>PRODUCT(S16:W16)</f>
        <v>1.5068535119275182</v>
      </c>
      <c r="S17">
        <f>PRODUCT(T16:W16)</f>
        <v>1.3231788572646479</v>
      </c>
      <c r="T17">
        <f>PRODUCT(U16:W16)</f>
        <v>1.2005321498836363</v>
      </c>
      <c r="U17">
        <f>PRODUCT(V16:W16)</f>
        <v>1.1088181931885008</v>
      </c>
      <c r="V17">
        <f>PRODUCT(W16)</f>
        <v>1.0443315044797206</v>
      </c>
      <c r="W17">
        <v>1</v>
      </c>
    </row>
    <row r="20" spans="1:119" x14ac:dyDescent="0.25">
      <c r="A20" s="3" t="s">
        <v>19</v>
      </c>
      <c r="B20" s="75" t="s">
        <v>27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3" t="s">
        <v>19</v>
      </c>
      <c r="N20" s="76" t="s">
        <v>16</v>
      </c>
      <c r="O20" s="76"/>
      <c r="P20" s="76"/>
      <c r="Q20" s="76"/>
      <c r="R20" s="76"/>
      <c r="S20" s="76"/>
      <c r="T20" s="76"/>
      <c r="U20" s="76"/>
      <c r="V20" s="76"/>
      <c r="W20" s="76"/>
      <c r="X20" s="76"/>
    </row>
    <row r="21" spans="1:119" x14ac:dyDescent="0.25">
      <c r="B21" t="s">
        <v>21</v>
      </c>
      <c r="N21" t="s">
        <v>21</v>
      </c>
    </row>
    <row r="22" spans="1:119" x14ac:dyDescent="0.25">
      <c r="A22" t="s">
        <v>22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 t="s">
        <v>24</v>
      </c>
      <c r="M22" t="s">
        <v>22</v>
      </c>
      <c r="N22">
        <v>0</v>
      </c>
      <c r="O22">
        <v>1</v>
      </c>
      <c r="P22">
        <v>2</v>
      </c>
      <c r="Q22">
        <v>3</v>
      </c>
      <c r="R22">
        <v>4</v>
      </c>
      <c r="S22">
        <v>5</v>
      </c>
      <c r="T22">
        <v>6</v>
      </c>
      <c r="U22">
        <v>7</v>
      </c>
      <c r="V22">
        <v>8</v>
      </c>
      <c r="W22">
        <v>9</v>
      </c>
      <c r="X22" t="s">
        <v>24</v>
      </c>
      <c r="AA22" s="74" t="s">
        <v>29</v>
      </c>
      <c r="AB22" s="74"/>
      <c r="AC22" s="74"/>
      <c r="AR22" t="s">
        <v>30</v>
      </c>
      <c r="AS22">
        <v>0</v>
      </c>
      <c r="AT22">
        <v>1</v>
      </c>
      <c r="AU22">
        <v>2</v>
      </c>
      <c r="AV22">
        <v>3</v>
      </c>
      <c r="AW22">
        <v>4</v>
      </c>
      <c r="AX22">
        <v>5</v>
      </c>
      <c r="AY22">
        <v>6</v>
      </c>
      <c r="AZ22">
        <v>7</v>
      </c>
      <c r="BA22">
        <v>8</v>
      </c>
      <c r="BB22">
        <v>9</v>
      </c>
      <c r="BD22" t="s">
        <v>31</v>
      </c>
      <c r="BE22">
        <v>0</v>
      </c>
      <c r="BF22">
        <v>1</v>
      </c>
      <c r="BG22">
        <v>2</v>
      </c>
      <c r="BH22">
        <v>3</v>
      </c>
      <c r="BI22">
        <v>4</v>
      </c>
      <c r="BJ22">
        <v>5</v>
      </c>
      <c r="BK22">
        <v>6</v>
      </c>
      <c r="BL22">
        <v>7</v>
      </c>
      <c r="BM22">
        <v>8</v>
      </c>
      <c r="BN22">
        <v>9</v>
      </c>
      <c r="BP22" t="s">
        <v>32</v>
      </c>
      <c r="BQ22">
        <v>0</v>
      </c>
      <c r="BR22">
        <v>1</v>
      </c>
      <c r="BS22">
        <v>2</v>
      </c>
      <c r="BT22">
        <v>3</v>
      </c>
      <c r="BU22">
        <v>4</v>
      </c>
      <c r="BV22">
        <v>5</v>
      </c>
      <c r="BW22">
        <v>6</v>
      </c>
      <c r="BX22">
        <v>7</v>
      </c>
      <c r="BY22">
        <v>8</v>
      </c>
      <c r="BZ22">
        <v>9</v>
      </c>
      <c r="CB22" t="s">
        <v>33</v>
      </c>
      <c r="CC22">
        <v>0</v>
      </c>
      <c r="CD22">
        <v>1</v>
      </c>
      <c r="CE22">
        <v>2</v>
      </c>
      <c r="CF22">
        <v>3</v>
      </c>
      <c r="CG22">
        <v>4</v>
      </c>
      <c r="CH22">
        <v>5</v>
      </c>
      <c r="CI22">
        <v>6</v>
      </c>
      <c r="CJ22">
        <v>7</v>
      </c>
      <c r="CK22">
        <v>8</v>
      </c>
      <c r="CL22">
        <v>9</v>
      </c>
      <c r="CN22" t="s">
        <v>34</v>
      </c>
      <c r="CO22">
        <v>0</v>
      </c>
      <c r="CP22">
        <v>1</v>
      </c>
      <c r="CQ22">
        <v>2</v>
      </c>
      <c r="CR22">
        <v>3</v>
      </c>
      <c r="CS22">
        <v>4</v>
      </c>
      <c r="CT22">
        <v>5</v>
      </c>
      <c r="CU22">
        <v>6</v>
      </c>
      <c r="CV22">
        <v>7</v>
      </c>
      <c r="CW22">
        <v>8</v>
      </c>
      <c r="CZ22" t="s">
        <v>35</v>
      </c>
      <c r="DA22">
        <v>0</v>
      </c>
      <c r="DB22">
        <v>1</v>
      </c>
      <c r="DC22">
        <v>2</v>
      </c>
      <c r="DD22">
        <v>3</v>
      </c>
      <c r="DE22">
        <v>4</v>
      </c>
      <c r="DF22">
        <v>5</v>
      </c>
      <c r="DG22">
        <v>6</v>
      </c>
      <c r="DH22">
        <v>7</v>
      </c>
      <c r="DI22">
        <v>8</v>
      </c>
      <c r="DJ22">
        <v>9</v>
      </c>
    </row>
    <row r="23" spans="1:119" x14ac:dyDescent="0.25">
      <c r="A23">
        <v>2012</v>
      </c>
      <c r="B23" s="13">
        <f>SUMIFS(Dane!$D$4:$D$2463,Dane!$A$4:$A$2463,'Trójkąty skumulowane'!$A$16,Dane!$H$4:$H$2463,'Trójkąty skumulowane'!$A19,Dane!$I$4:$I$2463,$A23+B$22)</f>
        <v>4262147.3800735464</v>
      </c>
      <c r="C23" s="13">
        <f>SUMIFS(Dane!$D$4:$D$2463,Dane!$A$4:$A$2463,'Trójkąty skumulowane'!$A$16,Dane!$H$4:$H$2463,'Trójkąty skumulowane'!$A19,Dane!$I$4:$I$2463,$A23+C$22)+B23</f>
        <v>5171040.557632775</v>
      </c>
      <c r="D23" s="13">
        <f>SUMIFS(Dane!$D$4:$D$2463,Dane!$A$4:$A$2463,'Trójkąty skumulowane'!$A$16,Dane!$H$4:$H$2463,'Trójkąty skumulowane'!$A19,Dane!$I$4:$I$2463,$A23+D$22)+C23</f>
        <v>5206528.1608655713</v>
      </c>
      <c r="E23" s="13">
        <f>SUMIFS(Dane!$D$4:$D$2463,Dane!$A$4:$A$2463,'Trójkąty skumulowane'!$A$16,Dane!$H$4:$H$2463,'Trójkąty skumulowane'!$A19,Dane!$I$4:$I$2463,$A23+E$22)+D23</f>
        <v>5217735.2787153367</v>
      </c>
      <c r="F23" s="13">
        <f>SUMIFS(Dane!$D$4:$D$2463,Dane!$A$4:$A$2463,'Trójkąty skumulowane'!$A$16,Dane!$H$4:$H$2463,'Trójkąty skumulowane'!$A19,Dane!$I$4:$I$2463,$A23+F$22)+E23</f>
        <v>5216421.5403902102</v>
      </c>
      <c r="G23" s="13">
        <f>SUMIFS(Dane!$D$4:$D$2463,Dane!$A$4:$A$2463,'Trójkąty skumulowane'!$A$16,Dane!$H$4:$H$2463,'Trójkąty skumulowane'!$A19,Dane!$I$4:$I$2463,$A23+G$22)+F23</f>
        <v>5213475.3922777912</v>
      </c>
      <c r="H23" s="13">
        <f>SUMIFS(Dane!$D$4:$D$2463,Dane!$A$4:$A$2463,'Trójkąty skumulowane'!$A$16,Dane!$H$4:$H$2463,'Trójkąty skumulowane'!$A19,Dane!$I$4:$I$2463,$A23+H$22)+G23</f>
        <v>5212026.8016393669</v>
      </c>
      <c r="I23" s="13">
        <f>SUMIFS(Dane!$D$4:$D$2463,Dane!$A$4:$A$2463,'Trójkąty skumulowane'!$A$16,Dane!$H$4:$H$2463,'Trójkąty skumulowane'!$A19,Dane!$I$4:$I$2463,$A23+I$22)+H23</f>
        <v>5211044.3549634609</v>
      </c>
      <c r="J23" s="13">
        <f>SUMIFS(Dane!$D$4:$D$2463,Dane!$A$4:$A$2463,'Trójkąty skumulowane'!$A$16,Dane!$H$4:$H$2463,'Trójkąty skumulowane'!$A19,Dane!$I$4:$I$2463,$A23+J$22)+I23</f>
        <v>5210425.7469317596</v>
      </c>
      <c r="K23" s="13">
        <f>SUMIFS(Dane!$D$4:$D$2463,Dane!$A$4:$A$2463,'Trójkąty skumulowane'!$A$16,Dane!$H$4:$H$2463,'Trójkąty skumulowane'!$A19,Dane!$I$4:$I$2463,$A23+K$22)+J23</f>
        <v>5209988.1650882559</v>
      </c>
      <c r="L23" s="14">
        <f>K23-K23</f>
        <v>0</v>
      </c>
      <c r="M23">
        <v>2012</v>
      </c>
      <c r="N23" s="13">
        <f>SUMIFS(Dane!$J$4:$J$2463,Dane!$A$4:$A$2463,'Trójkąty skumulowane'!$A$16,Dane!$H$4:$H$2463,'Trójkąty skumulowane'!$A19,Dane!$I$4:$I$2463,$A23+N$22)</f>
        <v>7350424.0648510717</v>
      </c>
      <c r="O23" s="13">
        <f>SUMIFS(Dane!$J$4:$J$2463,Dane!$A$4:$A$2463,'Trójkąty skumulowane'!$A$16,Dane!$H$4:$H$2463,'Trójkąty skumulowane'!$A19,Dane!$I$4:$I$2463,$A23+O$22)+N23</f>
        <v>9616116.4486402087</v>
      </c>
      <c r="P23" s="13">
        <f>SUMIFS(Dane!$J$4:$J$2463,Dane!$A$4:$A$2463,'Trójkąty skumulowane'!$A$16,Dane!$H$4:$H$2463,'Trójkąty skumulowane'!$A19,Dane!$I$4:$I$2463,$A23+P$22)+O23</f>
        <v>10257599.736450115</v>
      </c>
      <c r="Q23" s="13">
        <f>SUMIFS(Dane!$J$4:$J$2463,Dane!$A$4:$A$2463,'Trójkąty skumulowane'!$A$16,Dane!$H$4:$H$2463,'Trójkąty skumulowane'!$A19,Dane!$I$4:$I$2463,$A23+Q$22)+P23</f>
        <v>10550466.109684505</v>
      </c>
      <c r="R23" s="13">
        <f>SUMIFS(Dane!$J$4:$J$2463,Dane!$A$4:$A$2463,'Trójkąty skumulowane'!$A$16,Dane!$H$4:$H$2463,'Trójkąty skumulowane'!$A19,Dane!$I$4:$I$2463,$A23+R$22)+Q23</f>
        <v>10668400.603079798</v>
      </c>
      <c r="S23" s="13">
        <f>SUMIFS(Dane!$J$4:$J$2463,Dane!$A$4:$A$2463,'Trójkąty skumulowane'!$A$16,Dane!$H$4:$H$2463,'Trójkąty skumulowane'!$A19,Dane!$I$4:$I$2463,$A23+S$22)+R23</f>
        <v>10692269.028673731</v>
      </c>
      <c r="T23" s="13">
        <f>SUMIFS(Dane!$J$4:$J$2463,Dane!$A$4:$A$2463,'Trójkąty skumulowane'!$A$16,Dane!$H$4:$H$2463,'Trójkąty skumulowane'!$A19,Dane!$I$4:$I$2463,$A23+T$22)+S23</f>
        <v>10698501.456707304</v>
      </c>
      <c r="U23" s="13">
        <f>SUMIFS(Dane!$J$4:$J$2463,Dane!$A$4:$A$2463,'Trójkąty skumulowane'!$A$16,Dane!$H$4:$H$2463,'Trójkąty skumulowane'!$A19,Dane!$I$4:$I$2463,$A23+U$22)+T23</f>
        <v>10698350.457053164</v>
      </c>
      <c r="V23" s="13">
        <f>SUMIFS(Dane!$J$4:$J$2463,Dane!$A$4:$A$2463,'Trójkąty skumulowane'!$A$16,Dane!$H$4:$H$2463,'Trójkąty skumulowane'!$A19,Dane!$I$4:$I$2463,$A23+V$22)+U23</f>
        <v>10698554.632486703</v>
      </c>
      <c r="W23" s="13">
        <f>SUMIFS(Dane!$J$4:$J$2463,Dane!$A$4:$A$2463,'Trójkąty skumulowane'!$A$16,Dane!$H$4:$H$2463,'Trójkąty skumulowane'!$A19,Dane!$I$4:$I$2463,$A23+W$22)+V23</f>
        <v>10698976.954550466</v>
      </c>
      <c r="X23" s="11"/>
      <c r="AB23">
        <v>0</v>
      </c>
      <c r="AC23">
        <v>1</v>
      </c>
      <c r="AD23">
        <v>2</v>
      </c>
      <c r="AE23">
        <v>3</v>
      </c>
      <c r="AF23">
        <v>4</v>
      </c>
      <c r="AG23">
        <v>5</v>
      </c>
      <c r="AH23">
        <v>6</v>
      </c>
      <c r="AI23">
        <v>7</v>
      </c>
      <c r="AJ23">
        <v>8</v>
      </c>
      <c r="AK23">
        <v>9</v>
      </c>
      <c r="AR23">
        <v>0</v>
      </c>
      <c r="AS23" s="8">
        <f>(C23/B23-C$35)/AB$26*SQRT(B23)</f>
        <v>-9.1804440880472432E-2</v>
      </c>
      <c r="AT23" s="8">
        <f>(D$23/C$23-D$35)/AC$26*SQRT(C$23)</f>
        <v>-0.15682173954365969</v>
      </c>
      <c r="AU23" s="8">
        <f t="shared" ref="AU23:BA23" si="60">(E$23/D$23-E$35)/AD$26*SQRT(D$23)</f>
        <v>0.83187481293832677</v>
      </c>
      <c r="AV23" s="8">
        <f t="shared" si="60"/>
        <v>-0.6423476632554681</v>
      </c>
      <c r="AW23" s="8">
        <f t="shared" si="60"/>
        <v>-1.0149014636044418</v>
      </c>
      <c r="AX23" s="8">
        <f t="shared" si="60"/>
        <v>-1.4560179061496485</v>
      </c>
      <c r="AY23" s="8">
        <f t="shared" si="60"/>
        <v>-0.26139202391138705</v>
      </c>
      <c r="AZ23" s="8">
        <f t="shared" si="60"/>
        <v>0.70111861502460637</v>
      </c>
      <c r="BA23" s="8">
        <f t="shared" si="60"/>
        <v>0</v>
      </c>
      <c r="BB23" s="8">
        <v>0</v>
      </c>
      <c r="BD23">
        <v>0</v>
      </c>
      <c r="BE23" s="8">
        <f>(O23/N23-O$35)/AB$27*SQRT(N23)</f>
        <v>-0.58876981438357401</v>
      </c>
      <c r="BF23" s="8">
        <f t="shared" ref="BF23:BK29" si="61">(P23/O23-P$35)/AC$27*SQRT(O23)</f>
        <v>-0.32803204272127123</v>
      </c>
      <c r="BG23" s="8">
        <f t="shared" si="61"/>
        <v>0.50566630122701062</v>
      </c>
      <c r="BH23" s="8">
        <f t="shared" si="61"/>
        <v>1.5702308458544669</v>
      </c>
      <c r="BI23" s="8">
        <f t="shared" si="61"/>
        <v>1.1922409489082013</v>
      </c>
      <c r="BJ23" s="8">
        <f t="shared" si="61"/>
        <v>1.1350417988465658</v>
      </c>
      <c r="BK23" s="8">
        <f t="shared" si="61"/>
        <v>0.46430979845269593</v>
      </c>
      <c r="BL23" s="8">
        <f>(V23/U23-V$35)/AI$27*SQRT(U23)</f>
        <v>0.70367696055217732</v>
      </c>
      <c r="BM23" s="8">
        <f>(W23/V23-W$35)/AJ$27*SQRT(V23)</f>
        <v>0</v>
      </c>
      <c r="BN23" s="8">
        <v>0</v>
      </c>
      <c r="BP23">
        <v>0</v>
      </c>
      <c r="BQ23" s="8">
        <f>(B23/N23-AB$24)/AB$28*SQRT(N23)</f>
        <v>-0.23494053929416114</v>
      </c>
      <c r="BR23" s="8">
        <f t="shared" ref="BR23:BY30" si="62">(C23/O23-AC$24)/AC$28*SQRT(O23)</f>
        <v>0.62472664259845334</v>
      </c>
      <c r="BS23" s="8">
        <f t="shared" si="62"/>
        <v>0.47270033687232005</v>
      </c>
      <c r="BT23" s="8">
        <f t="shared" si="62"/>
        <v>1.2323062361744628</v>
      </c>
      <c r="BU23" s="8">
        <f t="shared" si="62"/>
        <v>1.4505291191319862</v>
      </c>
      <c r="BV23" s="8">
        <f t="shared" si="62"/>
        <v>1.2225422705755074</v>
      </c>
      <c r="BW23" s="8">
        <f t="shared" si="62"/>
        <v>1.1911262599117149</v>
      </c>
      <c r="BX23" s="8">
        <f t="shared" si="62"/>
        <v>1.0227201988626384</v>
      </c>
      <c r="BY23" s="8">
        <f t="shared" si="62"/>
        <v>0.70360133623167231</v>
      </c>
      <c r="BZ23" s="8">
        <v>0</v>
      </c>
      <c r="CB23">
        <v>0</v>
      </c>
      <c r="CC23" s="8">
        <f>(N23/B23-AB$25)/AB$29*SQRT(B23)</f>
        <v>0.27355682923252211</v>
      </c>
      <c r="CD23" s="8">
        <f t="shared" ref="CD23:CK30" si="63">(O23/C23-AC$25)/AC$29*SQRT(C23)</f>
        <v>-0.62517329796844401</v>
      </c>
      <c r="CE23" s="8">
        <f t="shared" si="63"/>
        <v>-0.47380170858880033</v>
      </c>
      <c r="CF23" s="8">
        <f t="shared" si="63"/>
        <v>-1.2099389824118345</v>
      </c>
      <c r="CG23" s="8">
        <f t="shared" si="63"/>
        <v>-1.4276438830585494</v>
      </c>
      <c r="CH23" s="8">
        <f t="shared" si="63"/>
        <v>-1.2005974609513874</v>
      </c>
      <c r="CI23" s="8">
        <f t="shared" si="63"/>
        <v>-1.1789743440827911</v>
      </c>
      <c r="CJ23" s="8">
        <f t="shared" si="63"/>
        <v>-1.0161251696079567</v>
      </c>
      <c r="CK23" s="8">
        <v>0</v>
      </c>
      <c r="CL23" s="8">
        <v>0</v>
      </c>
      <c r="CN23">
        <v>0</v>
      </c>
      <c r="CO23" s="8">
        <f>AS23*CC23</f>
        <v>-2.5113731756726571E-2</v>
      </c>
      <c r="CP23" s="8">
        <f t="shared" ref="CP23:CP32" si="64">AT23*CD23</f>
        <v>9.8040764103658071E-2</v>
      </c>
      <c r="CQ23" s="8">
        <f t="shared" ref="CQ23:CQ32" si="65">AU23*CE23</f>
        <v>-0.39414370770216789</v>
      </c>
      <c r="CR23" s="8">
        <f t="shared" ref="CR23:CR32" si="66">AV23*CF23</f>
        <v>0.7772014780339408</v>
      </c>
      <c r="CS23" s="8">
        <f t="shared" ref="CS23:CS32" si="67">AW23*CG23</f>
        <v>1.4489178664220503</v>
      </c>
      <c r="CT23" s="8">
        <f t="shared" ref="CT23:CT32" si="68">AX23*CH23</f>
        <v>1.7480914012230235</v>
      </c>
      <c r="CU23" s="8">
        <f t="shared" ref="CU23:CU25" si="69">AY23*CI23</f>
        <v>0.30817448993940078</v>
      </c>
      <c r="CV23" s="8">
        <f t="shared" ref="CV23:CV24" si="70">AZ23*CJ23</f>
        <v>-0.71242427160717392</v>
      </c>
      <c r="CW23" s="8">
        <f t="shared" ref="CW23" si="71">BA23*CK23</f>
        <v>0</v>
      </c>
      <c r="CX23" s="8"/>
      <c r="CZ23">
        <v>0</v>
      </c>
      <c r="DA23" s="8">
        <f>BE23*BQ23</f>
        <v>0.13832589771140003</v>
      </c>
      <c r="DB23" s="8">
        <f t="shared" ref="DB23:DB32" si="72">BF23*BR23</f>
        <v>-0.20493035671397219</v>
      </c>
      <c r="DC23" s="8">
        <f t="shared" ref="DC23:DC32" si="73">BG23*BS23</f>
        <v>0.239028630934988</v>
      </c>
      <c r="DD23" s="8">
        <f t="shared" ref="DD23:DD32" si="74">BH23*BT23</f>
        <v>1.9350052635799613</v>
      </c>
      <c r="DE23" s="8">
        <f t="shared" ref="DE23:DE32" si="75">BI23*BU23</f>
        <v>1.7293802134128966</v>
      </c>
      <c r="DF23" s="8">
        <f t="shared" ref="DF23:DF32" si="76">BJ23*BV23</f>
        <v>1.3876365779599888</v>
      </c>
      <c r="DG23" s="8">
        <f t="shared" ref="DG23:DG32" si="77">BK23*BW23</f>
        <v>0.55305159367132184</v>
      </c>
      <c r="DH23" s="8">
        <f t="shared" ref="DH23:DH32" si="78">BL23*BX23</f>
        <v>0.71966464103097982</v>
      </c>
      <c r="DI23" s="8">
        <f t="shared" ref="DI23" si="79">BM23*BY23</f>
        <v>0</v>
      </c>
      <c r="DJ23" s="8">
        <f t="shared" ref="DJ23:DJ32" si="80">BN23*BZ23</f>
        <v>0</v>
      </c>
    </row>
    <row r="24" spans="1:119" x14ac:dyDescent="0.25">
      <c r="A24">
        <v>2013</v>
      </c>
      <c r="B24" s="13">
        <f>SUMIFS(Dane!$D$4:$D$2463,Dane!$A$4:$A$2463,'Trójkąty skumulowane'!$A$16,Dane!$H$4:$H$2463,'Trójkąty skumulowane'!$A20,Dane!$I$4:$I$2463,$A24+B$22)</f>
        <v>4103976.8489649151</v>
      </c>
      <c r="C24" s="13">
        <f>SUMIFS(Dane!$D$4:$D$2463,Dane!$A$4:$A$2463,'Trójkąty skumulowane'!$A$16,Dane!$H$4:$H$2463,'Trójkąty skumulowane'!$A20,Dane!$I$4:$I$2463,$A24+C$22)+B24</f>
        <v>5000492.7767952532</v>
      </c>
      <c r="D24" s="13">
        <f>SUMIFS(Dane!$D$4:$D$2463,Dane!$A$4:$A$2463,'Trójkąty skumulowane'!$A$16,Dane!$H$4:$H$2463,'Trójkąty skumulowane'!$A20,Dane!$I$4:$I$2463,$A24+D$22)+C24</f>
        <v>5029836.3739904091</v>
      </c>
      <c r="E24" s="13">
        <f>SUMIFS(Dane!$D$4:$D$2463,Dane!$A$4:$A$2463,'Trójkąty skumulowane'!$A$16,Dane!$H$4:$H$2463,'Trójkąty skumulowane'!$A20,Dane!$I$4:$I$2463,$A24+E$22)+D24</f>
        <v>5040327.4160874067</v>
      </c>
      <c r="F24" s="13">
        <f>SUMIFS(Dane!$D$4:$D$2463,Dane!$A$4:$A$2463,'Trójkąty skumulowane'!$A$16,Dane!$H$4:$H$2463,'Trójkąty skumulowane'!$A20,Dane!$I$4:$I$2463,$A24+F$22)+E24</f>
        <v>5040098.8196115727</v>
      </c>
      <c r="G24" s="13">
        <f>SUMIFS(Dane!$D$4:$D$2463,Dane!$A$4:$A$2463,'Trójkąty skumulowane'!$A$16,Dane!$H$4:$H$2463,'Trójkąty skumulowane'!$A20,Dane!$I$4:$I$2463,$A24+G$22)+F24</f>
        <v>5038647.3542407844</v>
      </c>
      <c r="H24" s="13">
        <f>SUMIFS(Dane!$D$4:$D$2463,Dane!$A$4:$A$2463,'Trójkąty skumulowane'!$A$16,Dane!$H$4:$H$2463,'Trójkąty skumulowane'!$A20,Dane!$I$4:$I$2463,$A24+H$22)+G24</f>
        <v>5038526.2604642119</v>
      </c>
      <c r="I24" s="13">
        <f>SUMIFS(Dane!$D$4:$D$2463,Dane!$A$4:$A$2463,'Trójkąty skumulowane'!$A$16,Dane!$H$4:$H$2463,'Trójkąty skumulowane'!$A20,Dane!$I$4:$I$2463,$A24+I$22)+H24</f>
        <v>5038187.2178986128</v>
      </c>
      <c r="J24" s="13">
        <f>SUMIFS(Dane!$D$4:$D$2463,Dane!$A$4:$A$2463,'Trójkąty skumulowane'!$A$16,Dane!$H$4:$H$2463,'Trójkąty skumulowane'!$A20,Dane!$I$4:$I$2463,$A24+J$22)+I24</f>
        <v>5037517.9003733704</v>
      </c>
      <c r="K24" s="14">
        <f>$J24*($K$35+$DO$26*($AJ$26/$AJ$29)*(($V$24/$J$24)-$AJ$25))</f>
        <v>5037132.2417877037</v>
      </c>
      <c r="L24" s="14">
        <f>K24-J24</f>
        <v>-385.65858566667885</v>
      </c>
      <c r="M24">
        <v>2013</v>
      </c>
      <c r="N24" s="13">
        <f>SUMIFS(Dane!$J$4:$J$2463,Dane!$A$4:$A$2463,'Trójkąty skumulowane'!$A$16,Dane!$H$4:$H$2463,'Trójkąty skumulowane'!$A20,Dane!$I$4:$I$2463,$A24+N$22)</f>
        <v>7242550.9921129774</v>
      </c>
      <c r="O24" s="13">
        <f>SUMIFS(Dane!$J$4:$J$2463,Dane!$A$4:$A$2463,'Trójkąty skumulowane'!$A$16,Dane!$H$4:$H$2463,'Trójkąty skumulowane'!$A20,Dane!$I$4:$I$2463,$A24+O$22)+N24</f>
        <v>9567344.6630231198</v>
      </c>
      <c r="P24" s="13">
        <f>SUMIFS(Dane!$J$4:$J$2463,Dane!$A$4:$A$2463,'Trójkąty skumulowane'!$A$16,Dane!$H$4:$H$2463,'Trójkąty skumulowane'!$A20,Dane!$I$4:$I$2463,$A24+P$22)+O24</f>
        <v>10185829.904772725</v>
      </c>
      <c r="Q24" s="13">
        <f>SUMIFS(Dane!$J$4:$J$2463,Dane!$A$4:$A$2463,'Trójkąty skumulowane'!$A$16,Dane!$H$4:$H$2463,'Trójkąty skumulowane'!$A20,Dane!$I$4:$I$2463,$A24+Q$22)+P24</f>
        <v>10464023.590696724</v>
      </c>
      <c r="R24" s="13">
        <f>SUMIFS(Dane!$J$4:$J$2463,Dane!$A$4:$A$2463,'Trójkąty skumulowane'!$A$16,Dane!$H$4:$H$2463,'Trójkąty skumulowane'!$A20,Dane!$I$4:$I$2463,$A24+R$22)+Q24</f>
        <v>10504626.045315424</v>
      </c>
      <c r="S24" s="13">
        <f>SUMIFS(Dane!$J$4:$J$2463,Dane!$A$4:$A$2463,'Trójkąty skumulowane'!$A$16,Dane!$H$4:$H$2463,'Trójkąty skumulowane'!$A20,Dane!$I$4:$I$2463,$A24+S$22)+R24</f>
        <v>10502704.212818205</v>
      </c>
      <c r="T24" s="13">
        <f>SUMIFS(Dane!$J$4:$J$2463,Dane!$A$4:$A$2463,'Trójkąty skumulowane'!$A$16,Dane!$H$4:$H$2463,'Trójkąty skumulowane'!$A20,Dane!$I$4:$I$2463,$A24+T$22)+S24</f>
        <v>10498245.2447746</v>
      </c>
      <c r="U24" s="13">
        <f>SUMIFS(Dane!$J$4:$J$2463,Dane!$A$4:$A$2463,'Trójkąty skumulowane'!$A$16,Dane!$H$4:$H$2463,'Trójkąty skumulowane'!$A20,Dane!$I$4:$I$2463,$A24+U$22)+T24</f>
        <v>10493269.185745014</v>
      </c>
      <c r="V24" s="13">
        <f>SUMIFS(Dane!$J$4:$J$2463,Dane!$A$4:$A$2463,'Trójkąty skumulowane'!$A$16,Dane!$H$4:$H$2463,'Trójkąty skumulowane'!$A20,Dane!$I$4:$I$2463,$A24+V$22)+U24</f>
        <v>10489002.922949327</v>
      </c>
      <c r="W24" s="13">
        <f>SUMIFS(Dane!$J$4:$J$2463,Dane!$A$4:$A$2463,'Trójkąty skumulowane'!$A$16,Dane!$H$4:$H$2463,'Trójkąty skumulowane'!$A20,Dane!$I$4:$I$2463,$A24+W$22)</f>
        <v>0</v>
      </c>
      <c r="X24" s="11"/>
      <c r="AA24" t="s">
        <v>36</v>
      </c>
      <c r="AB24">
        <f>SUM(B23:B32)/SUM(N23:N32)</f>
        <v>0.60120542990235404</v>
      </c>
      <c r="AC24">
        <f>SUM(C23:C31)/SUM(O23:O31)</f>
        <v>0.52102628019419261</v>
      </c>
      <c r="AD24">
        <f>SUM(D23:D30)/SUM(P23:P30)</f>
        <v>0.49483403967902667</v>
      </c>
      <c r="AE24">
        <f>SUM(E23:E29)/SUM(Q23:Q29)</f>
        <v>0.476127891780734</v>
      </c>
      <c r="AF24">
        <f>SUM(F23:F28)/SUM(R23:R28)</f>
        <v>0.47014955286767218</v>
      </c>
      <c r="AG24">
        <f>SUM(G23:G27)/SUM(S23:S27)</f>
        <v>0.47242804909818054</v>
      </c>
      <c r="AH24">
        <f>SUM(H23:H26)/SUM(T23:T26)</f>
        <v>0.47707481664663981</v>
      </c>
      <c r="AI24">
        <f>SUM(I23:I25)/SUM(U23:U25)</f>
        <v>0.48046350556773249</v>
      </c>
      <c r="AJ24">
        <f>SUM(J23:J24)/SUM(V23:V24)</f>
        <v>0.48367744231452697</v>
      </c>
      <c r="AK24">
        <f>SUM(K23:K23)/SUM(W23:W23)</f>
        <v>0.48696134099740773</v>
      </c>
      <c r="AR24">
        <v>1</v>
      </c>
      <c r="AS24" s="8">
        <f>(C$24/B$24-C$35)/AB$26*SQRT(B$24)</f>
        <v>0.14656310225733127</v>
      </c>
      <c r="AT24" s="8">
        <f t="shared" ref="AT24:AZ24" si="81">(D$24/C$24-D$35)/AC$26*SQRT(C$24)</f>
        <v>-0.45517648903056751</v>
      </c>
      <c r="AU24" s="8">
        <f t="shared" si="81"/>
        <v>0.73507118405376803</v>
      </c>
      <c r="AV24" s="8">
        <f t="shared" si="81"/>
        <v>0.18671984143357129</v>
      </c>
      <c r="AW24" s="8">
        <f t="shared" si="81"/>
        <v>-0.2337533440308176</v>
      </c>
      <c r="AX24" s="8">
        <f t="shared" si="81"/>
        <v>0.76538913104222317</v>
      </c>
      <c r="AY24" s="8">
        <f t="shared" si="81"/>
        <v>1.1070091644220845</v>
      </c>
      <c r="AZ24" s="8">
        <f t="shared" si="81"/>
        <v>-0.71304466035864655</v>
      </c>
      <c r="BA24" s="60">
        <v>0</v>
      </c>
      <c r="BB24" s="8">
        <v>0</v>
      </c>
      <c r="BD24">
        <v>1</v>
      </c>
      <c r="BE24" s="8">
        <f t="shared" ref="BE24:BF30" si="82">(O24/N24-O$35)/AB$27*SQRT(N24)</f>
        <v>-0.38968524373755625</v>
      </c>
      <c r="BF24" s="8">
        <f t="shared" si="61"/>
        <v>-0.50355769317238719</v>
      </c>
      <c r="BG24" s="8">
        <f t="shared" si="61"/>
        <v>0.3063841925639843</v>
      </c>
      <c r="BH24" s="8">
        <f t="shared" si="61"/>
        <v>-0.6865958499012883</v>
      </c>
      <c r="BI24" s="8">
        <f t="shared" si="61"/>
        <v>-1.3098132334644377</v>
      </c>
      <c r="BJ24" s="8">
        <f t="shared" si="61"/>
        <v>-1.3012963181498007</v>
      </c>
      <c r="BK24" s="8">
        <f t="shared" si="61"/>
        <v>-1.1511313174639741</v>
      </c>
      <c r="BL24" s="8">
        <f t="shared" ref="BL24" si="83">(V24/U24-V$35)/AI$27*SQRT(U24)</f>
        <v>-0.71052004559199411</v>
      </c>
      <c r="BM24" s="8">
        <v>0</v>
      </c>
      <c r="BN24" s="8">
        <v>0</v>
      </c>
      <c r="BP24">
        <v>1</v>
      </c>
      <c r="BQ24" s="8">
        <f t="shared" ref="BQ24:BR32" si="84">(B24/N24-AB$24)/AB$28*SQRT(N24)</f>
        <v>-0.37739141121812969</v>
      </c>
      <c r="BR24" s="8">
        <f t="shared" si="62"/>
        <v>6.0978791945095034E-2</v>
      </c>
      <c r="BS24" s="8">
        <f t="shared" si="62"/>
        <v>-3.7954439944567576E-2</v>
      </c>
      <c r="BT24" s="8">
        <f t="shared" si="62"/>
        <v>0.36997236250919424</v>
      </c>
      <c r="BU24" s="8">
        <f t="shared" si="62"/>
        <v>0.73828772927055775</v>
      </c>
      <c r="BV24" s="8">
        <f t="shared" si="62"/>
        <v>0.58482311219377192</v>
      </c>
      <c r="BW24" s="8">
        <f t="shared" si="62"/>
        <v>0.33474813876282433</v>
      </c>
      <c r="BX24" s="8">
        <f t="shared" si="62"/>
        <v>-5.0202697373149363E-2</v>
      </c>
      <c r="BY24" s="8">
        <f t="shared" si="62"/>
        <v>-0.71059493359649362</v>
      </c>
      <c r="BZ24" s="8">
        <v>0</v>
      </c>
      <c r="CB24">
        <v>1</v>
      </c>
      <c r="CC24" s="8">
        <f t="shared" ref="CC24:CD31" si="85">(N24/B24-AB$25)/AB$29*SQRT(B24)</f>
        <v>0.44451147385343726</v>
      </c>
      <c r="CD24" s="8">
        <f t="shared" si="63"/>
        <v>-6.189671945128767E-2</v>
      </c>
      <c r="CE24" s="8">
        <f t="shared" si="63"/>
        <v>3.8569660480983481E-2</v>
      </c>
      <c r="CF24" s="8">
        <f t="shared" si="63"/>
        <v>-0.36807751124594462</v>
      </c>
      <c r="CG24" s="8">
        <f t="shared" si="63"/>
        <v>-0.73354463006065174</v>
      </c>
      <c r="CH24" s="8">
        <f t="shared" si="63"/>
        <v>-0.5790024141818565</v>
      </c>
      <c r="CI24" s="8">
        <f t="shared" si="63"/>
        <v>-0.33382062420281949</v>
      </c>
      <c r="CJ24" s="8">
        <f t="shared" si="63"/>
        <v>5.0238846433054984E-2</v>
      </c>
      <c r="CK24" s="8">
        <f t="shared" si="63"/>
        <v>0.71304713839500378</v>
      </c>
      <c r="CL24" s="8">
        <v>0</v>
      </c>
      <c r="CN24">
        <v>1</v>
      </c>
      <c r="CO24" s="8">
        <f t="shared" ref="CO24:CO29" si="86">AS24*CC24</f>
        <v>6.5148980596938355E-2</v>
      </c>
      <c r="CP24" s="8">
        <f t="shared" si="64"/>
        <v>2.8173931442347158E-2</v>
      </c>
      <c r="CQ24" s="8">
        <f t="shared" si="65"/>
        <v>2.8351445998308352E-2</v>
      </c>
      <c r="CR24" s="8">
        <f t="shared" si="66"/>
        <v>-6.8727374535106328E-2</v>
      </c>
      <c r="CS24" s="8">
        <f t="shared" si="67"/>
        <v>0.17146851027252635</v>
      </c>
      <c r="CT24" s="8">
        <f t="shared" si="68"/>
        <v>-0.44316215466200054</v>
      </c>
      <c r="CU24" s="8">
        <f t="shared" si="69"/>
        <v>-0.36954249026562191</v>
      </c>
      <c r="CV24" s="8">
        <f t="shared" si="70"/>
        <v>-3.5822541191667896E-2</v>
      </c>
      <c r="CW24" s="8">
        <f>BA24*CK24</f>
        <v>0</v>
      </c>
      <c r="CX24" s="8"/>
      <c r="CZ24">
        <v>1</v>
      </c>
      <c r="DA24" s="8">
        <f t="shared" ref="DA24:DA32" si="87">BE24*BQ24</f>
        <v>0.14706386406499719</v>
      </c>
      <c r="DB24" s="8">
        <f t="shared" si="72"/>
        <v>-3.0706339804311002E-2</v>
      </c>
      <c r="DC24" s="8">
        <f t="shared" si="73"/>
        <v>-1.162864043663457E-2</v>
      </c>
      <c r="DD24" s="8">
        <f t="shared" si="74"/>
        <v>-0.25402148867698776</v>
      </c>
      <c r="DE24" s="8">
        <f t="shared" si="75"/>
        <v>-0.9670190379029866</v>
      </c>
      <c r="DF24" s="8">
        <f t="shared" si="76"/>
        <v>-0.76102816266666329</v>
      </c>
      <c r="DG24" s="8">
        <f t="shared" si="77"/>
        <v>-0.38533906599266321</v>
      </c>
      <c r="DH24" s="8">
        <f t="shared" si="78"/>
        <v>3.5670022826411171E-2</v>
      </c>
      <c r="DI24" s="8">
        <f>BM24*BY24</f>
        <v>0</v>
      </c>
      <c r="DJ24" s="8">
        <f t="shared" si="80"/>
        <v>0</v>
      </c>
    </row>
    <row r="25" spans="1:119" x14ac:dyDescent="0.25">
      <c r="A25">
        <v>2014</v>
      </c>
      <c r="B25" s="13">
        <f>SUMIFS(Dane!$D$4:$D$2463,Dane!$A$4:$A$2463,'Trójkąty skumulowane'!$A$16,Dane!$H$4:$H$2463,'Trójkąty skumulowane'!$A21,Dane!$I$4:$I$2463,$A25+B$22)</f>
        <v>4144525.2888819813</v>
      </c>
      <c r="C25" s="13">
        <f>SUMIFS(Dane!$D$4:$D$2463,Dane!$A$4:$A$2463,'Trójkąty skumulowane'!$A$16,Dane!$H$4:$H$2463,'Trójkąty skumulowane'!$A21,Dane!$I$4:$I$2463,$A25+C$22)+B25</f>
        <v>5009318.3483073814</v>
      </c>
      <c r="D25" s="13">
        <f>SUMIFS(Dane!$D$4:$D$2463,Dane!$A$4:$A$2463,'Trójkąty skumulowane'!$A$16,Dane!$H$4:$H$2463,'Trójkąty skumulowane'!$A21,Dane!$I$4:$I$2463,$A25+D$22)+C25</f>
        <v>5047660.9800198637</v>
      </c>
      <c r="E25" s="13">
        <f>SUMIFS(Dane!$D$4:$D$2463,Dane!$A$4:$A$2463,'Trójkąty skumulowane'!$A$16,Dane!$H$4:$H$2463,'Trójkąty skumulowane'!$A21,Dane!$I$4:$I$2463,$A25+E$22)+D25</f>
        <v>5052630.6482328633</v>
      </c>
      <c r="F25" s="13">
        <f>SUMIFS(Dane!$D$4:$D$2463,Dane!$A$4:$A$2463,'Trójkąty skumulowane'!$A$16,Dane!$H$4:$H$2463,'Trójkąty skumulowane'!$A21,Dane!$I$4:$I$2463,$A25+F$22)+E25</f>
        <v>5050444.2348935511</v>
      </c>
      <c r="G25" s="13">
        <f>SUMIFS(Dane!$D$4:$D$2463,Dane!$A$4:$A$2463,'Trójkąty skumulowane'!$A$16,Dane!$H$4:$H$2463,'Trójkąty skumulowane'!$A21,Dane!$I$4:$I$2463,$A25+G$22)+F25</f>
        <v>5048337.6698905034</v>
      </c>
      <c r="H25" s="13">
        <f>SUMIFS(Dane!$D$4:$D$2463,Dane!$A$4:$A$2463,'Trójkąty skumulowane'!$A$16,Dane!$H$4:$H$2463,'Trójkąty skumulowane'!$A21,Dane!$I$4:$I$2463,$A25+H$22)+G25</f>
        <v>5048060.8737261798</v>
      </c>
      <c r="I25" s="13">
        <f>SUMIFS(Dane!$D$4:$D$2463,Dane!$A$4:$A$2463,'Trójkąty skumulowane'!$A$16,Dane!$H$4:$H$2463,'Trójkąty skumulowane'!$A21,Dane!$I$4:$I$2463,$A25+I$22)+H25</f>
        <v>5046848.0144023411</v>
      </c>
      <c r="J25" s="14">
        <f>$I25*($J$35+$DO$26*($AI$26/$AI$29)*(($U$25/$I$25)-$AI$25))</f>
        <v>5046225.4940962344</v>
      </c>
      <c r="K25" s="14">
        <f t="shared" ref="K25:K32" si="88">$J25*($K$35+$DO$26*($AJ$26/$AJ$29)*(($V$24/$J$24)-$AJ$25))</f>
        <v>5045839.1688810196</v>
      </c>
      <c r="L25" s="14">
        <f>K25-I25</f>
        <v>-1008.8455213215202</v>
      </c>
      <c r="M25">
        <v>2014</v>
      </c>
      <c r="N25" s="13">
        <f>SUMIFS(Dane!$J$4:$J$2463,Dane!$A$4:$A$2463,'Trójkąty skumulowane'!$A$16,Dane!$H$4:$H$2463,'Trójkąty skumulowane'!$A21,Dane!$I$4:$I$2463,$A25+N$22)</f>
        <v>7271512.9106518859</v>
      </c>
      <c r="O25" s="13">
        <f>SUMIFS(Dane!$J$4:$J$2463,Dane!$A$4:$A$2463,'Trójkąty skumulowane'!$A$16,Dane!$H$4:$H$2463,'Trójkąty skumulowane'!$A21,Dane!$I$4:$I$2463,$A25+O$22)+N25</f>
        <v>9581161.3768978287</v>
      </c>
      <c r="P25" s="13">
        <f>SUMIFS(Dane!$J$4:$J$2463,Dane!$A$4:$A$2463,'Trójkąty skumulowane'!$A$16,Dane!$H$4:$H$2463,'Trójkąty skumulowane'!$A21,Dane!$I$4:$I$2463,$A25+P$22)+O25</f>
        <v>10316489.121749334</v>
      </c>
      <c r="Q25" s="13">
        <f>SUMIFS(Dane!$J$4:$J$2463,Dane!$A$4:$A$2463,'Trójkąty skumulowane'!$A$16,Dane!$H$4:$H$2463,'Trójkąty skumulowane'!$A21,Dane!$I$4:$I$2463,$A25+Q$22)+P25</f>
        <v>10570702.639964644</v>
      </c>
      <c r="R25" s="13">
        <f>SUMIFS(Dane!$J$4:$J$2463,Dane!$A$4:$A$2463,'Trójkąty skumulowane'!$A$16,Dane!$H$4:$H$2463,'Trójkąty skumulowane'!$A21,Dane!$I$4:$I$2463,$A25+R$22)+Q25</f>
        <v>10627831.871234691</v>
      </c>
      <c r="S25" s="13">
        <f>SUMIFS(Dane!$J$4:$J$2463,Dane!$A$4:$A$2463,'Trójkąty skumulowane'!$A$16,Dane!$H$4:$H$2463,'Trójkąty skumulowane'!$A21,Dane!$I$4:$I$2463,$A25+S$22)+R25</f>
        <v>10642154.312894018</v>
      </c>
      <c r="T25" s="13">
        <f>SUMIFS(Dane!$J$4:$J$2463,Dane!$A$4:$A$2463,'Trójkąty skumulowane'!$A$16,Dane!$H$4:$H$2463,'Trójkąty skumulowane'!$A21,Dane!$I$4:$I$2463,$A25+T$22)+S25</f>
        <v>10643973.425685601</v>
      </c>
      <c r="U25" s="13">
        <f>SUMIFS(Dane!$J$4:$J$2463,Dane!$A$4:$A$2463,'Trójkąty skumulowane'!$A$16,Dane!$H$4:$H$2463,'Trójkąty skumulowane'!$A21,Dane!$I$4:$I$2463,$A25+U$22)+T25</f>
        <v>10644470.736615825</v>
      </c>
      <c r="V25" s="13">
        <f>SUMIFS(Dane!$J$4:$J$2463,Dane!$A$4:$A$2463,'Trójkąty skumulowane'!$A$16,Dane!$H$4:$H$2463,'Trójkąty skumulowane'!$A21,Dane!$I$4:$I$2463,$A25+V$22)</f>
        <v>0</v>
      </c>
      <c r="W25" s="13">
        <f>SUMIFS(Dane!$J$4:$J$2463,Dane!$A$4:$A$2463,'Trójkąty skumulowane'!$A$16,Dane!$H$4:$H$2463,'Trójkąty skumulowane'!$A21,Dane!$I$4:$I$2463,$A25+W$22)+V25</f>
        <v>0</v>
      </c>
      <c r="X25" s="11"/>
      <c r="AA25" t="s">
        <v>37</v>
      </c>
      <c r="AB25">
        <f>1/AB24</f>
        <v>1.663324963918601</v>
      </c>
      <c r="AC25">
        <f t="shared" ref="AC25:AK25" si="89">1/AC24</f>
        <v>1.9192889840936396</v>
      </c>
      <c r="AD25">
        <f t="shared" si="89"/>
        <v>2.0208795673164448</v>
      </c>
      <c r="AE25">
        <f t="shared" si="89"/>
        <v>2.1002760335252932</v>
      </c>
      <c r="AF25">
        <f t="shared" si="89"/>
        <v>2.1269827736738462</v>
      </c>
      <c r="AG25">
        <f t="shared" si="89"/>
        <v>2.116724444936966</v>
      </c>
      <c r="AH25">
        <f t="shared" si="89"/>
        <v>2.0961072878023677</v>
      </c>
      <c r="AI25">
        <f t="shared" si="89"/>
        <v>2.0813235311563676</v>
      </c>
      <c r="AJ25">
        <f t="shared" si="89"/>
        <v>2.0674935659904468</v>
      </c>
      <c r="AK25">
        <f t="shared" si="89"/>
        <v>2.0535511052104716</v>
      </c>
      <c r="AR25">
        <v>2</v>
      </c>
      <c r="AS25" s="8">
        <f t="shared" ref="AS25:AT31" si="90">(C25/B25-C$35)/AB$26*SQRT(B25)</f>
        <v>-0.3002667673888828</v>
      </c>
      <c r="AT25" s="8">
        <f t="shared" ref="AT25:AT29" si="91">(D25/C25-D$35)/AC$26*SQRT(C25)</f>
        <v>8.5363029079970412E-2</v>
      </c>
      <c r="AU25" s="8">
        <f t="shared" ref="AU25:AU29" si="92">(E25/D25-E$35)/AD$26*SQRT(D25)</f>
        <v>-0.62817131075666688</v>
      </c>
      <c r="AV25" s="8">
        <f t="shared" ref="AV25:AV28" si="93">(F25/E25-F$35)/AE$26*SQRT(E25)</f>
        <v>-1.3500358975350535</v>
      </c>
      <c r="AW25" s="8">
        <f t="shared" ref="AW25:AW27" si="94">(G25/F25-G$35)/AF$26*SQRT(F25)</f>
        <v>-0.59067789340419885</v>
      </c>
      <c r="AX25" s="8">
        <f t="shared" ref="AX25:AX26" si="95">(H25/G25-H$35)/AG$26*SQRT(G25)</f>
        <v>0.49933305885676471</v>
      </c>
      <c r="AY25" s="8">
        <f t="shared" ref="AY25" si="96">(I25/H25-I$35)/AH$26*SQRT(H25)</f>
        <v>-0.84035999412217799</v>
      </c>
      <c r="AZ25" s="60">
        <v>0</v>
      </c>
      <c r="BA25" s="21">
        <v>0</v>
      </c>
      <c r="BB25" s="8">
        <v>0</v>
      </c>
      <c r="BD25">
        <v>2</v>
      </c>
      <c r="BE25" s="8">
        <f t="shared" si="82"/>
        <v>-0.44190258192864224</v>
      </c>
      <c r="BF25" s="8">
        <f t="shared" si="61"/>
        <v>0.53099417959928175</v>
      </c>
      <c r="BG25" s="8">
        <f t="shared" si="61"/>
        <v>-0.11994924468382992</v>
      </c>
      <c r="BH25" s="8">
        <f t="shared" si="61"/>
        <v>-0.21766842743107023</v>
      </c>
      <c r="BI25" s="8">
        <f t="shared" si="61"/>
        <v>0.26825504345679702</v>
      </c>
      <c r="BJ25" s="8">
        <f t="shared" si="61"/>
        <v>0.13369899879824024</v>
      </c>
      <c r="BK25" s="8">
        <f t="shared" si="61"/>
        <v>0.67772642047840514</v>
      </c>
      <c r="BL25" s="8">
        <v>0</v>
      </c>
      <c r="BM25" s="8">
        <v>0</v>
      </c>
      <c r="BN25" s="8">
        <v>0</v>
      </c>
      <c r="BP25">
        <v>2</v>
      </c>
      <c r="BQ25" s="8">
        <f t="shared" si="84"/>
        <v>-0.34182241302421373</v>
      </c>
      <c r="BR25" s="8">
        <f t="shared" si="62"/>
        <v>6.7266593707652464E-2</v>
      </c>
      <c r="BS25" s="8">
        <f t="shared" si="62"/>
        <v>-0.20657443855264979</v>
      </c>
      <c r="BT25" s="8">
        <f t="shared" si="62"/>
        <v>0.12430264293112959</v>
      </c>
      <c r="BU25" s="8">
        <f t="shared" si="62"/>
        <v>0.3894265015418677</v>
      </c>
      <c r="BV25" s="8">
        <f t="shared" si="62"/>
        <v>0.15632877405589907</v>
      </c>
      <c r="BW25" s="8">
        <f t="shared" si="62"/>
        <v>-0.33060243120602339</v>
      </c>
      <c r="BX25" s="8">
        <f t="shared" si="62"/>
        <v>-0.97546044718113767</v>
      </c>
      <c r="BY25" s="8">
        <v>0</v>
      </c>
      <c r="BZ25" s="8">
        <v>0</v>
      </c>
      <c r="CB25">
        <v>2</v>
      </c>
      <c r="CC25" s="8">
        <f t="shared" si="85"/>
        <v>0.40144232774149419</v>
      </c>
      <c r="CD25" s="8">
        <f t="shared" si="63"/>
        <v>-6.8268239799003053E-2</v>
      </c>
      <c r="CE25" s="8">
        <f t="shared" si="63"/>
        <v>0.2108916581748054</v>
      </c>
      <c r="CF25" s="8">
        <f t="shared" si="63"/>
        <v>-0.12414337127565525</v>
      </c>
      <c r="CG25" s="8">
        <f t="shared" si="63"/>
        <v>-0.38878828491804557</v>
      </c>
      <c r="CH25" s="8">
        <f t="shared" si="63"/>
        <v>-0.15564736102958202</v>
      </c>
      <c r="CI25" s="8">
        <f t="shared" si="63"/>
        <v>0.33165308566519475</v>
      </c>
      <c r="CJ25" s="8">
        <f t="shared" si="63"/>
        <v>0.98232667580508903</v>
      </c>
      <c r="CK25" s="8">
        <v>0</v>
      </c>
      <c r="CL25" s="8">
        <v>0</v>
      </c>
      <c r="CN25">
        <v>2</v>
      </c>
      <c r="CO25" s="8">
        <f t="shared" si="86"/>
        <v>-0.12053979004400689</v>
      </c>
      <c r="CP25" s="8">
        <f t="shared" si="64"/>
        <v>-5.827583739200691E-3</v>
      </c>
      <c r="CQ25" s="8">
        <f t="shared" si="65"/>
        <v>-0.13247608934331445</v>
      </c>
      <c r="CR25" s="8">
        <f t="shared" si="66"/>
        <v>0.16759800766315661</v>
      </c>
      <c r="CS25" s="8">
        <f t="shared" si="67"/>
        <v>0.22964864511562261</v>
      </c>
      <c r="CT25" s="8">
        <f t="shared" si="68"/>
        <v>-7.7719872885884389E-2</v>
      </c>
      <c r="CU25" s="8">
        <f t="shared" si="69"/>
        <v>-0.27870798512020523</v>
      </c>
      <c r="CV25" s="8">
        <f>AZ25*CJ25</f>
        <v>0</v>
      </c>
      <c r="CW25" s="8">
        <f t="shared" ref="CW25:CW32" si="97">BA25*CK25</f>
        <v>0</v>
      </c>
      <c r="CX25" s="8"/>
      <c r="CZ25">
        <v>2</v>
      </c>
      <c r="DA25" s="8">
        <f t="shared" si="87"/>
        <v>0.1510522068764788</v>
      </c>
      <c r="DB25" s="8">
        <f t="shared" si="72"/>
        <v>3.5718169740233126E-2</v>
      </c>
      <c r="DC25" s="8">
        <f t="shared" si="73"/>
        <v>2.4778447875376579E-2</v>
      </c>
      <c r="DD25" s="8">
        <f t="shared" si="74"/>
        <v>-2.7056760812344819E-2</v>
      </c>
      <c r="DE25" s="8">
        <f t="shared" si="75"/>
        <v>0.10446562309434215</v>
      </c>
      <c r="DF25" s="8">
        <f t="shared" si="76"/>
        <v>2.090100057463002E-2</v>
      </c>
      <c r="DG25" s="8">
        <f t="shared" si="77"/>
        <v>-0.22405800230271641</v>
      </c>
      <c r="DH25" s="8">
        <f t="shared" si="78"/>
        <v>0</v>
      </c>
      <c r="DI25" s="8">
        <f t="shared" ref="DI25:DI32" si="98">BM25*BY25</f>
        <v>0</v>
      </c>
      <c r="DJ25" s="8">
        <f t="shared" si="80"/>
        <v>0</v>
      </c>
    </row>
    <row r="26" spans="1:119" x14ac:dyDescent="0.25">
      <c r="A26">
        <v>2015</v>
      </c>
      <c r="B26" s="13">
        <f>SUMIFS(Dane!$D$4:$D$2463,Dane!$A$4:$A$2463,'Trójkąty skumulowane'!$A$16,Dane!$H$4:$H$2463,'Trójkąty skumulowane'!$A22,Dane!$I$4:$I$2463,$A26+B$22)</f>
        <v>4297632.8479463691</v>
      </c>
      <c r="C26" s="13">
        <f>SUMIFS(Dane!$D$4:$D$2463,Dane!$A$4:$A$2463,'Trójkąty skumulowane'!$A$16,Dane!$H$4:$H$2463,'Trójkąty skumulowane'!$A22,Dane!$I$4:$I$2463,$A26+C$22)+B26</f>
        <v>5191642.9096287154</v>
      </c>
      <c r="D26" s="13">
        <f>SUMIFS(Dane!$D$4:$D$2463,Dane!$A$4:$A$2463,'Trójkąty skumulowane'!$A$16,Dane!$H$4:$H$2463,'Trójkąty skumulowane'!$A22,Dane!$I$4:$I$2463,$A26+D$22)+C26</f>
        <v>5228063.4834473031</v>
      </c>
      <c r="E26" s="13">
        <f>SUMIFS(Dane!$D$4:$D$2463,Dane!$A$4:$A$2463,'Trójkąty skumulowane'!$A$16,Dane!$H$4:$H$2463,'Trójkąty skumulowane'!$A22,Dane!$I$4:$I$2463,$A26+E$22)+D26</f>
        <v>5234464.7453851644</v>
      </c>
      <c r="F26" s="13">
        <f>SUMIFS(Dane!$D$4:$D$2463,Dane!$A$4:$A$2463,'Trójkąty skumulowane'!$A$16,Dane!$H$4:$H$2463,'Trójkąty skumulowane'!$A22,Dane!$I$4:$I$2463,$A26+F$22)+E26</f>
        <v>5234678.3120978428</v>
      </c>
      <c r="G26" s="13">
        <f>SUMIFS(Dane!$D$4:$D$2463,Dane!$A$4:$A$2463,'Trójkąty skumulowane'!$A$16,Dane!$H$4:$H$2463,'Trójkąty skumulowane'!$A22,Dane!$I$4:$I$2463,$A26+G$22)+F26</f>
        <v>5233855.6558879539</v>
      </c>
      <c r="H26" s="13">
        <f>SUMIFS(Dane!$D$4:$D$2463,Dane!$A$4:$A$2463,'Trójkąty skumulowane'!$A$16,Dane!$H$4:$H$2463,'Trójkąty skumulowane'!$A22,Dane!$I$4:$I$2463,$A26+H$22)+G26</f>
        <v>5233392.6840154994</v>
      </c>
      <c r="I26" s="14">
        <f>$H26*($I$35+$DO$26*($AH$26/$AH$29)*(($T$26/$H$26)-$AH$25))</f>
        <v>5232651.3894380461</v>
      </c>
      <c r="J26" s="14">
        <f t="shared" ref="J26:J32" si="99">$I26*($J$35+$DO$26*($AI$26/$AI$29)*(($U$25/$I$25)-$AI$25))</f>
        <v>5232005.9505947512</v>
      </c>
      <c r="K26" s="14">
        <f t="shared" si="88"/>
        <v>5231605.4025361612</v>
      </c>
      <c r="L26" s="14">
        <f>K26-H26</f>
        <v>-1787.281479338184</v>
      </c>
      <c r="M26">
        <v>2015</v>
      </c>
      <c r="N26" s="13">
        <f>SUMIFS(Dane!$J$4:$J$2463,Dane!$A$4:$A$2463,'Trójkąty skumulowane'!$A$16,Dane!$H$4:$H$2463,'Trójkąty skumulowane'!$A22,Dane!$I$4:$I$2463,$A26+N$22)</f>
        <v>7540075.6357921083</v>
      </c>
      <c r="O26" s="13">
        <f>SUMIFS(Dane!$J$4:$J$2463,Dane!$A$4:$A$2463,'Trójkąty skumulowane'!$A$16,Dane!$H$4:$H$2463,'Trójkąty skumulowane'!$A22,Dane!$I$4:$I$2463,$A26+O$22)+N26</f>
        <v>10064372.43204518</v>
      </c>
      <c r="P26" s="13">
        <f>SUMIFS(Dane!$J$4:$J$2463,Dane!$A$4:$A$2463,'Trójkąty skumulowane'!$A$16,Dane!$H$4:$H$2463,'Trójkąty skumulowane'!$A22,Dane!$I$4:$I$2463,$A26+P$22)+O26</f>
        <v>10878311.325961314</v>
      </c>
      <c r="Q26" s="13">
        <f>SUMIFS(Dane!$J$4:$J$2463,Dane!$A$4:$A$2463,'Trójkąty skumulowane'!$A$16,Dane!$H$4:$H$2463,'Trójkąty skumulowane'!$A22,Dane!$I$4:$I$2463,$A26+Q$22)+P26</f>
        <v>11144156.891348276</v>
      </c>
      <c r="R26" s="13">
        <f>SUMIFS(Dane!$J$4:$J$2463,Dane!$A$4:$A$2463,'Trójkąty skumulowane'!$A$16,Dane!$H$4:$H$2463,'Trójkąty skumulowane'!$A22,Dane!$I$4:$I$2463,$A26+R$22)+Q26</f>
        <v>11190559.40738349</v>
      </c>
      <c r="S26" s="13">
        <f>SUMIFS(Dane!$J$4:$J$2463,Dane!$A$4:$A$2463,'Trójkąty skumulowane'!$A$16,Dane!$H$4:$H$2463,'Trójkąty skumulowane'!$A22,Dane!$I$4:$I$2463,$A26+S$22)+R26</f>
        <v>11195178.716729267</v>
      </c>
      <c r="T26" s="13">
        <f>SUMIFS(Dane!$J$4:$J$2463,Dane!$A$4:$A$2463,'Trójkąty skumulowane'!$A$16,Dane!$H$4:$H$2463,'Trójkąty skumulowane'!$A22,Dane!$I$4:$I$2463,$A26+T$22)+S26</f>
        <v>11196568.581896586</v>
      </c>
      <c r="U26" s="13">
        <f>SUMIFS(Dane!$J$4:$J$2463,Dane!$A$4:$A$2463,'Trójkąty skumulowane'!$A$16,Dane!$H$4:$H$2463,'Trójkąty skumulowane'!$A22,Dane!$I$4:$I$2463,$A26+U$22)</f>
        <v>0</v>
      </c>
      <c r="V26" s="13">
        <f>SUMIFS(Dane!$J$4:$J$2463,Dane!$A$4:$A$2463,'Trójkąty skumulowane'!$A$16,Dane!$H$4:$H$2463,'Trójkąty skumulowane'!$A22,Dane!$I$4:$I$2463,$A26+V$22)+U26</f>
        <v>0</v>
      </c>
      <c r="W26" s="13">
        <f>SUMIFS(Dane!$J$4:$J$2463,Dane!$A$4:$A$2463,'Trójkąty skumulowane'!$A$16,Dane!$H$4:$H$2463,'Trójkąty skumulowane'!$A22,Dane!$I$4:$I$2463,$A26+W$22)+V26</f>
        <v>0</v>
      </c>
      <c r="X26" s="11"/>
      <c r="AA26" t="s">
        <v>38</v>
      </c>
      <c r="AB26">
        <f>SQRT(1/(8-$AB23)*(B23*(C23/B23-C35)^2+B24*(C24/B24-C35)^2+B25*(C25/B25-C35)^2+B26*(C26/B26-C35)^2+B27*(C27/B27-C35)^2+B28*(C28/B28-C35)^2+B29*(C29/B29-C35)^2+B30*(C30/B30-C35)^2+B31*(C31/B31-C35)^2))</f>
        <v>44.538795850405414</v>
      </c>
      <c r="AC26">
        <f>SQRT(1/(8-AC23)*(C23*(D23/C23-D35)^2+C24*(D24/C24-D35)^2+C25*(D25/C25-D35)^2+C26*(D26/C26-D35)^2+C27*(D27/C27-D35)^2+C28*(D28/C28-D35)^2+C29*(D29/C29-D35)^2+C30*(D30/C30-D35)^2))</f>
        <v>7.3900961423358886</v>
      </c>
      <c r="AD26">
        <f>SQRT(1/(8-AD23)*(D23*(E23/D23-E35)^2+D24*(E24/D24-E35)^2+D25*(E25/D25-E35)^2+D26*(E26/D26-E35)^2+D27*(E27/D27-E35)^2+D28*(E28/D28-E35)^2+D29*(E29/D29-E35)^2))</f>
        <v>1.8131305826296273</v>
      </c>
      <c r="AE26">
        <f>SQRT(1/(8-AE23)*(E23*(F23/E23-F35)^2+E24*(F24/E24-F35)^2+E25*(F25/E25-F35)^2+E26*(F26/E26-F35)^2+E27*(F27/E27-F35)^2+E28*(F28/E28-F35)^2))</f>
        <v>0.56652658147708879</v>
      </c>
      <c r="AF26">
        <f>SQRT(1/(8-AF23)*(F23*(G23/F23-G35)^2+F24*(G24/F24-G35)^2+F25*(G25/F25-G35)^2+F26*(G26/F26-G35)^2+F27*(G27/F27-G35)^2))</f>
        <v>0.81353900627705478</v>
      </c>
      <c r="AG26">
        <f>SQRT(1/(8-AG23)*(G23*(H23/G23-H35)^2+G24*(H24/G24-H35)^2+G25*(H25/G25-H35)^2+G26*(H26/G26-H35)^2))</f>
        <v>0.25935741246257282</v>
      </c>
      <c r="AH26">
        <f>SQRT(1/(8-AH23)*(H23*(I23/H23-I35)^2+H24*(I24/H24-I35)^2+H25*(I25/H25-I35)^2))</f>
        <v>0.19946071974859791</v>
      </c>
      <c r="AI26">
        <f>SQRT(1/(8-AI23)*(I23*(J23/I23-J35)^2+I24*(J24/I24-J35)^2))</f>
        <v>2.2627660384731255E-2</v>
      </c>
      <c r="AJ26" s="8">
        <v>0.1</v>
      </c>
      <c r="AK26" s="74" t="s">
        <v>39</v>
      </c>
      <c r="AL26" s="74"/>
      <c r="AM26" s="74"/>
      <c r="AR26">
        <v>3</v>
      </c>
      <c r="AS26" s="8">
        <f t="shared" si="90"/>
        <v>-0.33533299381241599</v>
      </c>
      <c r="AT26" s="8">
        <f t="shared" si="91"/>
        <v>-0.11012351223795418</v>
      </c>
      <c r="AU26" s="8">
        <f t="shared" si="92"/>
        <v>-0.33682232750802493</v>
      </c>
      <c r="AV26" s="8">
        <f t="shared" si="93"/>
        <v>0.53820972058591765</v>
      </c>
      <c r="AW26" s="8">
        <f t="shared" si="94"/>
        <v>0.12971027075388394</v>
      </c>
      <c r="AX26" s="8">
        <f t="shared" si="95"/>
        <v>0.21179667463577037</v>
      </c>
      <c r="AY26" s="60">
        <v>0</v>
      </c>
      <c r="AZ26" s="21">
        <v>0</v>
      </c>
      <c r="BA26" s="8">
        <v>0</v>
      </c>
      <c r="BB26" s="8">
        <v>0</v>
      </c>
      <c r="BD26">
        <v>3</v>
      </c>
      <c r="BE26" s="8">
        <f t="shared" si="82"/>
        <v>-0.18266747344724307</v>
      </c>
      <c r="BF26" s="8">
        <f t="shared" si="61"/>
        <v>0.90585636596403929</v>
      </c>
      <c r="BG26" s="8">
        <f t="shared" si="61"/>
        <v>-0.156662862904341</v>
      </c>
      <c r="BH26" s="8">
        <f t="shared" si="61"/>
        <v>-0.61829517856826055</v>
      </c>
      <c r="BI26" s="8">
        <f t="shared" si="61"/>
        <v>-0.7185728338846995</v>
      </c>
      <c r="BJ26" s="8">
        <f t="shared" si="61"/>
        <v>2.0798676911589584E-2</v>
      </c>
      <c r="BK26" s="8">
        <v>0</v>
      </c>
      <c r="BL26" s="21">
        <v>0</v>
      </c>
      <c r="BM26" s="8">
        <v>0</v>
      </c>
      <c r="BN26" s="8">
        <v>0</v>
      </c>
      <c r="BP26">
        <v>3</v>
      </c>
      <c r="BQ26" s="8">
        <f t="shared" si="84"/>
        <v>-0.34802498386682601</v>
      </c>
      <c r="BR26" s="8">
        <f t="shared" si="62"/>
        <v>-0.19809282955707289</v>
      </c>
      <c r="BS26" s="8">
        <f t="shared" si="62"/>
        <v>-0.54391197110056977</v>
      </c>
      <c r="BT26" s="8">
        <f t="shared" si="62"/>
        <v>-0.44157202375284854</v>
      </c>
      <c r="BU26" s="8">
        <f t="shared" si="62"/>
        <v>-0.18743445085239069</v>
      </c>
      <c r="BV26" s="8">
        <f t="shared" si="62"/>
        <v>-0.40570951417807311</v>
      </c>
      <c r="BW26" s="8">
        <f t="shared" si="62"/>
        <v>-1.1661320461355229</v>
      </c>
      <c r="BX26" s="8">
        <v>0</v>
      </c>
      <c r="BY26" s="8">
        <v>0</v>
      </c>
      <c r="BZ26" s="8">
        <v>0</v>
      </c>
      <c r="CB26">
        <v>3</v>
      </c>
      <c r="CC26" s="8">
        <f t="shared" si="85"/>
        <v>0.40872504632421208</v>
      </c>
      <c r="CD26" s="8">
        <f t="shared" si="63"/>
        <v>0.20239939335612186</v>
      </c>
      <c r="CE26" s="8">
        <f t="shared" si="63"/>
        <v>0.56027453058636711</v>
      </c>
      <c r="CF26" s="8">
        <f t="shared" si="63"/>
        <v>0.44487606428901511</v>
      </c>
      <c r="CG26" s="8">
        <f t="shared" si="63"/>
        <v>0.1886081421282132</v>
      </c>
      <c r="CH26" s="8">
        <f t="shared" si="63"/>
        <v>0.40689476170545247</v>
      </c>
      <c r="CI26" s="8">
        <f t="shared" si="63"/>
        <v>1.1783842826600104</v>
      </c>
      <c r="CJ26" s="8">
        <v>0</v>
      </c>
      <c r="CK26" s="8">
        <v>0</v>
      </c>
      <c r="CL26" s="8">
        <v>0</v>
      </c>
      <c r="CN26">
        <v>3</v>
      </c>
      <c r="CO26" s="8">
        <f t="shared" si="86"/>
        <v>-0.13705899343001646</v>
      </c>
      <c r="CP26" s="8">
        <f t="shared" si="64"/>
        <v>-2.2288932071207388E-2</v>
      </c>
      <c r="CQ26" s="8">
        <f t="shared" si="65"/>
        <v>-0.18871297143556628</v>
      </c>
      <c r="CR26" s="8">
        <f t="shared" si="66"/>
        <v>0.23943662225635357</v>
      </c>
      <c r="CS26" s="8">
        <f t="shared" si="67"/>
        <v>2.446441318183756E-2</v>
      </c>
      <c r="CT26" s="8">
        <f t="shared" si="68"/>
        <v>8.6178957455929031E-2</v>
      </c>
      <c r="CU26" s="8">
        <f>AY26*CI26</f>
        <v>0</v>
      </c>
      <c r="CV26" s="8">
        <f t="shared" ref="CV26:CV32" si="100">AZ26*CJ26</f>
        <v>0</v>
      </c>
      <c r="CW26" s="8">
        <f t="shared" si="97"/>
        <v>0</v>
      </c>
      <c r="CX26" s="8"/>
      <c r="CZ26">
        <v>3</v>
      </c>
      <c r="DA26" s="8">
        <f t="shared" si="87"/>
        <v>6.3572844499470635E-2</v>
      </c>
      <c r="DB26" s="8">
        <f t="shared" si="72"/>
        <v>-0.17944365070610388</v>
      </c>
      <c r="DC26" s="8">
        <f t="shared" si="73"/>
        <v>8.5210806560558447E-2</v>
      </c>
      <c r="DD26" s="8">
        <f t="shared" si="74"/>
        <v>0.27302185327701567</v>
      </c>
      <c r="DE26" s="8">
        <f t="shared" si="75"/>
        <v>0.1346853045166248</v>
      </c>
      <c r="DF26" s="8">
        <f t="shared" si="76"/>
        <v>-8.4382211053477159E-3</v>
      </c>
      <c r="DG26" s="8">
        <f t="shared" si="77"/>
        <v>0</v>
      </c>
      <c r="DH26" s="8">
        <f t="shared" si="78"/>
        <v>0</v>
      </c>
      <c r="DI26" s="8">
        <f t="shared" si="98"/>
        <v>0</v>
      </c>
      <c r="DJ26" s="8">
        <f t="shared" si="80"/>
        <v>0</v>
      </c>
      <c r="DN26" t="s">
        <v>40</v>
      </c>
      <c r="DO26">
        <f>CR34/CF34</f>
        <v>0.23370587162709602</v>
      </c>
    </row>
    <row r="27" spans="1:119" x14ac:dyDescent="0.25">
      <c r="A27">
        <v>2016</v>
      </c>
      <c r="B27" s="13">
        <f>SUMIFS(Dane!$D$4:$D$2463,Dane!$A$4:$A$2463,'Trójkąty skumulowane'!$A$16,Dane!$H$4:$H$2463,'Trójkąty skumulowane'!$A23,Dane!$I$4:$I$2463,$A27+B$22)</f>
        <v>4725123.086187331</v>
      </c>
      <c r="C27" s="13">
        <f>SUMIFS(Dane!$D$4:$D$2463,Dane!$A$4:$A$2463,'Trójkąty skumulowane'!$A$16,Dane!$H$4:$H$2463,'Trójkąty skumulowane'!$A23,Dane!$I$4:$I$2463,$A27+C$22)+B27</f>
        <v>5836983.4985665362</v>
      </c>
      <c r="D27" s="13">
        <f>SUMIFS(Dane!$D$4:$D$2463,Dane!$A$4:$A$2463,'Trójkąty skumulowane'!$A$16,Dane!$H$4:$H$2463,'Trójkąty skumulowane'!$A23,Dane!$I$4:$I$2463,$A27+D$22)+C27</f>
        <v>5873044.3820574498</v>
      </c>
      <c r="E27" s="13">
        <f>SUMIFS(Dane!$D$4:$D$2463,Dane!$A$4:$A$2463,'Trójkąty skumulowane'!$A$16,Dane!$H$4:$H$2463,'Trójkąty skumulowane'!$A23,Dane!$I$4:$I$2463,$A27+E$22)+D27</f>
        <v>5883070.9820741508</v>
      </c>
      <c r="F27" s="13">
        <f>SUMIFS(Dane!$D$4:$D$2463,Dane!$A$4:$A$2463,'Trójkąty skumulowane'!$A$16,Dane!$H$4:$H$2463,'Trójkąty skumulowane'!$A23,Dane!$I$4:$I$2463,$A27+F$22)+E27</f>
        <v>5884627.4040972013</v>
      </c>
      <c r="G27" s="13">
        <f>SUMIFS(Dane!$D$4:$D$2463,Dane!$A$4:$A$2463,'Trójkąty skumulowane'!$A$16,Dane!$H$4:$H$2463,'Trójkąty skumulowane'!$A23,Dane!$I$4:$I$2463,$A27+G$22)+F27</f>
        <v>5886582.385205742</v>
      </c>
      <c r="H27" s="14">
        <f>$G27*($H$35+$DO$26*($AG$26/$AG$29)*(($S$27/$G$27)-$AG$25))</f>
        <v>5886130.0463986583</v>
      </c>
      <c r="I27" s="14">
        <f t="shared" ref="I27:I32" si="101">$H27*($I$35+$DO$26*($AH$26/$AH$29)*(($T$26/$H$26)-$AH$25))</f>
        <v>5885296.293506599</v>
      </c>
      <c r="J27" s="14">
        <f t="shared" si="99"/>
        <v>5884570.3520001965</v>
      </c>
      <c r="K27" s="14">
        <f t="shared" si="88"/>
        <v>5884119.8453967283</v>
      </c>
      <c r="L27" s="14">
        <f>K27-G27</f>
        <v>-2462.5398090137169</v>
      </c>
      <c r="M27">
        <v>2016</v>
      </c>
      <c r="N27" s="13">
        <f>SUMIFS(Dane!$J$4:$J$2463,Dane!$A$4:$A$2463,'Trójkąty skumulowane'!$A$16,Dane!$H$4:$H$2463,'Trójkąty skumulowane'!$A23,Dane!$I$4:$I$2463,$A27+N$22)</f>
        <v>8552966.0779805407</v>
      </c>
      <c r="O27" s="13">
        <f>SUMIFS(Dane!$J$4:$J$2463,Dane!$A$4:$A$2463,'Trójkąty skumulowane'!$A$16,Dane!$H$4:$H$2463,'Trójkąty skumulowane'!$A23,Dane!$I$4:$I$2463,$A27+O$22)+N27</f>
        <v>11634929.619018167</v>
      </c>
      <c r="P27" s="13">
        <f>SUMIFS(Dane!$J$4:$J$2463,Dane!$A$4:$A$2463,'Trójkąty skumulowane'!$A$16,Dane!$H$4:$H$2463,'Trójkąty skumulowane'!$A23,Dane!$I$4:$I$2463,$A27+P$22)+O27</f>
        <v>12561428.16881703</v>
      </c>
      <c r="Q27" s="13">
        <f>SUMIFS(Dane!$J$4:$J$2463,Dane!$A$4:$A$2463,'Trójkąty skumulowane'!$A$16,Dane!$H$4:$H$2463,'Trójkąty skumulowane'!$A23,Dane!$I$4:$I$2463,$A27+Q$22)+P27</f>
        <v>12831066.878420418</v>
      </c>
      <c r="R27" s="13">
        <f>SUMIFS(Dane!$J$4:$J$2463,Dane!$A$4:$A$2463,'Trójkąty skumulowane'!$A$16,Dane!$H$4:$H$2463,'Trójkąty skumulowane'!$A23,Dane!$I$4:$I$2463,$A27+R$22)+Q27</f>
        <v>12873523.067306131</v>
      </c>
      <c r="S27" s="13">
        <f>SUMIFS(Dane!$J$4:$J$2463,Dane!$A$4:$A$2463,'Trójkąty skumulowane'!$A$16,Dane!$H$4:$H$2463,'Trójkąty skumulowane'!$A23,Dane!$I$4:$I$2463,$A27+S$22)+R27</f>
        <v>12893455.351078287</v>
      </c>
      <c r="T27" s="13">
        <f>SUMIFS(Dane!$J$4:$J$2463,Dane!$A$4:$A$2463,'Trójkąty skumulowane'!$A$16,Dane!$H$4:$H$2463,'Trójkąty skumulowane'!$A23,Dane!$I$4:$I$2463,$A27+T$22)</f>
        <v>0</v>
      </c>
      <c r="U27" s="13">
        <f>SUMIFS(Dane!$J$4:$J$2463,Dane!$A$4:$A$2463,'Trójkąty skumulowane'!$A$16,Dane!$H$4:$H$2463,'Trójkąty skumulowane'!$A23,Dane!$I$4:$I$2463,$A27+U$22)+T27</f>
        <v>0</v>
      </c>
      <c r="V27" s="13">
        <f>SUMIFS(Dane!$J$4:$J$2463,Dane!$A$4:$A$2463,'Trójkąty skumulowane'!$A$16,Dane!$H$4:$H$2463,'Trójkąty skumulowane'!$A23,Dane!$I$4:$I$2463,$A27+V$22)+U27</f>
        <v>0</v>
      </c>
      <c r="W27" s="13">
        <f>SUMIFS(Dane!$J$4:$J$2463,Dane!$A$4:$A$2463,'Trójkąty skumulowane'!$A$16,Dane!$H$4:$H$2463,'Trójkąty skumulowane'!$A23,Dane!$I$4:$I$2463,$A27+W$22)+V27</f>
        <v>0</v>
      </c>
      <c r="X27" s="11"/>
      <c r="AA27" t="s">
        <v>41</v>
      </c>
      <c r="AB27">
        <f>SQRT(1/(8-AB23)*(N23*(O23/N23-O35)^2+N24*(O24/N24-O35)^2+N25*(O25/N25-O35)^2+N26*(O26/N26-O35)^2+N27*(O27/N27-O35)^2+N28*(O28/N28-O35)^2+N29*(O29/N29-O35)^2+N30*(O30/N30-O35)^2+N31*(O31/N31-O35)^2))</f>
        <v>176.20860968756369</v>
      </c>
      <c r="AC27">
        <f>SQRT(1/(8-AC23)*(O23*(P23/O23-P35)^2+O24*(P24/O24-P35)^2+O25*(P25/O25-P35)^2+O26*(P26/O26-P35)^2+O27*(P27/O27-P35)^2+O28*(P28/O28-P35)^2+O29*(P29/O29-P35)^2+O30*(P30/O30-P35)^2))</f>
        <v>36.195475269354596</v>
      </c>
      <c r="AD27">
        <f>SQRT(1/(8-AD23)*(P23*(Q23/P23-Q35)^2+P24*(Q24/P24-Q35)^2+P25*(Q25/P25-Q35)^2+P26*(Q26/P26-Q35)^2+P27*(Q27/P27-Q35)^2+P28*(Q28/P28-Q35)^2+P29*(Q29/P29-Q35)^2))</f>
        <v>20.026040560910126</v>
      </c>
      <c r="AE27">
        <f>SQRT(1/(8-AE23)*(Q23*(R23/Q23-R35)^2+Q24*(R24/Q24-R35)^2+Q25*(R25/Q25-R35)^2+Q26*(R26/Q26-R35)^2+Q27*(R27/Q27-R35)^2+Q28*(R28/Q28-R35)^2))</f>
        <v>10.490432128830889</v>
      </c>
      <c r="AF27">
        <f>SQRT(1/(8-AF23)*(R23*(S23/R23-S35)^2+R24*(S24/R24-S35)^2+R25*(S25/R25-S35)^2+R26*(S26/R26-S35)^2+R27*(S27/R27-S35)^2))</f>
        <v>3.1466738817955338</v>
      </c>
      <c r="AG27">
        <f>SQRT(1/(8-AG23)*(S23*(T23/S23-T35)^2+S24*(T24/S24-T35)^2+S25*(T25/S25-T35)^2+S26*(T26/S26-T35)^2))</f>
        <v>1.3456739058699192</v>
      </c>
      <c r="AH27">
        <f>SQRT(1/(8-AH23)*(T23*(U23/T23-U35)^2+T24*(U24/T24-U35)^2+T25*(U25/T25-U35)^2))</f>
        <v>0.92487460190125625</v>
      </c>
      <c r="AI27">
        <f>SQRT(1/(8-AI23)*(U23*(V23/U23-V35)^2+U24*(V24/U24-V35)^2))</f>
        <v>0.9796944084357273</v>
      </c>
      <c r="AJ27">
        <v>0.1</v>
      </c>
      <c r="AK27" s="74" t="s">
        <v>39</v>
      </c>
      <c r="AL27" s="74"/>
      <c r="AM27" s="74"/>
      <c r="AR27">
        <v>4</v>
      </c>
      <c r="AS27" s="8">
        <f t="shared" si="90"/>
        <v>0.98001152288572124</v>
      </c>
      <c r="AT27" s="8">
        <f t="shared" si="91"/>
        <v>-0.3904767063248869</v>
      </c>
      <c r="AU27" s="8">
        <f t="shared" si="92"/>
        <v>0.28834333671149726</v>
      </c>
      <c r="AV27" s="8">
        <f t="shared" si="93"/>
        <v>1.5285754981233461</v>
      </c>
      <c r="AW27" s="8">
        <f t="shared" si="94"/>
        <v>1.5967495937787191</v>
      </c>
      <c r="AX27" s="60">
        <v>0</v>
      </c>
      <c r="AY27" s="21">
        <v>0</v>
      </c>
      <c r="AZ27" s="8">
        <v>0</v>
      </c>
      <c r="BA27" s="8">
        <v>0</v>
      </c>
      <c r="BB27" s="8">
        <v>0</v>
      </c>
      <c r="BD27">
        <v>4</v>
      </c>
      <c r="BE27" s="8">
        <f t="shared" si="82"/>
        <v>0.22958028683658849</v>
      </c>
      <c r="BF27" s="8">
        <f t="shared" si="61"/>
        <v>0.85688345565673185</v>
      </c>
      <c r="BG27" s="8">
        <f t="shared" si="61"/>
        <v>-0.69442342852657557</v>
      </c>
      <c r="BH27" s="8">
        <f t="shared" si="61"/>
        <v>-0.95538458414665217</v>
      </c>
      <c r="BI27" s="8">
        <f t="shared" si="61"/>
        <v>0.52406404880587876</v>
      </c>
      <c r="BJ27" s="8">
        <v>0</v>
      </c>
      <c r="BK27" s="21">
        <v>0</v>
      </c>
      <c r="BL27" s="8">
        <v>0</v>
      </c>
      <c r="BM27" s="8">
        <v>0</v>
      </c>
      <c r="BN27" s="8">
        <v>0</v>
      </c>
      <c r="BP27">
        <v>4</v>
      </c>
      <c r="BQ27" s="8">
        <f t="shared" si="84"/>
        <v>-0.57855856484688351</v>
      </c>
      <c r="BR27" s="8">
        <f t="shared" si="62"/>
        <v>-0.79517192228983669</v>
      </c>
      <c r="BS27" s="8">
        <f t="shared" si="62"/>
        <v>-1.1201198738338354</v>
      </c>
      <c r="BT27" s="8">
        <f t="shared" si="62"/>
        <v>-1.3002255560573792</v>
      </c>
      <c r="BU27" s="8">
        <f t="shared" si="62"/>
        <v>-1.1044831274980151</v>
      </c>
      <c r="BV27" s="8">
        <f t="shared" si="62"/>
        <v>-1.4051097567833075</v>
      </c>
      <c r="BW27" s="8">
        <v>0</v>
      </c>
      <c r="BX27" s="8">
        <v>0</v>
      </c>
      <c r="BY27" s="8">
        <v>0</v>
      </c>
      <c r="BZ27" s="8">
        <v>0</v>
      </c>
      <c r="CB27">
        <v>4</v>
      </c>
      <c r="CC27" s="8">
        <f t="shared" si="85"/>
        <v>0.69015521290377957</v>
      </c>
      <c r="CD27" s="8">
        <f t="shared" si="63"/>
        <v>0.82385008718965036</v>
      </c>
      <c r="CE27" s="8">
        <f t="shared" si="63"/>
        <v>1.1698072763785088</v>
      </c>
      <c r="CF27" s="8">
        <f t="shared" si="63"/>
        <v>1.3258611900155115</v>
      </c>
      <c r="CG27" s="8">
        <f t="shared" si="63"/>
        <v>1.124290207621679</v>
      </c>
      <c r="CH27" s="8">
        <f t="shared" si="63"/>
        <v>1.4260198080776627</v>
      </c>
      <c r="CI27" s="8">
        <v>0</v>
      </c>
      <c r="CJ27" s="8">
        <v>0</v>
      </c>
      <c r="CK27" s="8">
        <v>0</v>
      </c>
      <c r="CL27" s="8">
        <v>0</v>
      </c>
      <c r="CN27">
        <v>4</v>
      </c>
      <c r="CO27" s="8">
        <f t="shared" si="86"/>
        <v>0.67636006122535219</v>
      </c>
      <c r="CP27" s="8">
        <f t="shared" si="64"/>
        <v>-0.32169426855128558</v>
      </c>
      <c r="CQ27" s="8">
        <f t="shared" si="65"/>
        <v>0.33730613338036791</v>
      </c>
      <c r="CR27" s="8">
        <f t="shared" si="66"/>
        <v>2.0266789289703731</v>
      </c>
      <c r="CS27" s="8">
        <f t="shared" si="67"/>
        <v>1.7952099323093076</v>
      </c>
      <c r="CT27" s="8">
        <f t="shared" si="68"/>
        <v>0</v>
      </c>
      <c r="CU27" s="8">
        <f t="shared" ref="CU27:CU32" si="102">AY27*CI27</f>
        <v>0</v>
      </c>
      <c r="CV27" s="8">
        <f t="shared" si="100"/>
        <v>0</v>
      </c>
      <c r="CW27" s="8">
        <f t="shared" si="97"/>
        <v>0</v>
      </c>
      <c r="CX27" s="8"/>
      <c r="CZ27">
        <v>4</v>
      </c>
      <c r="DA27" s="8">
        <f t="shared" si="87"/>
        <v>-0.13282564126931248</v>
      </c>
      <c r="DB27" s="8">
        <f t="shared" si="72"/>
        <v>-0.68136966461292148</v>
      </c>
      <c r="DC27" s="8">
        <f t="shared" si="73"/>
        <v>0.77783748314844725</v>
      </c>
      <c r="DD27" s="8">
        <f t="shared" si="74"/>
        <v>1.2422154521707289</v>
      </c>
      <c r="DE27" s="8">
        <f t="shared" si="75"/>
        <v>-0.5788198996343894</v>
      </c>
      <c r="DF27" s="8">
        <f t="shared" si="76"/>
        <v>0</v>
      </c>
      <c r="DG27" s="8">
        <f t="shared" si="77"/>
        <v>0</v>
      </c>
      <c r="DH27" s="8">
        <f t="shared" si="78"/>
        <v>0</v>
      </c>
      <c r="DI27" s="8">
        <f t="shared" si="98"/>
        <v>0</v>
      </c>
      <c r="DJ27" s="8">
        <f t="shared" si="80"/>
        <v>0</v>
      </c>
      <c r="DN27" t="s">
        <v>42</v>
      </c>
      <c r="DO27">
        <f>DD34/BT34</f>
        <v>6.8777244400521201E-2</v>
      </c>
    </row>
    <row r="28" spans="1:119" x14ac:dyDescent="0.25">
      <c r="A28">
        <v>2017</v>
      </c>
      <c r="B28" s="13">
        <f>SUMIFS(Dane!$D$4:$D$2463,Dane!$A$4:$A$2463,'Trójkąty skumulowane'!$A$16,Dane!$H$4:$H$2463,'Trójkąty skumulowane'!$A24,Dane!$I$4:$I$2463,$A28+B$22)</f>
        <v>5597984.1078659333</v>
      </c>
      <c r="C28" s="13">
        <f>SUMIFS(Dane!$D$4:$D$2463,Dane!$A$4:$A$2463,'Trójkąty skumulowane'!$A$16,Dane!$H$4:$H$2463,'Trójkąty skumulowane'!$A24,Dane!$I$4:$I$2463,$A28+C$22)+B28</f>
        <v>6970614.1899836697</v>
      </c>
      <c r="D28" s="13">
        <f>SUMIFS(Dane!$D$4:$D$2463,Dane!$A$4:$A$2463,'Trójkąty skumulowane'!$A$16,Dane!$H$4:$H$2463,'Trójkąty skumulowane'!$A24,Dane!$I$4:$I$2463,$A28+D$22)+C28</f>
        <v>7066845.8532527769</v>
      </c>
      <c r="E28" s="13">
        <f>SUMIFS(Dane!$D$4:$D$2463,Dane!$A$4:$A$2463,'Trójkąty skumulowane'!$A$16,Dane!$H$4:$H$2463,'Trójkąty skumulowane'!$A24,Dane!$I$4:$I$2463,$A28+E$22)+D28</f>
        <v>7068831.0134302946</v>
      </c>
      <c r="F28" s="13">
        <f>SUMIFS(Dane!$D$4:$D$2463,Dane!$A$4:$A$2463,'Trójkąty skumulowane'!$A$16,Dane!$H$4:$H$2463,'Trójkąty skumulowane'!$A24,Dane!$I$4:$I$2463,$A28+F$22)+E28</f>
        <v>7067692.2693784814</v>
      </c>
      <c r="G28" s="14">
        <f>$F28*($G$35+$DO$26*($AF$26/$AF$29)*(($R$28/$F$28)-$AF$25))</f>
        <v>7066754.1563234543</v>
      </c>
      <c r="H28" s="14">
        <f t="shared" ref="H28:H32" si="103">$G28*($H$35+$DO$26*($AG$26/$AG$29)*(($S$27/$G$27)-$AG$25))</f>
        <v>7066211.1303474559</v>
      </c>
      <c r="I28" s="14">
        <f t="shared" si="101"/>
        <v>7065210.2224641126</v>
      </c>
      <c r="J28" s="14">
        <f t="shared" si="99"/>
        <v>7064338.7405376025</v>
      </c>
      <c r="K28" s="14">
        <f t="shared" si="88"/>
        <v>7063797.9140946539</v>
      </c>
      <c r="L28" s="14">
        <f>K28-F28</f>
        <v>-3894.3552838275209</v>
      </c>
      <c r="M28">
        <v>2017</v>
      </c>
      <c r="N28" s="13">
        <f>SUMIFS(Dane!$J$4:$J$2463,Dane!$A$4:$A$2463,'Trójkąty skumulowane'!$A$16,Dane!$H$4:$H$2463,'Trójkąty skumulowane'!$A24,Dane!$I$4:$I$2463,$A28+N$22)</f>
        <v>10208950.457547048</v>
      </c>
      <c r="O28" s="13">
        <f>SUMIFS(Dane!$J$4:$J$2463,Dane!$A$4:$A$2463,'Trójkąty skumulowane'!$A$16,Dane!$H$4:$H$2463,'Trójkąty skumulowane'!$A24,Dane!$I$4:$I$2463,$A28+O$22)+N28</f>
        <v>13845418.643708149</v>
      </c>
      <c r="P28" s="13">
        <f>SUMIFS(Dane!$J$4:$J$2463,Dane!$A$4:$A$2463,'Trójkąty skumulowane'!$A$16,Dane!$H$4:$H$2463,'Trójkąty skumulowane'!$A24,Dane!$I$4:$I$2463,$A28+P$22)+O28</f>
        <v>14980520.533133233</v>
      </c>
      <c r="Q28" s="13">
        <f>SUMIFS(Dane!$J$4:$J$2463,Dane!$A$4:$A$2463,'Trójkąty skumulowane'!$A$16,Dane!$H$4:$H$2463,'Trójkąty skumulowane'!$A24,Dane!$I$4:$I$2463,$A28+Q$22)+P28</f>
        <v>15248250.207190162</v>
      </c>
      <c r="R28" s="13">
        <f>SUMIFS(Dane!$J$4:$J$2463,Dane!$A$4:$A$2463,'Trójkąty skumulowane'!$A$16,Dane!$H$4:$H$2463,'Trójkąty skumulowane'!$A24,Dane!$I$4:$I$2463,$A28+R$22)+Q28</f>
        <v>15376140.436414145</v>
      </c>
      <c r="S28" s="13">
        <f>SUMIFS(Dane!$J$4:$J$2463,Dane!$A$4:$A$2463,'Trójkąty skumulowane'!$A$16,Dane!$H$4:$H$2463,'Trójkąty skumulowane'!$A24,Dane!$I$4:$I$2463,$A28+S$22)</f>
        <v>0</v>
      </c>
      <c r="T28" s="13">
        <f>SUMIFS(Dane!$J$4:$J$2463,Dane!$A$4:$A$2463,'Trójkąty skumulowane'!$A$16,Dane!$H$4:$H$2463,'Trójkąty skumulowane'!$A24,Dane!$I$4:$I$2463,$A28+T$22)+S28</f>
        <v>0</v>
      </c>
      <c r="U28" s="13">
        <f>SUMIFS(Dane!$J$4:$J$2463,Dane!$A$4:$A$2463,'Trójkąty skumulowane'!$A$16,Dane!$H$4:$H$2463,'Trójkąty skumulowane'!$A24,Dane!$I$4:$I$2463,$A28+U$22)+T28</f>
        <v>0</v>
      </c>
      <c r="V28" s="13">
        <f>SUMIFS(Dane!$J$4:$J$2463,Dane!$A$4:$A$2463,'Trójkąty skumulowane'!$A$16,Dane!$H$4:$H$2463,'Trójkąty skumulowane'!$A24,Dane!$I$4:$I$2463,$A28+V$22)+U28</f>
        <v>0</v>
      </c>
      <c r="W28" s="13">
        <f>SUMIFS(Dane!$J$4:$J$2463,Dane!$A$4:$A$2463,'Trójkąty skumulowane'!$A$16,Dane!$H$4:$H$2463,'Trójkąty skumulowane'!$A24,Dane!$I$4:$I$2463,$A28+W$22)+V28</f>
        <v>0</v>
      </c>
      <c r="X28" s="11"/>
      <c r="AA28" t="s">
        <v>43</v>
      </c>
      <c r="AB28">
        <f>SQRT(1/(9-AB23)*(N23*(B23/N23-AB24)^2+N24*(B24/N24-AB24)^2+N25*(B25/N25-AB24)^2+N26*(B26/N26-AB24)^2+N27*(B27/N27-AB24)^2+N28*(B28/N28-AB24)^2+N29*(B29/N29-AB24)^2+N30*(B30/N30-AB24)^2+N31*(B31/N31-AB24)^2+N32*(B32/N32-AB24)^2))</f>
        <v>246.43110617012954</v>
      </c>
      <c r="AC28">
        <f>SQRT(1/(9-AC23)*(O23*(C23/O23-AC24)^2+O24*(C24/O24-AC24)^2+O25*(C25/O25-AC24)^2+O26*(C26/O26-AC24)^2+O27*(C27/O27-AC24)^2+O28*(C28/O28-AC24)^2+O29*(C29/O29-AC24)^2+O30*(C30/O30-AC24)^2+O31*(C31/O31-AC24)^2))</f>
        <v>82.998897381480575</v>
      </c>
      <c r="AD28">
        <f>SQRT(1/(9-AD23)*(P23*(D23/P23-AD24)^2+P24*(D24/P24-AD24)^2+P25*(D25/P25-AD24)^2+P26*(D26/P26-AD24)^2+P27*(D27/P27-AD24)^2+P28*(D28/P28-AD24)^2+P29*(D29/P29-AD24)^2+P30*(D30/P30-AD24)^2))</f>
        <v>86.343322094546451</v>
      </c>
      <c r="AE28">
        <f>SQRT(1/(9-AE23)*(Q23*(E23/Q23-AE24)^2+Q24*(E24/Q24-AE24)^2+Q25*(E25/Q25-AE24)^2+Q26*(E26/Q26-AE24)^2+Q27*(E27/Q27-AE24)^2+Q28*(E28/Q28-AE24)^2+Q29*(E29/Q29-AE24)^2))</f>
        <v>48.558086622057047</v>
      </c>
      <c r="AF28">
        <f>SQRT(1/(9-AF23)*(R23*(F23/R23-AF24)^2+R24*(F24/R24-AF24)^2+R25*(F25/R25-AF24)^2+R26*(F26/R26-AF24)^2+R27*(F27/R27-AF24)^2+R28*(F28/R28-AF24)^2))</f>
        <v>42.356800818391648</v>
      </c>
      <c r="AG28">
        <f>SQRT(1/(9-AG23)*(S23*(G23/S23-AG24)^2+S24*(G24/S24-AG24)^2+S25*(G25/S25-AG24)^2+S26*(G26/S26-AG24)^2+S27*(G27/S27-AG24)^2))</f>
        <v>40.561283354005958</v>
      </c>
      <c r="AH28">
        <f>SQRT(1/(9-AH23)*(T23*(H23/T23-AH24)^2+T24*(H24/T24-AH24)^2+T25*(H25/T25-AH24)^2+T26*(H26/T26-AH24)^2))</f>
        <v>27.731288407989982</v>
      </c>
      <c r="AI28">
        <f>SQRT(1/(9-AI23)*(U23*(I23/U23-AI24)^2+U24*(I24/U24-AI24)^2+U25*(I25/U25-AI24)^2))</f>
        <v>21.188122567671535</v>
      </c>
      <c r="AJ28">
        <f>SQRT(1/(9-AJ23)*(V23*(J23/V23-AJ24)^2+V24*(J24/V24-AJ24)^2))</f>
        <v>15.545513438207182</v>
      </c>
      <c r="AR28">
        <v>5</v>
      </c>
      <c r="AS28" s="8">
        <f t="shared" si="90"/>
        <v>1.5922104843430542</v>
      </c>
      <c r="AT28" s="8">
        <f t="shared" si="91"/>
        <v>2.2982346883233591</v>
      </c>
      <c r="AU28" s="8">
        <f t="shared" si="92"/>
        <v>-1.7749186247344093</v>
      </c>
      <c r="AV28" s="8">
        <f t="shared" si="93"/>
        <v>-0.32204890761462834</v>
      </c>
      <c r="AW28" s="60">
        <v>0</v>
      </c>
      <c r="AX28" s="21">
        <v>0</v>
      </c>
      <c r="AY28" s="8">
        <v>0</v>
      </c>
      <c r="AZ28" s="8">
        <v>0</v>
      </c>
      <c r="BA28" s="8">
        <v>0</v>
      </c>
      <c r="BB28" s="8">
        <v>0</v>
      </c>
      <c r="BD28">
        <v>5</v>
      </c>
      <c r="BE28" s="8">
        <f t="shared" si="82"/>
        <v>0.17585020492951059</v>
      </c>
      <c r="BF28" s="8">
        <f t="shared" si="61"/>
        <v>1.1766516401756362</v>
      </c>
      <c r="BG28" s="8">
        <f t="shared" si="61"/>
        <v>-1.4529189569028802</v>
      </c>
      <c r="BH28" s="8">
        <f t="shared" si="61"/>
        <v>0.84884218430715863</v>
      </c>
      <c r="BI28" s="8">
        <v>0</v>
      </c>
      <c r="BJ28" s="21">
        <v>0</v>
      </c>
      <c r="BK28" s="8">
        <v>0</v>
      </c>
      <c r="BL28" s="8">
        <v>0</v>
      </c>
      <c r="BM28" s="8">
        <v>0</v>
      </c>
      <c r="BN28" s="8">
        <v>0</v>
      </c>
      <c r="BP28">
        <v>5</v>
      </c>
      <c r="BQ28" s="8">
        <f t="shared" si="84"/>
        <v>-0.68542537779163049</v>
      </c>
      <c r="BR28" s="8">
        <f t="shared" si="62"/>
        <v>-0.78751897998826381</v>
      </c>
      <c r="BS28" s="8">
        <f t="shared" si="62"/>
        <v>-1.0354188627671552</v>
      </c>
      <c r="BT28" s="8">
        <f t="shared" si="62"/>
        <v>-1.0088163088026527</v>
      </c>
      <c r="BU28" s="8">
        <f t="shared" si="62"/>
        <v>-0.97171438754473272</v>
      </c>
      <c r="BV28" s="8">
        <v>0</v>
      </c>
      <c r="BW28" s="8">
        <v>0</v>
      </c>
      <c r="BX28" s="8">
        <v>0</v>
      </c>
      <c r="BY28" s="8">
        <v>0</v>
      </c>
      <c r="BZ28" s="8">
        <v>0</v>
      </c>
      <c r="CB28">
        <v>5</v>
      </c>
      <c r="CC28" s="8">
        <f t="shared" si="85"/>
        <v>0.82069640561279256</v>
      </c>
      <c r="CD28" s="8">
        <f t="shared" si="63"/>
        <v>0.81447556646864649</v>
      </c>
      <c r="CE28" s="8">
        <f t="shared" si="63"/>
        <v>1.0765362611467439</v>
      </c>
      <c r="CF28" s="8">
        <f t="shared" si="63"/>
        <v>1.0230534397296223</v>
      </c>
      <c r="CG28" s="8">
        <f t="shared" si="63"/>
        <v>0.98640122980160494</v>
      </c>
      <c r="CH28" s="8">
        <v>0</v>
      </c>
      <c r="CI28" s="8">
        <v>0</v>
      </c>
      <c r="CJ28" s="8">
        <v>0</v>
      </c>
      <c r="CK28" s="8">
        <v>0</v>
      </c>
      <c r="CL28" s="8">
        <v>0</v>
      </c>
      <c r="CN28">
        <v>5</v>
      </c>
      <c r="CO28" s="8">
        <f t="shared" si="86"/>
        <v>1.3067214214793481</v>
      </c>
      <c r="CP28" s="8">
        <f t="shared" si="64"/>
        <v>1.8718559996500612</v>
      </c>
      <c r="CQ28" s="8">
        <f t="shared" si="65"/>
        <v>-1.9107642601113017</v>
      </c>
      <c r="CR28" s="8">
        <f t="shared" si="66"/>
        <v>-0.32947324269631284</v>
      </c>
      <c r="CS28" s="8">
        <f t="shared" si="67"/>
        <v>0</v>
      </c>
      <c r="CT28" s="8">
        <f t="shared" si="68"/>
        <v>0</v>
      </c>
      <c r="CU28" s="8">
        <f t="shared" si="102"/>
        <v>0</v>
      </c>
      <c r="CV28" s="8">
        <f t="shared" si="100"/>
        <v>0</v>
      </c>
      <c r="CW28" s="8">
        <f t="shared" si="97"/>
        <v>0</v>
      </c>
      <c r="CX28" s="8"/>
      <c r="CZ28">
        <v>5</v>
      </c>
      <c r="DA28" s="8">
        <f t="shared" si="87"/>
        <v>-0.12053219314854544</v>
      </c>
      <c r="DB28" s="8">
        <f t="shared" si="72"/>
        <v>-0.92663549947263457</v>
      </c>
      <c r="DC28" s="8">
        <f t="shared" si="73"/>
        <v>1.5043796940492216</v>
      </c>
      <c r="DD28" s="8">
        <f t="shared" si="74"/>
        <v>-0.85632583912872884</v>
      </c>
      <c r="DE28" s="8">
        <f t="shared" si="75"/>
        <v>0</v>
      </c>
      <c r="DF28" s="8">
        <f t="shared" si="76"/>
        <v>0</v>
      </c>
      <c r="DG28" s="8">
        <f t="shared" si="77"/>
        <v>0</v>
      </c>
      <c r="DH28" s="8">
        <f t="shared" si="78"/>
        <v>0</v>
      </c>
      <c r="DI28" s="8">
        <f t="shared" si="98"/>
        <v>0</v>
      </c>
      <c r="DJ28" s="8">
        <f t="shared" si="80"/>
        <v>0</v>
      </c>
    </row>
    <row r="29" spans="1:119" x14ac:dyDescent="0.25">
      <c r="A29">
        <v>2018</v>
      </c>
      <c r="B29" s="13">
        <f>SUMIFS(Dane!$D$4:$D$2463,Dane!$A$4:$A$2463,'Trójkąty skumulowane'!$A$16,Dane!$H$4:$H$2463,'Trójkąty skumulowane'!$A25,Dane!$I$4:$I$2463,$A29+B$22)</f>
        <v>5550939.8858195748</v>
      </c>
      <c r="C29" s="13">
        <f>SUMIFS(Dane!$D$4:$D$2463,Dane!$A$4:$A$2463,'Trójkąty skumulowane'!$A$16,Dane!$H$4:$H$2463,'Trójkąty skumulowane'!$A25,Dane!$I$4:$I$2463,$A29+C$22)+B29</f>
        <v>6821264.010295298</v>
      </c>
      <c r="D29" s="13">
        <f>SUMIFS(Dane!$D$4:$D$2463,Dane!$A$4:$A$2463,'Trójkąty skumulowane'!$A$16,Dane!$H$4:$H$2463,'Trójkąty skumulowane'!$A25,Dane!$I$4:$I$2463,$A29+D$22)+C29</f>
        <v>6865981.0625902554</v>
      </c>
      <c r="E29" s="13">
        <f>SUMIFS(Dane!$D$4:$D$2463,Dane!$A$4:$A$2463,'Trójkąty skumulowane'!$A$16,Dane!$H$4:$H$2463,'Trójkąty skumulowane'!$A25,Dane!$I$4:$I$2463,$A29+E$22)+D29</f>
        <v>6881034.2560672257</v>
      </c>
      <c r="F29" s="14">
        <f>$E29*($F$35+$DO$26*($AE$26/$AE$29)*(($Q$29/$E$29)-$AE$25))</f>
        <v>6879989.5661572032</v>
      </c>
      <c r="G29" s="14">
        <f t="shared" ref="G29:G32" si="104">$F29*($G$35+$DO$26*($AF$26/$AF$29)*(($R$28/$F$28)-$AF$25))</f>
        <v>6879076.367366924</v>
      </c>
      <c r="H29" s="14">
        <f t="shared" si="103"/>
        <v>6878547.7629927341</v>
      </c>
      <c r="I29" s="14">
        <f t="shared" si="101"/>
        <v>6877573.4370696992</v>
      </c>
      <c r="J29" s="14">
        <f t="shared" si="99"/>
        <v>6876725.0998284947</v>
      </c>
      <c r="K29" s="14">
        <f t="shared" si="88"/>
        <v>6876198.6365724886</v>
      </c>
      <c r="L29" s="14">
        <f>K29-E29</f>
        <v>-4835.6194947371259</v>
      </c>
      <c r="M29">
        <v>2018</v>
      </c>
      <c r="N29" s="13">
        <f>SUMIFS(Dane!$J$4:$J$2463,Dane!$A$4:$A$2463,'Trójkąty skumulowane'!$A$16,Dane!$H$4:$H$2463,'Trójkąty skumulowane'!$A25,Dane!$I$4:$I$2463,$A29+N$22)</f>
        <v>9641581.1060288418</v>
      </c>
      <c r="O29" s="13">
        <f>SUMIFS(Dane!$J$4:$J$2463,Dane!$A$4:$A$2463,'Trójkąty skumulowane'!$A$16,Dane!$H$4:$H$2463,'Trójkąty skumulowane'!$A25,Dane!$I$4:$I$2463,$A29+O$22)+N29</f>
        <v>12801932.492369425</v>
      </c>
      <c r="P29" s="13">
        <f>SUMIFS(Dane!$J$4:$J$2463,Dane!$A$4:$A$2463,'Trójkąty skumulowane'!$A$16,Dane!$H$4:$H$2463,'Trójkąty skumulowane'!$A25,Dane!$I$4:$I$2463,$A29+P$22)+O29</f>
        <v>13525131.229638662</v>
      </c>
      <c r="Q29" s="13">
        <f>SUMIFS(Dane!$J$4:$J$2463,Dane!$A$4:$A$2463,'Trójkąty skumulowane'!$A$16,Dane!$H$4:$H$2463,'Trójkąty skumulowane'!$A25,Dane!$I$4:$I$2463,$A29+Q$22)+P29</f>
        <v>13996477.504404677</v>
      </c>
      <c r="R29" s="13">
        <f>SUMIFS(Dane!$J$4:$J$2463,Dane!$A$4:$A$2463,'Trójkąty skumulowane'!$A$16,Dane!$H$4:$H$2463,'Trójkąty skumulowane'!$A25,Dane!$I$4:$I$2463,$A29+R$22)</f>
        <v>0</v>
      </c>
      <c r="S29" s="13">
        <f>SUMIFS(Dane!$J$4:$J$2463,Dane!$A$4:$A$2463,'Trójkąty skumulowane'!$A$16,Dane!$H$4:$H$2463,'Trójkąty skumulowane'!$A25,Dane!$I$4:$I$2463,$A29+S$22)+R29</f>
        <v>0</v>
      </c>
      <c r="T29" s="13">
        <f>SUMIFS(Dane!$J$4:$J$2463,Dane!$A$4:$A$2463,'Trójkąty skumulowane'!$A$16,Dane!$H$4:$H$2463,'Trójkąty skumulowane'!$A25,Dane!$I$4:$I$2463,$A29+T$22)+S29</f>
        <v>0</v>
      </c>
      <c r="U29" s="13">
        <f>SUMIFS(Dane!$J$4:$J$2463,Dane!$A$4:$A$2463,'Trójkąty skumulowane'!$A$16,Dane!$H$4:$H$2463,'Trójkąty skumulowane'!$A25,Dane!$I$4:$I$2463,$A29+U$22)+T29</f>
        <v>0</v>
      </c>
      <c r="V29" s="13">
        <f>SUMIFS(Dane!$J$4:$J$2463,Dane!$A$4:$A$2463,'Trójkąty skumulowane'!$A$16,Dane!$H$4:$H$2463,'Trójkąty skumulowane'!$A25,Dane!$I$4:$I$2463,$A29+V$22)+U29</f>
        <v>0</v>
      </c>
      <c r="W29" s="13">
        <f>SUMIFS(Dane!$J$4:$J$2463,Dane!$A$4:$A$2463,'Trójkąty skumulowane'!$A$16,Dane!$H$4:$H$2463,'Trójkąty skumulowane'!$A25,Dane!$I$4:$I$2463,$A29+W$22)+V29</f>
        <v>0</v>
      </c>
      <c r="X29" s="11"/>
      <c r="AA29" t="s">
        <v>44</v>
      </c>
      <c r="AB29">
        <f>SQRT(1/(9-AB23)*(B23*(N23/B23-AB25)^2+B24*(N24/B24-AB25)^2+B25*(N25/B25-AB25)^2+B26*(N26/B26-AB25)^2+B27*(N27/B27-AB25)^2+B28*(N28/B28-AB25)^2+B29*(N29/B29-AB25)^2+B30*(N30/B30-AB25)^2+B31*(N31/B31-AB25)^2+B32*(N32/B32-AB25)^2))</f>
        <v>462.30117621293806</v>
      </c>
      <c r="AC29">
        <f>SQRT(1/(9-AC23)*(C23*(O23/C23-AC25)^2+C24*(O24/C24-AC25)^2+C25*(O25/C25-AC25)^2+C26*(O26/C26-AC25)^2+C27*(O27/C27-AC25)^2+C28*(O28/C28-AC25)^2+C29*(O29/C29-AC25)^2+C30*(O30/C30-AC25)^2+C31*(O31/C31-AC25)^2))</f>
        <v>217.07668744006085</v>
      </c>
      <c r="AD29">
        <f>SQRT(1/(9-AD23)*(D23*(P23/D23-AD25)^2+D24*(P24/D24-AD25)^2+D25*(P25/D25-AD25)^2+D26*(P26/D26-AD25)^2+D27*(P27/D27-AD25)^2+D28*(P28/D28-AD25)^2+D29*(P29/D29-AD25)^2+D30*(P30/D30-AD25)^2))</f>
        <v>244.34712855239167</v>
      </c>
      <c r="AE29">
        <f>SQRT(1/(9-AE23)*(E23*(Q23/E23-AE25)^2+E24*(Q24/E24-AE25)^2+E25*(Q25/E25-AE25)^2+E26*(Q26/E26-AE25)^2+E27*(Q27/E27-AE25)^2+E28*(Q28/E28-AE25)^2+E29*(Q29/E29-AE25)^2))</f>
        <v>147.70252570875016</v>
      </c>
      <c r="AF29">
        <f>SQRT(1/(9-AF23)*(F23*(R23/F23-AF25)^2+F24*(R24/F24-AF25)^2+F25*(R25/F25-AF25)^2+F26*(R26/F26-AF25)^2+F27*(R27/F27-AF25)^2+F28*(R28/F28-AF25)^2))</f>
        <v>130.90523174372643</v>
      </c>
      <c r="AG29">
        <f>SQRT(1/(9-AG23)*(G23*(S23/G23-AG25)^2+G24*(S24/G24-AG25)^2+G25*(S25/G25-AG25)^2+G26*(S26/G26-AG25)^2+G27*(S27/G27-AG25)^2))</f>
        <v>125.20271634243842</v>
      </c>
      <c r="AH29">
        <f>SQRT(1/(9-AH23)*(H23*(T23/H23-AH25)^2+H24*(T24/H24-AH25)^2+H25*(T25/H25-AH25)^2+H26*(T26/H26-AH25)^2))</f>
        <v>84.138575572147204</v>
      </c>
      <c r="AI29">
        <f>SQRT(1/(9-AI23)*(I23*(U23/I23-AI25)^2+I24*(U24/I24-AI25)^2+I25*(U25/I25-AI25)^2))</f>
        <v>63.597159761064084</v>
      </c>
      <c r="AJ29">
        <f>SQRT(1/(9-AJ23)*(J23*(V23/J23-AJ25)^2+J24*(V24/J24-AJ25)^2))</f>
        <v>46.218080500588819</v>
      </c>
      <c r="AR29">
        <v>6</v>
      </c>
      <c r="AS29" s="8">
        <f t="shared" si="90"/>
        <v>0.72049066697319908</v>
      </c>
      <c r="AT29" s="8">
        <f t="shared" si="91"/>
        <v>-0.28869081767955895</v>
      </c>
      <c r="AU29" s="8">
        <f t="shared" si="92"/>
        <v>1.012979846666229</v>
      </c>
      <c r="AV29" s="60">
        <v>0</v>
      </c>
      <c r="AW29" s="21">
        <v>0</v>
      </c>
      <c r="AX29" s="8">
        <v>0</v>
      </c>
      <c r="AY29" s="8">
        <v>0</v>
      </c>
      <c r="AZ29" s="8">
        <v>0</v>
      </c>
      <c r="BA29" s="8">
        <v>0</v>
      </c>
      <c r="BB29" s="8">
        <v>0</v>
      </c>
      <c r="BD29">
        <v>6</v>
      </c>
      <c r="BE29" s="8">
        <f t="shared" si="82"/>
        <v>-0.32992101871446666</v>
      </c>
      <c r="BF29" s="8">
        <f t="shared" si="61"/>
        <v>-1.3885363643593462</v>
      </c>
      <c r="BG29" s="8">
        <f t="shared" si="61"/>
        <v>1.7373260635304897</v>
      </c>
      <c r="BH29" s="8">
        <v>0</v>
      </c>
      <c r="BI29" s="21">
        <v>0</v>
      </c>
      <c r="BJ29" s="8">
        <v>0</v>
      </c>
      <c r="BK29" s="8">
        <v>0</v>
      </c>
      <c r="BL29" s="8">
        <v>0</v>
      </c>
      <c r="BM29" s="8">
        <v>0</v>
      </c>
      <c r="BN29" s="8">
        <v>0</v>
      </c>
      <c r="BP29">
        <v>6</v>
      </c>
      <c r="BQ29" s="8">
        <f t="shared" si="84"/>
        <v>-0.32100631031145382</v>
      </c>
      <c r="BR29" s="8">
        <f t="shared" si="62"/>
        <v>0.50887837435378458</v>
      </c>
      <c r="BS29" s="8">
        <f t="shared" si="62"/>
        <v>0.54571177498801038</v>
      </c>
      <c r="BT29" s="8">
        <f t="shared" si="62"/>
        <v>1.1940720039148032</v>
      </c>
      <c r="BU29" s="8">
        <v>0</v>
      </c>
      <c r="BV29" s="8">
        <v>0</v>
      </c>
      <c r="BW29" s="8">
        <v>0</v>
      </c>
      <c r="BX29" s="8">
        <v>0</v>
      </c>
      <c r="BY29" s="8">
        <v>0</v>
      </c>
      <c r="BZ29" s="8">
        <v>0</v>
      </c>
      <c r="CB29">
        <v>6</v>
      </c>
      <c r="CC29" s="8">
        <f t="shared" si="85"/>
        <v>0.37510432439290969</v>
      </c>
      <c r="CD29" s="8">
        <f t="shared" si="63"/>
        <v>-0.51158622254182406</v>
      </c>
      <c r="CE29" s="8">
        <f t="shared" si="63"/>
        <v>-0.54694633349940081</v>
      </c>
      <c r="CF29" s="8">
        <f t="shared" si="63"/>
        <v>-1.1758801297812103</v>
      </c>
      <c r="CG29" s="8">
        <v>0</v>
      </c>
      <c r="CH29" s="8">
        <v>0</v>
      </c>
      <c r="CI29" s="8">
        <v>0</v>
      </c>
      <c r="CJ29" s="8">
        <v>0</v>
      </c>
      <c r="CK29" s="8">
        <v>0</v>
      </c>
      <c r="CL29" s="8">
        <v>0</v>
      </c>
      <c r="CN29">
        <v>6</v>
      </c>
      <c r="CO29" s="8">
        <f t="shared" si="86"/>
        <v>0.27025916486637874</v>
      </c>
      <c r="CP29" s="8">
        <f t="shared" si="64"/>
        <v>0.14769024489919599</v>
      </c>
      <c r="CQ29" s="8">
        <f t="shared" si="65"/>
        <v>-0.55404561304287914</v>
      </c>
      <c r="CR29" s="8">
        <f t="shared" si="66"/>
        <v>0</v>
      </c>
      <c r="CS29" s="8">
        <f t="shared" si="67"/>
        <v>0</v>
      </c>
      <c r="CT29" s="8">
        <f t="shared" si="68"/>
        <v>0</v>
      </c>
      <c r="CU29" s="8">
        <f t="shared" si="102"/>
        <v>0</v>
      </c>
      <c r="CV29" s="8">
        <f t="shared" si="100"/>
        <v>0</v>
      </c>
      <c r="CW29" s="8">
        <f t="shared" si="97"/>
        <v>0</v>
      </c>
      <c r="CX29" s="8"/>
      <c r="CZ29">
        <v>6</v>
      </c>
      <c r="DA29" s="8">
        <f t="shared" si="87"/>
        <v>0.10590672891172705</v>
      </c>
      <c r="DB29" s="8">
        <f t="shared" si="72"/>
        <v>-0.70659612782629844</v>
      </c>
      <c r="DC29" s="8">
        <f t="shared" si="73"/>
        <v>0.94807928986215639</v>
      </c>
      <c r="DD29" s="8">
        <f t="shared" si="74"/>
        <v>0</v>
      </c>
      <c r="DE29" s="8">
        <f t="shared" si="75"/>
        <v>0</v>
      </c>
      <c r="DF29" s="8">
        <f t="shared" si="76"/>
        <v>0</v>
      </c>
      <c r="DG29" s="8">
        <f t="shared" si="77"/>
        <v>0</v>
      </c>
      <c r="DH29" s="8">
        <f t="shared" si="78"/>
        <v>0</v>
      </c>
      <c r="DI29" s="8">
        <f t="shared" si="98"/>
        <v>0</v>
      </c>
      <c r="DJ29" s="8">
        <f t="shared" si="80"/>
        <v>0</v>
      </c>
    </row>
    <row r="30" spans="1:119" x14ac:dyDescent="0.25">
      <c r="A30">
        <v>2019</v>
      </c>
      <c r="B30" s="13">
        <f>SUMIFS(Dane!$D$4:$D$2463,Dane!$A$4:$A$2463,'Trójkąty skumulowane'!$A$16,Dane!$H$4:$H$2463,'Trójkąty skumulowane'!$A26,Dane!$I$4:$I$2463,$A30+B$22)</f>
        <v>5825184.4614891456</v>
      </c>
      <c r="C30" s="13">
        <f>SUMIFS(Dane!$D$4:$D$2463,Dane!$A$4:$A$2463,'Trójkąty skumulowane'!$A$16,Dane!$H$4:$H$2463,'Trójkąty skumulowane'!$A26,Dane!$I$4:$I$2463,$A30+C$22)+B30</f>
        <v>7002247.597021183</v>
      </c>
      <c r="D30" s="13">
        <f>SUMIFS(Dane!$D$4:$D$2463,Dane!$A$4:$A$2463,'Trójkąty skumulowane'!$A$16,Dane!$H$4:$H$2463,'Trójkąty skumulowane'!$A26,Dane!$I$4:$I$2463,$A30+D$22)+C30</f>
        <v>7032173.1109102778</v>
      </c>
      <c r="E30" s="14">
        <f>$D30*($E$35+$DO$26*($AD$26/$AD$29)*(($P$30/$D$30)-$AD$25))</f>
        <v>7040532.7528949734</v>
      </c>
      <c r="F30" s="14">
        <f t="shared" ref="F30:F32" si="105">$E30*($F$35+$DO$26*($AE$26/$AE$29)*(($Q$29/$E$29)-$AE$25))</f>
        <v>7039463.847661484</v>
      </c>
      <c r="G30" s="14">
        <f t="shared" si="104"/>
        <v>7038529.4814378023</v>
      </c>
      <c r="H30" s="14">
        <f t="shared" si="103"/>
        <v>7037988.6243120693</v>
      </c>
      <c r="I30" s="14">
        <f t="shared" si="101"/>
        <v>7036991.7140631378</v>
      </c>
      <c r="J30" s="14">
        <f t="shared" si="99"/>
        <v>7036123.7128426917</v>
      </c>
      <c r="K30" s="14">
        <f>$J30*($K$35+$DO$26*($AJ$26/$AJ$29)*(($V$24/$J$24)-$AJ$25))</f>
        <v>7035585.046465056</v>
      </c>
      <c r="L30" s="14">
        <f>K30-D30</f>
        <v>3411.9355547782034</v>
      </c>
      <c r="M30">
        <v>2019</v>
      </c>
      <c r="N30" s="13">
        <f>SUMIFS(Dane!$J$4:$J$2463,Dane!$A$4:$A$2463,'Trójkąty skumulowane'!$A$16,Dane!$H$4:$H$2463,'Trójkąty skumulowane'!$A26,Dane!$I$4:$I$2463,$A30+N$22)</f>
        <v>9602239.5392628685</v>
      </c>
      <c r="O30" s="13">
        <f>SUMIFS(Dane!$J$4:$J$2463,Dane!$A$4:$A$2463,'Trójkąty skumulowane'!$A$16,Dane!$H$4:$H$2463,'Trójkąty skumulowane'!$A26,Dane!$I$4:$I$2463,$A30+O$22)+N30</f>
        <v>12272671.618989039</v>
      </c>
      <c r="P30" s="13">
        <f>SUMIFS(Dane!$J$4:$J$2463,Dane!$A$4:$A$2463,'Trójkąty skumulowane'!$A$16,Dane!$H$4:$H$2463,'Trójkąty skumulowane'!$A26,Dane!$I$4:$I$2463,$A30+P$22)+O30</f>
        <v>12983607.091662303</v>
      </c>
      <c r="Q30" s="13">
        <f>SUMIFS(Dane!$J$4:$J$2463,Dane!$A$4:$A$2463,'Trójkąty skumulowane'!$A$16,Dane!$H$4:$H$2463,'Trójkąty skumulowane'!$A26,Dane!$I$4:$I$2463,$A30+Q$22)</f>
        <v>0</v>
      </c>
      <c r="R30" s="13">
        <f>SUMIFS(Dane!$J$4:$J$2463,Dane!$A$4:$A$2463,'Trójkąty skumulowane'!$A$16,Dane!$H$4:$H$2463,'Trójkąty skumulowane'!$A26,Dane!$I$4:$I$2463,$A30+R$22)+Q30</f>
        <v>0</v>
      </c>
      <c r="S30" s="13">
        <f>SUMIFS(Dane!$J$4:$J$2463,Dane!$A$4:$A$2463,'Trójkąty skumulowane'!$A$16,Dane!$H$4:$H$2463,'Trójkąty skumulowane'!$A26,Dane!$I$4:$I$2463,$A30+S$22)+R30</f>
        <v>0</v>
      </c>
      <c r="T30" s="13">
        <f>SUMIFS(Dane!$J$4:$J$2463,Dane!$A$4:$A$2463,'Trójkąty skumulowane'!$A$16,Dane!$H$4:$H$2463,'Trójkąty skumulowane'!$A26,Dane!$I$4:$I$2463,$A30+T$22)+S30</f>
        <v>0</v>
      </c>
      <c r="U30" s="13">
        <f>SUMIFS(Dane!$J$4:$J$2463,Dane!$A$4:$A$2463,'Trójkąty skumulowane'!$A$16,Dane!$H$4:$H$2463,'Trójkąty skumulowane'!$A26,Dane!$I$4:$I$2463,$A30+U$22)+T30</f>
        <v>0</v>
      </c>
      <c r="V30" s="13">
        <f>SUMIFS(Dane!$J$4:$J$2463,Dane!$A$4:$A$2463,'Trójkąty skumulowane'!$A$16,Dane!$H$4:$H$2463,'Trójkąty skumulowane'!$A26,Dane!$I$4:$I$2463,$A30+V$22)+U30</f>
        <v>0</v>
      </c>
      <c r="W30" s="13">
        <f>SUMIFS(Dane!$J$4:$J$2463,Dane!$A$4:$A$2463,'Trójkąty skumulowane'!$A$16,Dane!$H$4:$H$2463,'Trójkąty skumulowane'!$A26,Dane!$I$4:$I$2463,$A30+W$22)+V30</f>
        <v>0</v>
      </c>
      <c r="X30" s="11"/>
      <c r="AR30">
        <v>7</v>
      </c>
      <c r="AS30" s="8">
        <f t="shared" si="90"/>
        <v>-0.71333883077005089</v>
      </c>
      <c r="AT30" s="8">
        <f t="shared" si="90"/>
        <v>-1.1095540284958569</v>
      </c>
      <c r="AU30" s="60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D30">
        <v>7</v>
      </c>
      <c r="BE30" s="8">
        <f t="shared" si="82"/>
        <v>-1.2028754275422047</v>
      </c>
      <c r="BF30" s="8">
        <f t="shared" si="82"/>
        <v>-1.2204517524321137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P30">
        <v>7</v>
      </c>
      <c r="BQ30" s="8">
        <f t="shared" si="84"/>
        <v>6.8444212722748449E-2</v>
      </c>
      <c r="BR30" s="8">
        <f t="shared" si="62"/>
        <v>2.0905662756861845</v>
      </c>
      <c r="BS30" s="8">
        <f t="shared" si="62"/>
        <v>1.9524442441584131</v>
      </c>
      <c r="BT30" s="8">
        <v>0</v>
      </c>
      <c r="BU30" s="8">
        <v>0</v>
      </c>
      <c r="BV30" s="8">
        <v>0</v>
      </c>
      <c r="BW30" s="8">
        <v>0</v>
      </c>
      <c r="BX30" s="8">
        <v>0</v>
      </c>
      <c r="BY30" s="8">
        <v>0</v>
      </c>
      <c r="BZ30" s="8">
        <v>0</v>
      </c>
      <c r="CB30">
        <v>7</v>
      </c>
      <c r="CC30" s="8">
        <f t="shared" si="85"/>
        <v>-7.7914052353270799E-2</v>
      </c>
      <c r="CD30" s="8">
        <f t="shared" si="63"/>
        <v>-2.0310203433831671</v>
      </c>
      <c r="CE30" s="8">
        <f t="shared" si="63"/>
        <v>-1.8944951316793794</v>
      </c>
      <c r="CF30" s="8">
        <v>0</v>
      </c>
      <c r="CG30" s="8">
        <v>0</v>
      </c>
      <c r="CH30" s="8">
        <v>0</v>
      </c>
      <c r="CI30" s="8">
        <v>0</v>
      </c>
      <c r="CJ30" s="8">
        <v>0</v>
      </c>
      <c r="CK30" s="8">
        <v>0</v>
      </c>
      <c r="CL30" s="8">
        <v>0</v>
      </c>
      <c r="CN30">
        <v>7</v>
      </c>
      <c r="CO30" s="8">
        <f>AS30*CC30</f>
        <v>5.5579119006238721E-2</v>
      </c>
      <c r="CP30" s="8">
        <f t="shared" si="64"/>
        <v>2.2535268039578318</v>
      </c>
      <c r="CQ30" s="8">
        <f t="shared" si="65"/>
        <v>0</v>
      </c>
      <c r="CR30" s="8">
        <f t="shared" si="66"/>
        <v>0</v>
      </c>
      <c r="CS30" s="8">
        <f t="shared" si="67"/>
        <v>0</v>
      </c>
      <c r="CT30" s="8">
        <f t="shared" si="68"/>
        <v>0</v>
      </c>
      <c r="CU30" s="8">
        <f t="shared" si="102"/>
        <v>0</v>
      </c>
      <c r="CV30" s="8">
        <f t="shared" si="100"/>
        <v>0</v>
      </c>
      <c r="CW30" s="8">
        <f t="shared" si="97"/>
        <v>0</v>
      </c>
      <c r="CX30" s="8"/>
      <c r="CZ30">
        <v>7</v>
      </c>
      <c r="DA30" s="8">
        <f t="shared" si="87"/>
        <v>-8.2329861641665641E-2</v>
      </c>
      <c r="DB30" s="8">
        <f t="shared" si="72"/>
        <v>-2.5514352747366811</v>
      </c>
      <c r="DC30" s="8">
        <f t="shared" si="73"/>
        <v>0</v>
      </c>
      <c r="DD30" s="8">
        <f t="shared" si="74"/>
        <v>0</v>
      </c>
      <c r="DE30" s="8">
        <f t="shared" si="75"/>
        <v>0</v>
      </c>
      <c r="DF30" s="8">
        <f t="shared" si="76"/>
        <v>0</v>
      </c>
      <c r="DG30" s="8">
        <f t="shared" si="77"/>
        <v>0</v>
      </c>
      <c r="DH30" s="8">
        <f t="shared" si="78"/>
        <v>0</v>
      </c>
      <c r="DI30" s="8">
        <f t="shared" si="98"/>
        <v>0</v>
      </c>
      <c r="DJ30" s="8">
        <f t="shared" si="80"/>
        <v>0</v>
      </c>
    </row>
    <row r="31" spans="1:119" x14ac:dyDescent="0.25">
      <c r="A31">
        <v>2020</v>
      </c>
      <c r="B31" s="13">
        <f>SUMIFS(Dane!$D$4:$D$2463,Dane!$A$4:$A$2463,'Trójkąty skumulowane'!$A$16,Dane!$H$4:$H$2463,'Trójkąty skumulowane'!$A27,Dane!$I$4:$I$2463,$A31+B$22)</f>
        <v>6735078.0685242079</v>
      </c>
      <c r="C31" s="13">
        <f>SUMIFS(Dane!$D$4:$D$2463,Dane!$A$4:$A$2463,'Trójkąty skumulowane'!$A$16,Dane!$H$4:$H$2463,'Trójkąty skumulowane'!$A27,Dane!$I$4:$I$2463,$A31+C$22)+B31</f>
        <v>7976472.9698659219</v>
      </c>
      <c r="D31" s="14">
        <f>$C31*($D$35+$DO$26*($AC$26/$AC$29)*(($O$31/$C$31)-$AC$25))</f>
        <v>8041878.8377758572</v>
      </c>
      <c r="E31" s="14">
        <f t="shared" ref="E31:E32" si="106">$D31*($E$35+$DO$26*($AD$26/$AD$29)*(($P$30/$D$30)-$AD$25))</f>
        <v>8051438.7884351779</v>
      </c>
      <c r="F31" s="14">
        <f t="shared" si="105"/>
        <v>8050216.4057888445</v>
      </c>
      <c r="G31" s="14">
        <f t="shared" si="104"/>
        <v>8049147.879766739</v>
      </c>
      <c r="H31" s="14">
        <f t="shared" si="103"/>
        <v>8048529.3643512204</v>
      </c>
      <c r="I31" s="14">
        <f t="shared" si="101"/>
        <v>8047389.3139987048</v>
      </c>
      <c r="J31" s="14">
        <f t="shared" si="99"/>
        <v>8046396.6819153111</v>
      </c>
      <c r="K31" s="14">
        <f t="shared" si="88"/>
        <v>8045780.6718036979</v>
      </c>
      <c r="L31" s="14">
        <f>K31-C31</f>
        <v>69307.701937776059</v>
      </c>
      <c r="M31">
        <v>2020</v>
      </c>
      <c r="N31" s="13">
        <f>SUMIFS(Dane!$J$4:$J$2463,Dane!$A$4:$A$2463,'Trójkąty skumulowane'!$A$16,Dane!$H$4:$H$2463,'Trójkąty skumulowane'!$A27,Dane!$I$4:$I$2463,$A31+N$22)</f>
        <v>10957457.882714372</v>
      </c>
      <c r="O31" s="13">
        <f>SUMIFS(Dane!$J$4:$J$2463,Dane!$A$4:$A$2463,'Trójkąty skumulowane'!$A$16,Dane!$H$4:$H$2463,'Trójkąty skumulowane'!$A27,Dane!$I$4:$I$2463,$A31+O$22)+N31</f>
        <v>16138708.563675594</v>
      </c>
      <c r="P31" s="13">
        <f>SUMIFS(Dane!$J$4:$J$2463,Dane!$A$4:$A$2463,'Trójkąty skumulowane'!$A$16,Dane!$H$4:$H$2463,'Trójkąty skumulowane'!$A27,Dane!$I$4:$I$2463,$A31+P$22)</f>
        <v>0</v>
      </c>
      <c r="Q31" s="13">
        <f>SUMIFS(Dane!$J$4:$J$2463,Dane!$A$4:$A$2463,'Trójkąty skumulowane'!$A$16,Dane!$H$4:$H$2463,'Trójkąty skumulowane'!$A27,Dane!$I$4:$I$2463,$A31+Q$22)+P31</f>
        <v>0</v>
      </c>
      <c r="R31" s="13">
        <f>SUMIFS(Dane!$J$4:$J$2463,Dane!$A$4:$A$2463,'Trójkąty skumulowane'!$A$16,Dane!$H$4:$H$2463,'Trójkąty skumulowane'!$A27,Dane!$I$4:$I$2463,$A31+R$22)+Q31</f>
        <v>0</v>
      </c>
      <c r="S31" s="13">
        <f>SUMIFS(Dane!$J$4:$J$2463,Dane!$A$4:$A$2463,'Trójkąty skumulowane'!$A$16,Dane!$H$4:$H$2463,'Trójkąty skumulowane'!$A27,Dane!$I$4:$I$2463,$A31+S$22)+R31</f>
        <v>0</v>
      </c>
      <c r="T31" s="13">
        <f>SUMIFS(Dane!$J$4:$J$2463,Dane!$A$4:$A$2463,'Trójkąty skumulowane'!$A$16,Dane!$H$4:$H$2463,'Trójkąty skumulowane'!$A27,Dane!$I$4:$I$2463,$A31+T$22)+S31</f>
        <v>0</v>
      </c>
      <c r="U31" s="13">
        <f>SUMIFS(Dane!$J$4:$J$2463,Dane!$A$4:$A$2463,'Trójkąty skumulowane'!$A$16,Dane!$H$4:$H$2463,'Trójkąty skumulowane'!$A27,Dane!$I$4:$I$2463,$A31+U$22)+T31</f>
        <v>0</v>
      </c>
      <c r="V31" s="13">
        <f>SUMIFS(Dane!$J$4:$J$2463,Dane!$A$4:$A$2463,'Trójkąty skumulowane'!$A$16,Dane!$H$4:$H$2463,'Trójkąty skumulowane'!$A27,Dane!$I$4:$I$2463,$A31+V$22)+U31</f>
        <v>0</v>
      </c>
      <c r="W31" s="13">
        <f>SUMIFS(Dane!$J$4:$J$2463,Dane!$A$4:$A$2463,'Trójkąty skumulowane'!$A$16,Dane!$H$4:$H$2463,'Trójkąty skumulowane'!$A27,Dane!$I$4:$I$2463,$A31+W$22)+V31</f>
        <v>0</v>
      </c>
      <c r="X31" s="11"/>
      <c r="AR31">
        <v>8</v>
      </c>
      <c r="AS31" s="8">
        <f t="shared" si="90"/>
        <v>-1.801101594367559</v>
      </c>
      <c r="AT31" s="8">
        <v>0</v>
      </c>
      <c r="AU31" s="8">
        <v>0</v>
      </c>
      <c r="AV31" s="8">
        <v>0</v>
      </c>
      <c r="AW31" s="8">
        <v>0</v>
      </c>
      <c r="AX31" s="8">
        <v>0</v>
      </c>
      <c r="AY31" s="8">
        <v>0</v>
      </c>
      <c r="AZ31" s="8">
        <v>0</v>
      </c>
      <c r="BA31" s="8">
        <v>0</v>
      </c>
      <c r="BB31" s="8">
        <v>0</v>
      </c>
      <c r="BD31">
        <v>8</v>
      </c>
      <c r="BE31" s="8">
        <f>(O31/N31-O$35)/AB$27*SQRT(N31)</f>
        <v>2.37349165645489</v>
      </c>
      <c r="BF31" s="8">
        <v>0</v>
      </c>
      <c r="BG31" s="8">
        <v>0</v>
      </c>
      <c r="BH31" s="8">
        <v>0</v>
      </c>
      <c r="BI31" s="8">
        <v>0</v>
      </c>
      <c r="BJ31" s="8">
        <v>0</v>
      </c>
      <c r="BK31" s="8">
        <v>0</v>
      </c>
      <c r="BL31" s="8">
        <v>0</v>
      </c>
      <c r="BM31" s="8">
        <v>0</v>
      </c>
      <c r="BN31" s="8">
        <v>0</v>
      </c>
      <c r="BP31">
        <v>8</v>
      </c>
      <c r="BQ31" s="8">
        <f t="shared" si="84"/>
        <v>0.18068911896069756</v>
      </c>
      <c r="BR31" s="8">
        <f t="shared" si="84"/>
        <v>-1.2962729505965944</v>
      </c>
      <c r="BS31" s="8">
        <v>0</v>
      </c>
      <c r="BT31" s="8">
        <v>0</v>
      </c>
      <c r="BU31" s="8">
        <v>0</v>
      </c>
      <c r="BV31" s="8">
        <v>0</v>
      </c>
      <c r="BW31" s="8">
        <v>0</v>
      </c>
      <c r="BX31" s="8">
        <v>0</v>
      </c>
      <c r="BY31" s="8">
        <v>0</v>
      </c>
      <c r="BZ31" s="8">
        <v>0</v>
      </c>
      <c r="CB31">
        <v>8</v>
      </c>
      <c r="CC31" s="8">
        <f t="shared" si="85"/>
        <v>-0.2043446265412564</v>
      </c>
      <c r="CD31" s="8">
        <f t="shared" si="85"/>
        <v>1.3530844629085574</v>
      </c>
      <c r="CE31" s="8">
        <v>0</v>
      </c>
      <c r="CF31" s="8">
        <v>0</v>
      </c>
      <c r="CG31" s="8">
        <v>0</v>
      </c>
      <c r="CH31" s="8">
        <v>0</v>
      </c>
      <c r="CI31" s="8">
        <v>0</v>
      </c>
      <c r="CJ31" s="8">
        <v>0</v>
      </c>
      <c r="CK31" s="8">
        <v>0</v>
      </c>
      <c r="CL31" s="8">
        <v>0</v>
      </c>
      <c r="CN31">
        <v>8</v>
      </c>
      <c r="CO31" s="8">
        <f t="shared" ref="CO31:CO32" si="107">AS31*CC31</f>
        <v>0.36804543266390033</v>
      </c>
      <c r="CP31" s="8">
        <f t="shared" si="64"/>
        <v>0</v>
      </c>
      <c r="CQ31" s="8">
        <f t="shared" si="65"/>
        <v>0</v>
      </c>
      <c r="CR31" s="8">
        <f t="shared" si="66"/>
        <v>0</v>
      </c>
      <c r="CS31" s="8">
        <f t="shared" si="67"/>
        <v>0</v>
      </c>
      <c r="CT31" s="8">
        <f t="shared" si="68"/>
        <v>0</v>
      </c>
      <c r="CU31" s="8">
        <f t="shared" si="102"/>
        <v>0</v>
      </c>
      <c r="CV31" s="8">
        <f t="shared" si="100"/>
        <v>0</v>
      </c>
      <c r="CW31" s="8">
        <f t="shared" si="97"/>
        <v>0</v>
      </c>
      <c r="CX31" s="8"/>
      <c r="CZ31">
        <v>8</v>
      </c>
      <c r="DA31" s="8">
        <f t="shared" si="87"/>
        <v>0.42886411626540072</v>
      </c>
      <c r="DB31" s="8">
        <f t="shared" si="72"/>
        <v>0</v>
      </c>
      <c r="DC31" s="8">
        <f t="shared" si="73"/>
        <v>0</v>
      </c>
      <c r="DD31" s="8">
        <f t="shared" si="74"/>
        <v>0</v>
      </c>
      <c r="DE31" s="8">
        <f t="shared" si="75"/>
        <v>0</v>
      </c>
      <c r="DF31" s="8">
        <f t="shared" si="76"/>
        <v>0</v>
      </c>
      <c r="DG31" s="8">
        <f t="shared" si="77"/>
        <v>0</v>
      </c>
      <c r="DH31" s="8">
        <f t="shared" si="78"/>
        <v>0</v>
      </c>
      <c r="DI31" s="8">
        <f t="shared" si="98"/>
        <v>0</v>
      </c>
      <c r="DJ31" s="8">
        <f t="shared" si="80"/>
        <v>0</v>
      </c>
    </row>
    <row r="32" spans="1:119" x14ac:dyDescent="0.25">
      <c r="A32">
        <v>2021</v>
      </c>
      <c r="B32" s="13">
        <f>SUMIFS(Dane!$D$4:$D$2463,Dane!$A$4:$A$2463,'Trójkąty skumulowane'!$A$16,Dane!$H$4:$H$2463,'Trójkąty skumulowane'!$A28,Dane!$I$4:$I$2463,$A32+B$22)</f>
        <v>6428313.2761970535</v>
      </c>
      <c r="C32" s="14">
        <f>$B32*($C$35+$DO$26*($AB$26/$AB$29)*(($N$32/$B$32)-$AB$25))</f>
        <v>7741740.4290859904</v>
      </c>
      <c r="D32" s="14">
        <f>$C32*($D$35+$DO$26*($AC$26/$AC$29)*(($O$31/$C$31)-$AC$25))</f>
        <v>7805221.5257825814</v>
      </c>
      <c r="E32" s="14">
        <f t="shared" si="106"/>
        <v>7814500.1451421576</v>
      </c>
      <c r="F32" s="14">
        <f t="shared" si="105"/>
        <v>7813313.7349093789</v>
      </c>
      <c r="G32" s="14">
        <f t="shared" si="104"/>
        <v>7812276.6535908412</v>
      </c>
      <c r="H32" s="14">
        <f t="shared" si="103"/>
        <v>7811676.3399163103</v>
      </c>
      <c r="I32" s="14">
        <f t="shared" si="101"/>
        <v>7810569.8390933769</v>
      </c>
      <c r="J32" s="14">
        <f t="shared" si="99"/>
        <v>7809606.4182982147</v>
      </c>
      <c r="K32" s="14">
        <f t="shared" si="88"/>
        <v>7809008.5362012256</v>
      </c>
      <c r="L32" s="14">
        <f>K32-B32</f>
        <v>1380695.2600041721</v>
      </c>
      <c r="M32">
        <v>2021</v>
      </c>
      <c r="N32" s="13">
        <f>SUMIFS(Dane!$J$4:$J$2463,Dane!$A$4:$A$2463,'Trójkąty skumulowane'!$A$16,Dane!$H$4:$H$2463,'Trójkąty skumulowane'!$A28,Dane!$I$4:$I$2463,$A32+N$22)</f>
        <v>7577747.946899564</v>
      </c>
      <c r="O32" s="13">
        <f>SUMIFS(Dane!$J$4:$J$2463,Dane!$A$4:$A$2463,'Trójkąty skumulowane'!$A$16,Dane!$H$4:$H$2463,'Trójkąty skumulowane'!$A28,Dane!$I$4:$I$2463,$A32+O$22)</f>
        <v>0</v>
      </c>
      <c r="P32" s="13">
        <f>SUMIFS(Dane!$J$4:$J$2463,Dane!$A$4:$A$2463,'Trójkąty skumulowane'!$A$16,Dane!$H$4:$H$2463,'Trójkąty skumulowane'!$A28,Dane!$I$4:$I$2463,$A32+P$22)+O32</f>
        <v>0</v>
      </c>
      <c r="Q32" s="13">
        <f>SUMIFS(Dane!$J$4:$J$2463,Dane!$A$4:$A$2463,'Trójkąty skumulowane'!$A$16,Dane!$H$4:$H$2463,'Trójkąty skumulowane'!$A28,Dane!$I$4:$I$2463,$A32+Q$22)+P32</f>
        <v>0</v>
      </c>
      <c r="R32" s="13">
        <f>SUMIFS(Dane!$J$4:$J$2463,Dane!$A$4:$A$2463,'Trójkąty skumulowane'!$A$16,Dane!$H$4:$H$2463,'Trójkąty skumulowane'!$A28,Dane!$I$4:$I$2463,$A32+R$22)+Q32</f>
        <v>0</v>
      </c>
      <c r="S32" s="13">
        <f>SUMIFS(Dane!$J$4:$J$2463,Dane!$A$4:$A$2463,'Trójkąty skumulowane'!$A$16,Dane!$H$4:$H$2463,'Trójkąty skumulowane'!$A28,Dane!$I$4:$I$2463,$A32+S$22)+R32</f>
        <v>0</v>
      </c>
      <c r="T32" s="13">
        <f>SUMIFS(Dane!$J$4:$J$2463,Dane!$A$4:$A$2463,'Trójkąty skumulowane'!$A$16,Dane!$H$4:$H$2463,'Trójkąty skumulowane'!$A28,Dane!$I$4:$I$2463,$A32+T$22)+S32</f>
        <v>0</v>
      </c>
      <c r="U32" s="13">
        <f>SUMIFS(Dane!$J$4:$J$2463,Dane!$A$4:$A$2463,'Trójkąty skumulowane'!$A$16,Dane!$H$4:$H$2463,'Trójkąty skumulowane'!$A28,Dane!$I$4:$I$2463,$A32+U$22)+T32</f>
        <v>0</v>
      </c>
      <c r="V32" s="13">
        <f>SUMIFS(Dane!$J$4:$J$2463,Dane!$A$4:$A$2463,'Trójkąty skumulowane'!$A$16,Dane!$H$4:$H$2463,'Trójkąty skumulowane'!$A28,Dane!$I$4:$I$2463,$A32+V$22)+U32</f>
        <v>0</v>
      </c>
      <c r="W32" s="13">
        <f>SUMIFS(Dane!$J$4:$J$2463,Dane!$A$4:$A$2463,'Trójkąty skumulowane'!$A$16,Dane!$H$4:$H$2463,'Trójkąty skumulowane'!$A28,Dane!$I$4:$I$2463,$A32+W$22)+V32</f>
        <v>0</v>
      </c>
      <c r="X32" s="11"/>
      <c r="AR32">
        <v>9</v>
      </c>
      <c r="AS32" s="60">
        <v>0</v>
      </c>
      <c r="AT32" s="21">
        <v>0</v>
      </c>
      <c r="AU32" s="8">
        <v>0</v>
      </c>
      <c r="AV32" s="8">
        <v>0</v>
      </c>
      <c r="AW32" s="8">
        <v>0</v>
      </c>
      <c r="AX32" s="8">
        <v>0</v>
      </c>
      <c r="AY32" s="8">
        <v>0</v>
      </c>
      <c r="AZ32" s="8">
        <v>0</v>
      </c>
      <c r="BA32" s="8">
        <v>0</v>
      </c>
      <c r="BB32" s="8">
        <v>0</v>
      </c>
      <c r="BD32">
        <v>9</v>
      </c>
      <c r="BE32" s="8">
        <v>0</v>
      </c>
      <c r="BF32" s="8">
        <v>0</v>
      </c>
      <c r="BG32" s="8">
        <v>0</v>
      </c>
      <c r="BH32" s="8">
        <v>0</v>
      </c>
      <c r="BI32" s="8">
        <v>0</v>
      </c>
      <c r="BJ32" s="8">
        <v>0</v>
      </c>
      <c r="BK32" s="8">
        <v>0</v>
      </c>
      <c r="BL32" s="8">
        <v>0</v>
      </c>
      <c r="BM32" s="8">
        <v>0</v>
      </c>
      <c r="BN32" s="8">
        <v>0</v>
      </c>
      <c r="BP32">
        <v>9</v>
      </c>
      <c r="BQ32" s="8">
        <f t="shared" si="84"/>
        <v>2.7603439158172787</v>
      </c>
      <c r="BR32" s="8">
        <v>0</v>
      </c>
      <c r="BS32" s="8">
        <v>0</v>
      </c>
      <c r="BT32" s="8">
        <v>0</v>
      </c>
      <c r="BU32" s="8">
        <v>0</v>
      </c>
      <c r="BV32" s="8">
        <v>0</v>
      </c>
      <c r="BW32" s="8">
        <v>0</v>
      </c>
      <c r="BX32" s="8">
        <v>0</v>
      </c>
      <c r="BY32" s="8">
        <v>0</v>
      </c>
      <c r="BZ32" s="8">
        <v>0</v>
      </c>
      <c r="CB32">
        <v>9</v>
      </c>
      <c r="CC32" s="8">
        <f>(N32/B32-AB$25)/AB$29*SQRT(B32)</f>
        <v>-2.6572498408288561</v>
      </c>
      <c r="CD32" s="8">
        <v>0</v>
      </c>
      <c r="CE32" s="8">
        <v>0</v>
      </c>
      <c r="CF32" s="8">
        <v>0</v>
      </c>
      <c r="CG32" s="8">
        <v>0</v>
      </c>
      <c r="CH32" s="8">
        <v>0</v>
      </c>
      <c r="CI32" s="8">
        <v>0</v>
      </c>
      <c r="CJ32" s="8">
        <v>0</v>
      </c>
      <c r="CK32" s="8">
        <v>0</v>
      </c>
      <c r="CL32" s="8">
        <v>0</v>
      </c>
      <c r="CN32">
        <v>9</v>
      </c>
      <c r="CO32" s="8">
        <f t="shared" si="107"/>
        <v>0</v>
      </c>
      <c r="CP32" s="8">
        <f t="shared" si="64"/>
        <v>0</v>
      </c>
      <c r="CQ32" s="8">
        <f t="shared" si="65"/>
        <v>0</v>
      </c>
      <c r="CR32" s="8">
        <f t="shared" si="66"/>
        <v>0</v>
      </c>
      <c r="CS32" s="8">
        <f t="shared" si="67"/>
        <v>0</v>
      </c>
      <c r="CT32" s="8">
        <f t="shared" si="68"/>
        <v>0</v>
      </c>
      <c r="CU32" s="8">
        <f t="shared" si="102"/>
        <v>0</v>
      </c>
      <c r="CV32" s="8">
        <f t="shared" si="100"/>
        <v>0</v>
      </c>
      <c r="CW32" s="8">
        <f t="shared" si="97"/>
        <v>0</v>
      </c>
      <c r="CX32" s="8"/>
      <c r="CZ32">
        <v>9</v>
      </c>
      <c r="DA32" s="8">
        <f t="shared" si="87"/>
        <v>0</v>
      </c>
      <c r="DB32" s="8">
        <f t="shared" si="72"/>
        <v>0</v>
      </c>
      <c r="DC32" s="8">
        <f t="shared" si="73"/>
        <v>0</v>
      </c>
      <c r="DD32" s="8">
        <f t="shared" si="74"/>
        <v>0</v>
      </c>
      <c r="DE32" s="8">
        <f t="shared" si="75"/>
        <v>0</v>
      </c>
      <c r="DF32" s="8">
        <f t="shared" si="76"/>
        <v>0</v>
      </c>
      <c r="DG32" s="8">
        <f t="shared" si="77"/>
        <v>0</v>
      </c>
      <c r="DH32" s="8">
        <f t="shared" si="78"/>
        <v>0</v>
      </c>
      <c r="DI32" s="8">
        <f t="shared" si="98"/>
        <v>0</v>
      </c>
      <c r="DJ32" s="8">
        <f t="shared" si="80"/>
        <v>0</v>
      </c>
    </row>
    <row r="33" spans="1:119" x14ac:dyDescent="0.25">
      <c r="L33" s="69">
        <f>SUM(L23:L32)</f>
        <v>1439040.5973228216</v>
      </c>
    </row>
    <row r="34" spans="1:119" x14ac:dyDescent="0.25">
      <c r="AC34" s="19"/>
      <c r="BS34" s="23" t="s">
        <v>46</v>
      </c>
      <c r="BT34" s="22">
        <f>SUMSQ(BQ23:BZ32)</f>
        <v>44.999999999999986</v>
      </c>
      <c r="CE34" s="23" t="s">
        <v>46</v>
      </c>
      <c r="CF34" s="22">
        <f>SUMSQ(CC23:CL32)</f>
        <v>44.508436221573305</v>
      </c>
      <c r="CQ34" s="23" t="s">
        <v>47</v>
      </c>
      <c r="CR34" s="22">
        <f>SUM(CO23:CW32)</f>
        <v>10.401882881921802</v>
      </c>
      <c r="DC34" s="23" t="s">
        <v>47</v>
      </c>
      <c r="DD34" s="22">
        <f>SUM(DA23:DJ32)</f>
        <v>3.094975998023453</v>
      </c>
    </row>
    <row r="35" spans="1:119" x14ac:dyDescent="0.25">
      <c r="A35" t="s">
        <v>25</v>
      </c>
      <c r="C35">
        <f>SUM(C23:C31)/SUM(B23:B31)</f>
        <v>1.2152282717922607</v>
      </c>
      <c r="D35">
        <f>SUM(D23:D30)/SUM(C23:C30)</f>
        <v>1.0073724031826814</v>
      </c>
      <c r="E35">
        <f>SUM(E23:E29)/SUM(D23:D29)</f>
        <v>1.0014914951879261</v>
      </c>
      <c r="F35">
        <f>SUM(F23:F28)/SUM(E23:E28)</f>
        <v>0.99990752909513281</v>
      </c>
      <c r="G35">
        <f>SUM(G23:G27)/SUM(F23:F27)</f>
        <v>0.9997967229758733</v>
      </c>
      <c r="H35">
        <f>SUM(H23:H26)/SUM(G23:G26)</f>
        <v>0.99988753204910041</v>
      </c>
      <c r="I35">
        <f>SUM(I23:I25)/SUM(H23:H25)</f>
        <v>0.9998343412954942</v>
      </c>
      <c r="J35">
        <f>SUM(J23:J24)/SUM(I23:I24)</f>
        <v>0.99987433930555802</v>
      </c>
      <c r="K35">
        <f>SUM(K23)/SUM(J23)</f>
        <v>0.99991601802525232</v>
      </c>
      <c r="M35" t="s">
        <v>25</v>
      </c>
      <c r="O35">
        <f>SUM(O23:O31)/SUM(N23:N31)</f>
        <v>1.346505982221996</v>
      </c>
      <c r="P35">
        <f>SUM(P23:P30)/SUM(O23:O30)</f>
        <v>1.0705380553032267</v>
      </c>
      <c r="Q35">
        <f>SUM(Q23:Q29)/SUM(P23:P29)</f>
        <v>1.0253893468347552</v>
      </c>
      <c r="R35">
        <f>SUM(R23:R28)/SUM(Q23:Q28)</f>
        <v>1.0061068105913933</v>
      </c>
      <c r="S35">
        <f>SUM(S23:S27)/SUM(R23:R27)</f>
        <v>1.0010887083525277</v>
      </c>
      <c r="T35">
        <f>SUM(T23:T26)/SUM(S23:S26)</f>
        <v>1.0001157836607102</v>
      </c>
      <c r="U35">
        <f>SUM(U23:U25)/SUM(T23:T25)</f>
        <v>0.99985459663804666</v>
      </c>
      <c r="V35">
        <f>SUM(V23:V24)/SUM(U23:U24)</f>
        <v>0.9998083163330308</v>
      </c>
      <c r="W35">
        <f>SUM(W23)/SUM(V23)</f>
        <v>1.0000394746840364</v>
      </c>
    </row>
    <row r="36" spans="1:119" x14ac:dyDescent="0.25">
      <c r="A36" t="s">
        <v>26</v>
      </c>
      <c r="B36">
        <f>PRODUCT(C35:K35)</f>
        <v>1.2250529987756569</v>
      </c>
      <c r="C36">
        <f>PRODUCT(D35:K35)</f>
        <v>1.0080846761151352</v>
      </c>
      <c r="D36">
        <f>PRODUCT(E35:K35)</f>
        <v>1.0007070601995882</v>
      </c>
      <c r="E36">
        <f>PRODUCT(F35:K35)</f>
        <v>0.99921673325025029</v>
      </c>
      <c r="F36">
        <f>PRODUCT(G35:K35)</f>
        <v>0.99930914027069329</v>
      </c>
      <c r="G36">
        <f>PRODUCT(H35:K35)</f>
        <v>0.99951231816030683</v>
      </c>
      <c r="H36">
        <f>PRODUCT(I35:K35)</f>
        <v>0.99962474390692257</v>
      </c>
      <c r="I36">
        <f>PRODUCT(J35:K35)</f>
        <v>0.99979036788404363</v>
      </c>
      <c r="J36">
        <f>PRODUCT(K35)</f>
        <v>0.99991601802525232</v>
      </c>
      <c r="K36">
        <v>1</v>
      </c>
      <c r="M36" t="s">
        <v>26</v>
      </c>
      <c r="N36">
        <f>PRODUCT(O35:W35)</f>
        <v>1.4884589681924429</v>
      </c>
      <c r="O36">
        <f>PRODUCT(P35:W35)</f>
        <v>1.1054232122579932</v>
      </c>
      <c r="P36">
        <f>PRODUCT(Q35:W35)</f>
        <v>1.0325865640945251</v>
      </c>
      <c r="Q36">
        <f>PRODUCT(R35:W35)</f>
        <v>1.0070190092007358</v>
      </c>
      <c r="R36">
        <f>PRODUCT(S35:W35)</f>
        <v>1.0009066617974751</v>
      </c>
      <c r="S36">
        <f>PRODUCT(T35:W35)</f>
        <v>0.99981815142500963</v>
      </c>
      <c r="T36">
        <f>PRODUCT(U35:W35)</f>
        <v>0.99970240222125972</v>
      </c>
      <c r="U36">
        <f>PRODUCT(V35:W35)</f>
        <v>0.99984778345041503</v>
      </c>
      <c r="V36">
        <f>PRODUCT(W35)</f>
        <v>1.0000394746840364</v>
      </c>
      <c r="W36">
        <v>1</v>
      </c>
    </row>
    <row r="40" spans="1:119" x14ac:dyDescent="0.25">
      <c r="A40" s="3" t="s">
        <v>18</v>
      </c>
      <c r="B40" s="75" t="s">
        <v>27</v>
      </c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3" t="s">
        <v>18</v>
      </c>
      <c r="N40" s="76" t="s">
        <v>16</v>
      </c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119" x14ac:dyDescent="0.25">
      <c r="B41" t="s">
        <v>21</v>
      </c>
      <c r="N41" t="s">
        <v>21</v>
      </c>
    </row>
    <row r="42" spans="1:119" x14ac:dyDescent="0.25">
      <c r="A42" t="s">
        <v>22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  <c r="J42">
        <v>8</v>
      </c>
      <c r="K42">
        <v>9</v>
      </c>
      <c r="L42" t="s">
        <v>24</v>
      </c>
      <c r="M42" t="s">
        <v>22</v>
      </c>
      <c r="N42">
        <v>0</v>
      </c>
      <c r="O42">
        <v>1</v>
      </c>
      <c r="P42">
        <v>2</v>
      </c>
      <c r="Q42">
        <v>3</v>
      </c>
      <c r="R42">
        <v>4</v>
      </c>
      <c r="S42">
        <v>5</v>
      </c>
      <c r="T42">
        <v>6</v>
      </c>
      <c r="U42">
        <v>7</v>
      </c>
      <c r="V42">
        <v>8</v>
      </c>
      <c r="W42">
        <v>9</v>
      </c>
      <c r="X42" t="s">
        <v>24</v>
      </c>
      <c r="AA42" s="74" t="s">
        <v>29</v>
      </c>
      <c r="AB42" s="74"/>
      <c r="AC42" s="74"/>
      <c r="AR42" t="s">
        <v>30</v>
      </c>
      <c r="AS42">
        <v>0</v>
      </c>
      <c r="AT42">
        <v>1</v>
      </c>
      <c r="AU42">
        <v>2</v>
      </c>
      <c r="AV42">
        <v>3</v>
      </c>
      <c r="AW42">
        <v>4</v>
      </c>
      <c r="AX42">
        <v>5</v>
      </c>
      <c r="AY42">
        <v>6</v>
      </c>
      <c r="AZ42">
        <v>7</v>
      </c>
      <c r="BA42">
        <v>8</v>
      </c>
      <c r="BB42">
        <v>9</v>
      </c>
      <c r="BD42" t="s">
        <v>31</v>
      </c>
      <c r="BE42">
        <v>0</v>
      </c>
      <c r="BF42">
        <v>1</v>
      </c>
      <c r="BG42">
        <v>2</v>
      </c>
      <c r="BH42">
        <v>3</v>
      </c>
      <c r="BI42">
        <v>4</v>
      </c>
      <c r="BJ42">
        <v>5</v>
      </c>
      <c r="BK42">
        <v>6</v>
      </c>
      <c r="BL42">
        <v>7</v>
      </c>
      <c r="BM42">
        <v>8</v>
      </c>
      <c r="BN42">
        <v>9</v>
      </c>
      <c r="BP42" t="s">
        <v>32</v>
      </c>
      <c r="BQ42">
        <v>0</v>
      </c>
      <c r="BR42">
        <v>1</v>
      </c>
      <c r="BS42">
        <v>2</v>
      </c>
      <c r="BT42">
        <v>3</v>
      </c>
      <c r="BU42">
        <v>4</v>
      </c>
      <c r="BV42">
        <v>5</v>
      </c>
      <c r="BW42">
        <v>6</v>
      </c>
      <c r="BX42">
        <v>7</v>
      </c>
      <c r="BY42">
        <v>8</v>
      </c>
      <c r="BZ42">
        <v>9</v>
      </c>
      <c r="CB42" t="s">
        <v>33</v>
      </c>
      <c r="CC42">
        <v>0</v>
      </c>
      <c r="CD42">
        <v>1</v>
      </c>
      <c r="CE42">
        <v>2</v>
      </c>
      <c r="CF42">
        <v>3</v>
      </c>
      <c r="CG42">
        <v>4</v>
      </c>
      <c r="CH42">
        <v>5</v>
      </c>
      <c r="CI42">
        <v>6</v>
      </c>
      <c r="CJ42">
        <v>7</v>
      </c>
      <c r="CK42">
        <v>8</v>
      </c>
      <c r="CL42">
        <v>9</v>
      </c>
      <c r="CN42" t="s">
        <v>34</v>
      </c>
      <c r="CO42">
        <v>0</v>
      </c>
      <c r="CP42">
        <v>1</v>
      </c>
      <c r="CQ42">
        <v>2</v>
      </c>
      <c r="CR42">
        <v>3</v>
      </c>
      <c r="CS42">
        <v>4</v>
      </c>
      <c r="CT42">
        <v>5</v>
      </c>
      <c r="CU42">
        <v>6</v>
      </c>
      <c r="CV42">
        <v>7</v>
      </c>
      <c r="CW42">
        <v>8</v>
      </c>
      <c r="CZ42" t="s">
        <v>35</v>
      </c>
      <c r="DA42">
        <v>0</v>
      </c>
      <c r="DB42">
        <v>1</v>
      </c>
      <c r="DC42">
        <v>2</v>
      </c>
      <c r="DD42">
        <v>3</v>
      </c>
      <c r="DE42">
        <v>4</v>
      </c>
      <c r="DF42">
        <v>5</v>
      </c>
      <c r="DG42">
        <v>6</v>
      </c>
      <c r="DH42">
        <v>7</v>
      </c>
      <c r="DI42">
        <v>8</v>
      </c>
      <c r="DJ42">
        <v>9</v>
      </c>
    </row>
    <row r="43" spans="1:119" x14ac:dyDescent="0.25">
      <c r="A43">
        <v>2012</v>
      </c>
      <c r="B43" s="13">
        <f>SUMIFS(Dane!$D$4:$D$2463,Dane!$A$4:$A$2463,'Trójkąty skumulowane'!$A$31,Dane!$H$4:$H$2463,'Trójkąty skumulowane'!$A34,Dane!$I$4:$I$2463,$A43+B$42)</f>
        <v>5581442.6576523483</v>
      </c>
      <c r="C43" s="13">
        <f>SUMIFS(Dane!$D$4:$D$2463,Dane!$A$4:$A$2463,'Trójkąty skumulowane'!$A$31,Dane!$H$4:$H$2463,'Trójkąty skumulowane'!$A34,Dane!$I$4:$I$2463,$A43+C$42)+B43</f>
        <v>8206652.7707877923</v>
      </c>
      <c r="D43" s="13">
        <f>SUMIFS(Dane!$D$4:$D$2463,Dane!$A$4:$A$2463,'Trójkąty skumulowane'!$A$31,Dane!$H$4:$H$2463,'Trójkąty skumulowane'!$A34,Dane!$I$4:$I$2463,$A43+D$42)+C43</f>
        <v>8898201.9290283415</v>
      </c>
      <c r="E43" s="13">
        <f>SUMIFS(Dane!$D$4:$D$2463,Dane!$A$4:$A$2463,'Trójkąty skumulowane'!$A$31,Dane!$H$4:$H$2463,'Trójkąty skumulowane'!$A34,Dane!$I$4:$I$2463,$A43+E$42)+D43</f>
        <v>9220574.6486107409</v>
      </c>
      <c r="F43" s="13">
        <f>SUMIFS(Dane!$D$4:$D$2463,Dane!$A$4:$A$2463,'Trójkąty skumulowane'!$A$31,Dane!$H$4:$H$2463,'Trójkąty skumulowane'!$A34,Dane!$I$4:$I$2463,$A43+F$42)+E43</f>
        <v>9425853.7168494407</v>
      </c>
      <c r="G43" s="13">
        <f>SUMIFS(Dane!$D$4:$D$2463,Dane!$A$4:$A$2463,'Trójkąty skumulowane'!$A$31,Dane!$H$4:$H$2463,'Trójkąty skumulowane'!$A34,Dane!$I$4:$I$2463,$A43+G$42)+F43</f>
        <v>9531753.1374178734</v>
      </c>
      <c r="H43" s="13">
        <f>SUMIFS(Dane!$D$4:$D$2463,Dane!$A$4:$A$2463,'Trójkąty skumulowane'!$A$31,Dane!$H$4:$H$2463,'Trójkąty skumulowane'!$A34,Dane!$I$4:$I$2463,$A43+H$42)+G43</f>
        <v>9602550.5024997108</v>
      </c>
      <c r="I43" s="13">
        <f>SUMIFS(Dane!$D$4:$D$2463,Dane!$A$4:$A$2463,'Trójkąty skumulowane'!$A$31,Dane!$H$4:$H$2463,'Trójkąty skumulowane'!$A34,Dane!$I$4:$I$2463,$A43+I$42)+H43</f>
        <v>9664785.1807720531</v>
      </c>
      <c r="J43" s="13">
        <f>SUMIFS(Dane!$D$4:$D$2463,Dane!$A$4:$A$2463,'Trójkąty skumulowane'!$A$31,Dane!$H$4:$H$2463,'Trójkąty skumulowane'!$A34,Dane!$I$4:$I$2463,$A43+J$42)+I43</f>
        <v>9744191.1671111416</v>
      </c>
      <c r="K43" s="13">
        <f>SUMIFS(Dane!$D$4:$D$2463,Dane!$A$4:$A$2463,'Trójkąty skumulowane'!$A$31,Dane!$H$4:$H$2463,'Trójkąty skumulowane'!$A34,Dane!$I$4:$I$2463,$A43+K$42)+J43</f>
        <v>9836885.1721109133</v>
      </c>
      <c r="L43" s="14">
        <f>K43-K43</f>
        <v>0</v>
      </c>
      <c r="M43">
        <v>2012</v>
      </c>
      <c r="N43" s="13">
        <f>SUMIFS(Dane!$J$4:$J$2463,Dane!$A$4:$A$2463,'Trójkąty skumulowane'!$A$31,Dane!$H$4:$H$2463,'Trójkąty skumulowane'!$A34,Dane!$I$4:$I$2463,$A43+N$42)</f>
        <v>17391660.064266048</v>
      </c>
      <c r="O43" s="13">
        <f>SUMIFS(Dane!$J$4:$J$2463,Dane!$A$4:$A$2463,'Trójkąty skumulowane'!$A$31,Dane!$H$4:$H$2463,'Trójkąty skumulowane'!$A34,Dane!$I$4:$I$2463,$A43+O$42)+N43</f>
        <v>34147138.253103614</v>
      </c>
      <c r="P43" s="13">
        <f>SUMIFS(Dane!$J$4:$J$2463,Dane!$A$4:$A$2463,'Trójkąty skumulowane'!$A$31,Dane!$H$4:$H$2463,'Trójkąty skumulowane'!$A34,Dane!$I$4:$I$2463,$A43+P$42)+O43</f>
        <v>44738677.628110476</v>
      </c>
      <c r="Q43" s="13">
        <f>SUMIFS(Dane!$J$4:$J$2463,Dane!$A$4:$A$2463,'Trójkąty skumulowane'!$A$31,Dane!$H$4:$H$2463,'Trójkąty skumulowane'!$A34,Dane!$I$4:$I$2463,$A43+Q$42)+P43</f>
        <v>52809501.7348167</v>
      </c>
      <c r="R43" s="13">
        <f>SUMIFS(Dane!$J$4:$J$2463,Dane!$A$4:$A$2463,'Trójkąty skumulowane'!$A$31,Dane!$H$4:$H$2463,'Trójkąty skumulowane'!$A34,Dane!$I$4:$I$2463,$A43+R$42)+Q43</f>
        <v>59263511.275725424</v>
      </c>
      <c r="S43" s="13">
        <f>SUMIFS(Dane!$J$4:$J$2463,Dane!$A$4:$A$2463,'Trójkąty skumulowane'!$A$31,Dane!$H$4:$H$2463,'Trójkąty skumulowane'!$A34,Dane!$I$4:$I$2463,$A43+S$42)+R43</f>
        <v>64738772.383389391</v>
      </c>
      <c r="T43" s="13">
        <f>SUMIFS(Dane!$J$4:$J$2463,Dane!$A$4:$A$2463,'Trójkąty skumulowane'!$A$31,Dane!$H$4:$H$2463,'Trójkąty skumulowane'!$A34,Dane!$I$4:$I$2463,$A43+T$42)+S43</f>
        <v>70517975.757870182</v>
      </c>
      <c r="U43" s="13">
        <f>SUMIFS(Dane!$J$4:$J$2463,Dane!$A$4:$A$2463,'Trójkąty skumulowane'!$A$31,Dane!$H$4:$H$2463,'Trójkąty skumulowane'!$A34,Dane!$I$4:$I$2463,$A43+U$42)+T43</f>
        <v>76130474.534885898</v>
      </c>
      <c r="V43" s="13">
        <f>SUMIFS(Dane!$J$4:$J$2463,Dane!$A$4:$A$2463,'Trójkąty skumulowane'!$A$31,Dane!$H$4:$H$2463,'Trójkąty skumulowane'!$A34,Dane!$I$4:$I$2463,$A43+V$42)+U43</f>
        <v>81310530.345434129</v>
      </c>
      <c r="W43" s="13">
        <f>SUMIFS(Dane!$J$4:$J$2463,Dane!$A$4:$A$2463,'Trójkąty skumulowane'!$A$31,Dane!$H$4:$H$2463,'Trójkąty skumulowane'!$A34,Dane!$I$4:$I$2463,$A43+W$42)+V43</f>
        <v>86200669.651193529</v>
      </c>
      <c r="X43" s="11"/>
      <c r="AB43">
        <v>0</v>
      </c>
      <c r="AC43">
        <v>1</v>
      </c>
      <c r="AD43">
        <v>2</v>
      </c>
      <c r="AE43">
        <v>3</v>
      </c>
      <c r="AF43">
        <v>4</v>
      </c>
      <c r="AG43">
        <v>5</v>
      </c>
      <c r="AH43">
        <v>6</v>
      </c>
      <c r="AI43">
        <v>7</v>
      </c>
      <c r="AJ43">
        <v>8</v>
      </c>
      <c r="AK43">
        <v>9</v>
      </c>
      <c r="AR43">
        <v>0</v>
      </c>
      <c r="AS43" s="8">
        <f>(C43/B43-C$55)/AB$46*SQRT(B43)</f>
        <v>0.50630578070712329</v>
      </c>
      <c r="AT43" s="8">
        <f t="shared" ref="AT43:BA49" si="108">(D43/C43-D$55)/AC$46*SQRT(C43)</f>
        <v>1.2583503876984226</v>
      </c>
      <c r="AU43" s="8">
        <f t="shared" si="108"/>
        <v>-5.0974825407220169E-2</v>
      </c>
      <c r="AV43" s="8">
        <f t="shared" si="108"/>
        <v>-0.18759838768440729</v>
      </c>
      <c r="AW43" s="8">
        <f t="shared" si="108"/>
        <v>-1.5401082435796716</v>
      </c>
      <c r="AX43" s="8">
        <f t="shared" si="108"/>
        <v>-1.2642389893866635</v>
      </c>
      <c r="AY43" s="8">
        <f t="shared" si="108"/>
        <v>-1.0263909669645253</v>
      </c>
      <c r="AZ43" s="8">
        <f t="shared" si="108"/>
        <v>0.69790755461924592</v>
      </c>
      <c r="BA43" s="8">
        <f t="shared" si="108"/>
        <v>0</v>
      </c>
      <c r="BB43" s="8">
        <v>0</v>
      </c>
      <c r="BD43">
        <v>0</v>
      </c>
      <c r="BE43" s="8">
        <f>(O43/N43-O$55)/AB$47*SQRT(N43)</f>
        <v>0.30721623486739696</v>
      </c>
      <c r="BF43" s="8">
        <f t="shared" ref="BF43:BM49" si="109">(P43/O43-P$55)/AC$47*SQRT(O43)</f>
        <v>-1.3530056618675686E-2</v>
      </c>
      <c r="BG43" s="8">
        <f t="shared" si="109"/>
        <v>0.63518103995794106</v>
      </c>
      <c r="BH43" s="8">
        <f t="shared" si="109"/>
        <v>0.935385111001801</v>
      </c>
      <c r="BI43" s="8">
        <f t="shared" si="109"/>
        <v>1.142074095660125</v>
      </c>
      <c r="BJ43" s="8">
        <f t="shared" si="109"/>
        <v>1.4068467206855377</v>
      </c>
      <c r="BK43" s="8">
        <f t="shared" si="109"/>
        <v>1.0064818690959916</v>
      </c>
      <c r="BL43" s="8">
        <f t="shared" si="109"/>
        <v>0.6767728904043897</v>
      </c>
      <c r="BM43" s="8">
        <f t="shared" si="109"/>
        <v>0</v>
      </c>
      <c r="BN43" s="8">
        <v>0</v>
      </c>
      <c r="BP43">
        <v>0</v>
      </c>
      <c r="BQ43" s="8">
        <f>(B43/N43-AB$44)/AB$48*SQRT(N43)</f>
        <v>4.4966678056834887E-2</v>
      </c>
      <c r="BR43" s="8">
        <f t="shared" ref="BR43:BY50" si="110">(C43/O43-AC$44)/AC$48*SQRT(O43)</f>
        <v>0.90830243772781272</v>
      </c>
      <c r="BS43" s="8">
        <f t="shared" si="110"/>
        <v>0.85187219202832876</v>
      </c>
      <c r="BT43" s="8">
        <f t="shared" si="110"/>
        <v>0.83954327597280376</v>
      </c>
      <c r="BU43" s="8">
        <f t="shared" si="110"/>
        <v>0.82835614659459866</v>
      </c>
      <c r="BV43" s="8">
        <f t="shared" si="110"/>
        <v>0.57782131034964068</v>
      </c>
      <c r="BW43" s="8">
        <f t="shared" si="110"/>
        <v>0.25859773780501843</v>
      </c>
      <c r="BX43" s="8">
        <f t="shared" si="110"/>
        <v>-0.40037765074405035</v>
      </c>
      <c r="BY43" s="8">
        <f t="shared" si="110"/>
        <v>-0.67455228454610761</v>
      </c>
      <c r="BZ43" s="8">
        <v>0</v>
      </c>
      <c r="CB43">
        <v>0</v>
      </c>
      <c r="CC43" s="8">
        <f>(N43/B43-AB$45)/AB$49*SQRT(B43)</f>
        <v>-5.758947520286254E-2</v>
      </c>
      <c r="CD43" s="8">
        <f t="shared" ref="CD43:CK50" si="111">(O43/C43-AC$45)/AC$49*SQRT(C43)</f>
        <v>-0.87756013057471638</v>
      </c>
      <c r="CE43" s="8">
        <f t="shared" si="111"/>
        <v>-0.8128590409379467</v>
      </c>
      <c r="CF43" s="8">
        <f t="shared" si="111"/>
        <v>-0.80578322168340699</v>
      </c>
      <c r="CG43" s="8">
        <f t="shared" si="111"/>
        <v>-0.80899714210609575</v>
      </c>
      <c r="CH43" s="8">
        <f t="shared" si="111"/>
        <v>-0.56490534667972414</v>
      </c>
      <c r="CI43" s="8">
        <f t="shared" si="111"/>
        <v>-0.25389240191569756</v>
      </c>
      <c r="CJ43" s="8">
        <f t="shared" si="111"/>
        <v>0.41490973123309932</v>
      </c>
      <c r="CK43" s="8">
        <f t="shared" si="111"/>
        <v>0.69750123815706699</v>
      </c>
      <c r="CL43" s="8">
        <v>0</v>
      </c>
      <c r="CN43">
        <v>0</v>
      </c>
      <c r="CO43" s="8">
        <f>AS43*CC43</f>
        <v>-2.9157884203098835E-2</v>
      </c>
      <c r="CP43" s="8">
        <f t="shared" ref="CP43:CP52" si="112">AT43*CD43</f>
        <v>-1.1042781305373728</v>
      </c>
      <c r="CQ43" s="8">
        <f t="shared" ref="CQ43:CQ52" si="113">AU43*CE43</f>
        <v>4.1435347692492262E-2</v>
      </c>
      <c r="CR43" s="8">
        <f t="shared" ref="CR43:CR52" si="114">AV43*CF43</f>
        <v>0.1511636332109545</v>
      </c>
      <c r="CS43" s="8">
        <f t="shared" ref="CS43:CS52" si="115">AW43*CG43</f>
        <v>1.245943167589993</v>
      </c>
      <c r="CT43" s="8">
        <f t="shared" ref="CT43:CT52" si="116">AX43*CH43</f>
        <v>0.71417536458549724</v>
      </c>
      <c r="CU43" s="8">
        <f t="shared" ref="CU43:CU45" si="117">AY43*CI43</f>
        <v>0.26059286790719871</v>
      </c>
      <c r="CV43" s="8">
        <f t="shared" ref="CV43:CV44" si="118">AZ43*CJ43</f>
        <v>0.28956863591262089</v>
      </c>
      <c r="CW43" s="8">
        <f t="shared" ref="CW43" si="119">BA43*CK43</f>
        <v>0</v>
      </c>
      <c r="CX43" s="8"/>
      <c r="CZ43">
        <v>0</v>
      </c>
      <c r="DA43" s="8">
        <f>BE43*BQ43</f>
        <v>1.3814493527115211E-2</v>
      </c>
      <c r="DB43" s="8">
        <f t="shared" ref="DB43:DB52" si="120">BF43*BR43</f>
        <v>-1.2289383409338453E-2</v>
      </c>
      <c r="DC43" s="8">
        <f t="shared" ref="DC43:DC52" si="121">BG43*BS43</f>
        <v>0.54109306484380471</v>
      </c>
      <c r="DD43" s="8">
        <f t="shared" ref="DD43:DD52" si="122">BH43*BT43</f>
        <v>0.78529628038663668</v>
      </c>
      <c r="DE43" s="8">
        <f t="shared" ref="DE43:DE52" si="123">BI43*BU43</f>
        <v>0.94604409700653214</v>
      </c>
      <c r="DF43" s="8">
        <f t="shared" ref="DF43:DF52" si="124">BJ43*BV43</f>
        <v>0.81290601560761233</v>
      </c>
      <c r="DG43" s="8">
        <f t="shared" ref="DG43:DG52" si="125">BK43*BW43</f>
        <v>0.26027393448999014</v>
      </c>
      <c r="DH43" s="8">
        <f t="shared" ref="DH43:DH52" si="126">BL43*BX43</f>
        <v>-0.27096473994737019</v>
      </c>
      <c r="DI43" s="8">
        <f t="shared" ref="DI43" si="127">BM43*BY43</f>
        <v>0</v>
      </c>
      <c r="DJ43" s="8">
        <f t="shared" ref="DJ43:DJ52" si="128">BN43*BZ43</f>
        <v>0</v>
      </c>
    </row>
    <row r="44" spans="1:119" x14ac:dyDescent="0.25">
      <c r="A44">
        <v>2013</v>
      </c>
      <c r="B44" s="13">
        <f>SUMIFS(Dane!$D$4:$D$2463,Dane!$A$4:$A$2463,'Trójkąty skumulowane'!$A$31,Dane!$H$4:$H$2463,'Trójkąty skumulowane'!$A35,Dane!$I$4:$I$2463,$A44+B$42)</f>
        <v>5411379.5550185256</v>
      </c>
      <c r="C44" s="13">
        <f>SUMIFS(Dane!$D$4:$D$2463,Dane!$A$4:$A$2463,'Trójkąty skumulowane'!$A$31,Dane!$H$4:$H$2463,'Trójkąty skumulowane'!$A35,Dane!$I$4:$I$2463,$A44+C$42)+B44</f>
        <v>7900593.8976593902</v>
      </c>
      <c r="D44" s="13">
        <f>SUMIFS(Dane!$D$4:$D$2463,Dane!$A$4:$A$2463,'Trójkąty skumulowane'!$A$31,Dane!$H$4:$H$2463,'Trójkąty skumulowane'!$A35,Dane!$I$4:$I$2463,$A44+D$42)+C44</f>
        <v>8452809.5298921596</v>
      </c>
      <c r="E44" s="13">
        <f>SUMIFS(Dane!$D$4:$D$2463,Dane!$A$4:$A$2463,'Trójkąty skumulowane'!$A$31,Dane!$H$4:$H$2463,'Trójkąty skumulowane'!$A35,Dane!$I$4:$I$2463,$A44+E$42)+D44</f>
        <v>8739590.737854803</v>
      </c>
      <c r="F44" s="13">
        <f>SUMIFS(Dane!$D$4:$D$2463,Dane!$A$4:$A$2463,'Trójkąty skumulowane'!$A$31,Dane!$H$4:$H$2463,'Trójkąty skumulowane'!$A35,Dane!$I$4:$I$2463,$A44+F$42)+E44</f>
        <v>8882281.6902518589</v>
      </c>
      <c r="G44" s="13">
        <f>SUMIFS(Dane!$D$4:$D$2463,Dane!$A$4:$A$2463,'Trójkąty skumulowane'!$A$31,Dane!$H$4:$H$2463,'Trójkąty skumulowane'!$A35,Dane!$I$4:$I$2463,$A44+G$42)+F44</f>
        <v>9021858.8460047543</v>
      </c>
      <c r="H44" s="13">
        <f>SUMIFS(Dane!$D$4:$D$2463,Dane!$A$4:$A$2463,'Trójkąty skumulowane'!$A$31,Dane!$H$4:$H$2463,'Trójkąty skumulowane'!$A35,Dane!$I$4:$I$2463,$A44+H$42)+G44</f>
        <v>9101997.1280943397</v>
      </c>
      <c r="I44" s="13">
        <f>SUMIFS(Dane!$D$4:$D$2463,Dane!$A$4:$A$2463,'Trójkąty skumulowane'!$A$31,Dane!$H$4:$H$2463,'Trójkąty skumulowane'!$A35,Dane!$I$4:$I$2463,$A44+I$42)+H44</f>
        <v>9177705.103366673</v>
      </c>
      <c r="J44" s="13">
        <f>SUMIFS(Dane!$D$4:$D$2463,Dane!$A$4:$A$2463,'Trójkąty skumulowane'!$A$31,Dane!$H$4:$H$2463,'Trójkąty skumulowane'!$A35,Dane!$I$4:$I$2463,$A44+J$42)+I44</f>
        <v>9232133.1671188306</v>
      </c>
      <c r="K44" s="14">
        <f>$J44*($K$55+$DO$46*($AJ$46/$AJ$49)*(($V$44/$J$44)-$AJ$45))</f>
        <v>9319868.9601718038</v>
      </c>
      <c r="L44" s="14">
        <f>K44-J44</f>
        <v>87735.793052973226</v>
      </c>
      <c r="M44">
        <v>2013</v>
      </c>
      <c r="N44" s="13">
        <f>SUMIFS(Dane!$J$4:$J$2463,Dane!$A$4:$A$2463,'Trójkąty skumulowane'!$A$31,Dane!$H$4:$H$2463,'Trójkąty skumulowane'!$A35,Dane!$I$4:$I$2463,$A44+N$42)</f>
        <v>17085146.839795548</v>
      </c>
      <c r="O44" s="13">
        <f>SUMIFS(Dane!$J$4:$J$2463,Dane!$A$4:$A$2463,'Trójkąty skumulowane'!$A$31,Dane!$H$4:$H$2463,'Trójkąty skumulowane'!$A35,Dane!$I$4:$I$2463,$A44+O$42)+N44</f>
        <v>32025972.213750087</v>
      </c>
      <c r="P44" s="13">
        <f>SUMIFS(Dane!$J$4:$J$2463,Dane!$A$4:$A$2463,'Trójkąty skumulowane'!$A$31,Dane!$H$4:$H$2463,'Trójkąty skumulowane'!$A35,Dane!$I$4:$I$2463,$A44+P$42)+O44</f>
        <v>41289321.07356146</v>
      </c>
      <c r="Q44" s="13">
        <f>SUMIFS(Dane!$J$4:$J$2463,Dane!$A$4:$A$2463,'Trójkąty skumulowane'!$A$31,Dane!$H$4:$H$2463,'Trójkąty skumulowane'!$A35,Dane!$I$4:$I$2463,$A44+Q$42)+P44</f>
        <v>47809410.293868348</v>
      </c>
      <c r="R44" s="13">
        <f>SUMIFS(Dane!$J$4:$J$2463,Dane!$A$4:$A$2463,'Trójkąty skumulowane'!$A$31,Dane!$H$4:$H$2463,'Trójkąty skumulowane'!$A35,Dane!$I$4:$I$2463,$A44+R$42)+Q44</f>
        <v>52539340.135095008</v>
      </c>
      <c r="S44" s="13">
        <f>SUMIFS(Dane!$J$4:$J$2463,Dane!$A$4:$A$2463,'Trójkąty skumulowane'!$A$31,Dane!$H$4:$H$2463,'Trójkąty skumulowane'!$A35,Dane!$I$4:$I$2463,$A44+S$42)+R44</f>
        <v>56967590.736627914</v>
      </c>
      <c r="T44" s="13">
        <f>SUMIFS(Dane!$J$4:$J$2463,Dane!$A$4:$A$2463,'Trójkąty skumulowane'!$A$31,Dane!$H$4:$H$2463,'Trójkąty skumulowane'!$A35,Dane!$I$4:$I$2463,$A44+T$42)+S44</f>
        <v>60858279.801248237</v>
      </c>
      <c r="U44" s="13">
        <f>SUMIFS(Dane!$J$4:$J$2463,Dane!$A$4:$A$2463,'Trójkąty skumulowane'!$A$31,Dane!$H$4:$H$2463,'Trójkąty skumulowane'!$A35,Dane!$I$4:$I$2463,$A44+U$42)+T44</f>
        <v>64337239.372781724</v>
      </c>
      <c r="V44" s="13">
        <f>SUMIFS(Dane!$J$4:$J$2463,Dane!$A$4:$A$2463,'Trójkąty skumulowane'!$A$31,Dane!$H$4:$H$2463,'Trójkąty skumulowane'!$A35,Dane!$I$4:$I$2463,$A44+V$42)+U44</f>
        <v>67888793.308994398</v>
      </c>
      <c r="W44" s="13">
        <f>SUMIFS(Dane!$J$4:$J$2463,Dane!$A$4:$A$2463,'Trójkąty skumulowane'!$A$31,Dane!$H$4:$H$2463,'Trójkąty skumulowane'!$A35,Dane!$I$4:$I$2463,$A44+W$42)</f>
        <v>0</v>
      </c>
      <c r="X44" s="11"/>
      <c r="AA44" t="s">
        <v>36</v>
      </c>
      <c r="AB44">
        <f>SUM(B43:B52)/SUM(N43:N52)</f>
        <v>0.31783523434813626</v>
      </c>
      <c r="AC44">
        <f>SUM(C43:C51)/SUM(O43:O51)</f>
        <v>0.22652792514771977</v>
      </c>
      <c r="AD44">
        <f>SUM(D43:D50)/SUM(P43:P50)</f>
        <v>0.18570394468123769</v>
      </c>
      <c r="AE44">
        <f>SUM(E43:E49)/SUM(Q43:Q49)</f>
        <v>0.16263688126370893</v>
      </c>
      <c r="AF44">
        <f>SUM(F43:F48)/SUM(R43:R48)</f>
        <v>0.14802021832704806</v>
      </c>
      <c r="AG44">
        <f>SUM(G43:G47)/SUM(S43:S47)</f>
        <v>0.13979893579965444</v>
      </c>
      <c r="AH44">
        <f>SUM(H43:H46)/SUM(T43:T46)</f>
        <v>0.1328067290124913</v>
      </c>
      <c r="AI44">
        <f>SUM(I43:I45)/SUM(U43:U45)</f>
        <v>0.13071968456491942</v>
      </c>
      <c r="AJ44">
        <f>SUM(J43:J44)/SUM(V43:V44)</f>
        <v>0.12718773697783259</v>
      </c>
      <c r="AK44">
        <f>SUM(K43:K43)/SUM(W43:W43)</f>
        <v>0.11411611083667159</v>
      </c>
      <c r="AR44">
        <v>1</v>
      </c>
      <c r="AS44" s="8">
        <f t="shared" ref="AS44:AT51" si="129">(C44/B44-C$55)/AB$46*SQRT(B44)</f>
        <v>0.18599291334757118</v>
      </c>
      <c r="AT44" s="8">
        <f t="shared" si="108"/>
        <v>-0.46877268909988418</v>
      </c>
      <c r="AU44" s="8">
        <f t="shared" si="108"/>
        <v>-0.486564300508671</v>
      </c>
      <c r="AV44" s="8">
        <f t="shared" si="108"/>
        <v>-1.0494365265583308</v>
      </c>
      <c r="AW44" s="8">
        <f t="shared" si="108"/>
        <v>5.6447475911254485E-2</v>
      </c>
      <c r="AX44" s="8">
        <f t="shared" si="108"/>
        <v>-0.27495475289958082</v>
      </c>
      <c r="AY44" s="8">
        <f t="shared" si="108"/>
        <v>0.10875435425284384</v>
      </c>
      <c r="AZ44" s="8">
        <f t="shared" si="108"/>
        <v>-0.71618785608622559</v>
      </c>
      <c r="BA44" s="8">
        <v>0</v>
      </c>
      <c r="BB44" s="8">
        <v>0</v>
      </c>
      <c r="BD44">
        <v>1</v>
      </c>
      <c r="BE44" s="8">
        <f t="shared" ref="BE44:BF51" si="130">(O44/N44-O$55)/AB$47*SQRT(N44)</f>
        <v>-0.81379065153698882</v>
      </c>
      <c r="BF44" s="8">
        <f t="shared" si="109"/>
        <v>-0.8883233920850826</v>
      </c>
      <c r="BG44" s="8">
        <f t="shared" si="109"/>
        <v>-1.1936864823060109</v>
      </c>
      <c r="BH44" s="8">
        <f t="shared" si="109"/>
        <v>-1.6128204703406612</v>
      </c>
      <c r="BI44" s="8">
        <f t="shared" si="109"/>
        <v>-0.55193074566899614</v>
      </c>
      <c r="BJ44" s="8">
        <f t="shared" si="109"/>
        <v>-0.85323664332026516</v>
      </c>
      <c r="BK44" s="8">
        <f t="shared" si="109"/>
        <v>-0.98939073604436678</v>
      </c>
      <c r="BL44" s="8">
        <f t="shared" si="109"/>
        <v>-0.73619186005666204</v>
      </c>
      <c r="BM44" s="8">
        <v>0</v>
      </c>
      <c r="BN44" s="8">
        <v>0</v>
      </c>
      <c r="BP44">
        <v>1</v>
      </c>
      <c r="BQ44" s="8">
        <f t="shared" ref="BQ44:BR52" si="131">(B44/N44-AB$44)/AB$48*SQRT(N44)</f>
        <v>-1.5934572252802762E-2</v>
      </c>
      <c r="BR44" s="8">
        <f t="shared" si="110"/>
        <v>1.2849958095876837</v>
      </c>
      <c r="BS44" s="8">
        <f t="shared" si="110"/>
        <v>1.1800415920303129</v>
      </c>
      <c r="BT44" s="8">
        <f t="shared" si="110"/>
        <v>1.3463137901211875</v>
      </c>
      <c r="BU44" s="8">
        <f t="shared" si="110"/>
        <v>1.4877763636448567</v>
      </c>
      <c r="BV44" s="8">
        <f t="shared" si="110"/>
        <v>1.3537317686869605</v>
      </c>
      <c r="BW44" s="8">
        <f t="shared" si="110"/>
        <v>1.1961091456051907</v>
      </c>
      <c r="BX44" s="8">
        <f t="shared" si="110"/>
        <v>1.1649303073144346</v>
      </c>
      <c r="BY44" s="8">
        <f t="shared" si="110"/>
        <v>0.73822707577928015</v>
      </c>
      <c r="BZ44" s="8">
        <v>0</v>
      </c>
      <c r="CB44">
        <v>1</v>
      </c>
      <c r="CC44" s="8">
        <f t="shared" ref="CC44:CD52" si="132">(N44/B44-AB$45)/AB$49*SQRT(B44)</f>
        <v>2.054238195147743E-2</v>
      </c>
      <c r="CD44" s="8">
        <f t="shared" si="111"/>
        <v>-1.2253926760818357</v>
      </c>
      <c r="CE44" s="8">
        <f t="shared" si="111"/>
        <v>-1.1098543791981361</v>
      </c>
      <c r="CF44" s="8">
        <f t="shared" si="111"/>
        <v>-1.2628609417729841</v>
      </c>
      <c r="CG44" s="8">
        <f t="shared" si="111"/>
        <v>-1.4093349986403618</v>
      </c>
      <c r="CH44" s="8">
        <f t="shared" si="111"/>
        <v>-1.2761003470795167</v>
      </c>
      <c r="CI44" s="8">
        <f t="shared" si="111"/>
        <v>-1.1205485151462438</v>
      </c>
      <c r="CJ44" s="8">
        <f t="shared" si="111"/>
        <v>-1.1388453001525731</v>
      </c>
      <c r="CK44" s="8">
        <f t="shared" si="111"/>
        <v>-0.71658357696039776</v>
      </c>
      <c r="CL44" s="8">
        <v>0</v>
      </c>
      <c r="CN44">
        <v>1</v>
      </c>
      <c r="CO44" s="8">
        <f t="shared" ref="CO44:CO49" si="133">AS44*CC44</f>
        <v>3.8207374662538518E-3</v>
      </c>
      <c r="CP44" s="8">
        <f t="shared" si="112"/>
        <v>0.57443061997018541</v>
      </c>
      <c r="CQ44" s="8">
        <f t="shared" si="113"/>
        <v>0.54001551968102635</v>
      </c>
      <c r="CR44" s="8">
        <f t="shared" si="114"/>
        <v>1.3252924002604229</v>
      </c>
      <c r="CS44" s="8">
        <f t="shared" si="115"/>
        <v>-7.9553403386639701E-2</v>
      </c>
      <c r="CT44" s="8">
        <f t="shared" si="116"/>
        <v>0.35086985560631784</v>
      </c>
      <c r="CU44" s="8">
        <f t="shared" si="117"/>
        <v>-0.12186453017371275</v>
      </c>
      <c r="CV44" s="8">
        <f t="shared" si="118"/>
        <v>0.81562717393014539</v>
      </c>
      <c r="CW44" s="8">
        <f>BA44*CK44</f>
        <v>0</v>
      </c>
      <c r="CX44" s="8"/>
      <c r="CZ44">
        <v>1</v>
      </c>
      <c r="DA44" s="8">
        <f t="shared" ref="DA44:DA52" si="134">BE44*BQ44</f>
        <v>1.2967405935571583E-2</v>
      </c>
      <c r="DB44" s="8">
        <f t="shared" si="120"/>
        <v>-1.141491836388048</v>
      </c>
      <c r="DC44" s="8">
        <f t="shared" si="121"/>
        <v>-1.4085996969654491</v>
      </c>
      <c r="DD44" s="8">
        <f t="shared" si="122"/>
        <v>-2.1713624402093719</v>
      </c>
      <c r="DE44" s="8">
        <f t="shared" si="123"/>
        <v>-0.82114951777521328</v>
      </c>
      <c r="DF44" s="8">
        <f t="shared" si="124"/>
        <v>-1.155053550270468</v>
      </c>
      <c r="DG44" s="8">
        <f t="shared" si="125"/>
        <v>-1.1834193079597182</v>
      </c>
      <c r="DH44" s="8">
        <f t="shared" si="126"/>
        <v>-0.85761220977819252</v>
      </c>
      <c r="DI44" s="8">
        <f>BM44*BY44</f>
        <v>0</v>
      </c>
      <c r="DJ44" s="8">
        <f t="shared" si="128"/>
        <v>0</v>
      </c>
    </row>
    <row r="45" spans="1:119" x14ac:dyDescent="0.25">
      <c r="A45">
        <v>2014</v>
      </c>
      <c r="B45" s="13">
        <f>SUMIFS(Dane!$D$4:$D$2463,Dane!$A$4:$A$2463,'Trójkąty skumulowane'!$A$31,Dane!$H$4:$H$2463,'Trójkąty skumulowane'!$A36,Dane!$I$4:$I$2463,$A45+B$42)</f>
        <v>5125655.4854002073</v>
      </c>
      <c r="C45" s="13">
        <f>SUMIFS(Dane!$D$4:$D$2463,Dane!$A$4:$A$2463,'Trójkąty skumulowane'!$A$31,Dane!$H$4:$H$2463,'Trójkąty skumulowane'!$A36,Dane!$I$4:$I$2463,$A45+C$42)+B45</f>
        <v>7419675.5357578844</v>
      </c>
      <c r="D45" s="13">
        <f>SUMIFS(Dane!$D$4:$D$2463,Dane!$A$4:$A$2463,'Trójkąty skumulowane'!$A$31,Dane!$H$4:$H$2463,'Trójkąty skumulowane'!$A36,Dane!$I$4:$I$2463,$A45+D$42)+C45</f>
        <v>8035194.5474029956</v>
      </c>
      <c r="E45" s="13">
        <f>SUMIFS(Dane!$D$4:$D$2463,Dane!$A$4:$A$2463,'Trójkąty skumulowane'!$A$31,Dane!$H$4:$H$2463,'Trójkąty skumulowane'!$A36,Dane!$I$4:$I$2463,$A45+E$42)+D45</f>
        <v>8311293.5664852802</v>
      </c>
      <c r="F45" s="13">
        <f>SUMIFS(Dane!$D$4:$D$2463,Dane!$A$4:$A$2463,'Trójkąty skumulowane'!$A$31,Dane!$H$4:$H$2463,'Trójkąty skumulowane'!$A36,Dane!$I$4:$I$2463,$A45+F$42)+E45</f>
        <v>8485838.9932521638</v>
      </c>
      <c r="G45" s="13">
        <f>SUMIFS(Dane!$D$4:$D$2463,Dane!$A$4:$A$2463,'Trójkąty skumulowane'!$A$31,Dane!$H$4:$H$2463,'Trójkąty skumulowane'!$A36,Dane!$I$4:$I$2463,$A45+G$42)+F45</f>
        <v>8612753.2234232798</v>
      </c>
      <c r="H45" s="13">
        <f>SUMIFS(Dane!$D$4:$D$2463,Dane!$A$4:$A$2463,'Trójkąty skumulowane'!$A$31,Dane!$H$4:$H$2463,'Trójkąty skumulowane'!$A36,Dane!$I$4:$I$2463,$A45+H$42)+G45</f>
        <v>8705089.8472966179</v>
      </c>
      <c r="I45" s="13">
        <f>SUMIFS(Dane!$D$4:$D$2463,Dane!$A$4:$A$2463,'Trójkąty skumulowane'!$A$31,Dane!$H$4:$H$2463,'Trójkąty skumulowane'!$A36,Dane!$I$4:$I$2463,$A45+I$42)+H45</f>
        <v>8790192.0651726462</v>
      </c>
      <c r="J45" s="14">
        <f>$I45*($J$55+$DO$46*($AI$46/$AI$49)*(($U$45/$I$45)-$AI$45))</f>
        <v>8856913.8810510114</v>
      </c>
      <c r="K45" s="14">
        <f t="shared" ref="K45:K52" si="135">$J45*($K$55+$DO$46*($AJ$46/$AJ$49)*(($V$44/$J$44)-$AJ$45))</f>
        <v>8941083.8501458578</v>
      </c>
      <c r="L45" s="14">
        <f>K45-I45</f>
        <v>150891.78497321159</v>
      </c>
      <c r="M45">
        <v>2014</v>
      </c>
      <c r="N45" s="13">
        <f>SUMIFS(Dane!$J$4:$J$2463,Dane!$A$4:$A$2463,'Trójkąty skumulowane'!$A$31,Dane!$H$4:$H$2463,'Trójkąty skumulowane'!$A36,Dane!$I$4:$I$2463,$A45+N$42)</f>
        <v>16829044.65585947</v>
      </c>
      <c r="O45" s="13">
        <f>SUMIFS(Dane!$J$4:$J$2463,Dane!$A$4:$A$2463,'Trójkąty skumulowane'!$A$31,Dane!$H$4:$H$2463,'Trójkąty skumulowane'!$A36,Dane!$I$4:$I$2463,$A45+O$42)+N45</f>
        <v>32890028.472882506</v>
      </c>
      <c r="P45" s="13">
        <f>SUMIFS(Dane!$J$4:$J$2463,Dane!$A$4:$A$2463,'Trójkąty skumulowane'!$A$31,Dane!$H$4:$H$2463,'Trójkąty skumulowane'!$A36,Dane!$I$4:$I$2463,$A45+P$42)+O45</f>
        <v>43121410.41699551</v>
      </c>
      <c r="Q45" s="13">
        <f>SUMIFS(Dane!$J$4:$J$2463,Dane!$A$4:$A$2463,'Trójkąty skumulowane'!$A$31,Dane!$H$4:$H$2463,'Trójkąty skumulowane'!$A36,Dane!$I$4:$I$2463,$A45+Q$42)+P45</f>
        <v>50515343.285158306</v>
      </c>
      <c r="R45" s="13">
        <f>SUMIFS(Dane!$J$4:$J$2463,Dane!$A$4:$A$2463,'Trójkąty skumulowane'!$A$31,Dane!$H$4:$H$2463,'Trójkąty skumulowane'!$A36,Dane!$I$4:$I$2463,$A45+R$42)+Q45</f>
        <v>56543108.964596108</v>
      </c>
      <c r="S45" s="13">
        <f>SUMIFS(Dane!$J$4:$J$2463,Dane!$A$4:$A$2463,'Trójkąty skumulowane'!$A$31,Dane!$H$4:$H$2463,'Trójkąty skumulowane'!$A36,Dane!$I$4:$I$2463,$A45+S$42)+R45</f>
        <v>61731483.024013154</v>
      </c>
      <c r="T45" s="13">
        <f>SUMIFS(Dane!$J$4:$J$2463,Dane!$A$4:$A$2463,'Trójkąty skumulowane'!$A$31,Dane!$H$4:$H$2463,'Trójkąty skumulowane'!$A36,Dane!$I$4:$I$2463,$A45+T$42)+S45</f>
        <v>66424812.020764172</v>
      </c>
      <c r="U45" s="13">
        <f>SUMIFS(Dane!$J$4:$J$2463,Dane!$A$4:$A$2463,'Trójkąty skumulowane'!$A$31,Dane!$H$4:$H$2463,'Trójkąty skumulowane'!$A36,Dane!$I$4:$I$2463,$A45+U$42)+T45</f>
        <v>70921125.051686883</v>
      </c>
      <c r="V45" s="13">
        <f>SUMIFS(Dane!$J$4:$J$2463,Dane!$A$4:$A$2463,'Trójkąty skumulowane'!$A$31,Dane!$H$4:$H$2463,'Trójkąty skumulowane'!$A36,Dane!$I$4:$I$2463,$A45+V$42)</f>
        <v>0</v>
      </c>
      <c r="W45" s="13">
        <f>SUMIFS(Dane!$J$4:$J$2463,Dane!$A$4:$A$2463,'Trójkąty skumulowane'!$A$31,Dane!$H$4:$H$2463,'Trójkąty skumulowane'!$A36,Dane!$I$4:$I$2463,$A45+W$42)</f>
        <v>0</v>
      </c>
      <c r="X45" s="11"/>
      <c r="AA45" t="s">
        <v>37</v>
      </c>
      <c r="AB45">
        <f>1/AB44</f>
        <v>3.1462842754075036</v>
      </c>
      <c r="AC45">
        <f t="shared" ref="AC45:AK45" si="136">1/AC44</f>
        <v>4.4144667786450436</v>
      </c>
      <c r="AD45">
        <f t="shared" si="136"/>
        <v>5.3849152300803738</v>
      </c>
      <c r="AE45">
        <f t="shared" si="136"/>
        <v>6.148666847457199</v>
      </c>
      <c r="AF45">
        <f t="shared" si="136"/>
        <v>6.7558338401482265</v>
      </c>
      <c r="AG45">
        <f t="shared" si="136"/>
        <v>7.1531302744185252</v>
      </c>
      <c r="AH45">
        <f t="shared" si="136"/>
        <v>7.5297389479861652</v>
      </c>
      <c r="AI45">
        <f t="shared" si="136"/>
        <v>7.6499572602882866</v>
      </c>
      <c r="AJ45">
        <f t="shared" si="136"/>
        <v>7.8623932130680876</v>
      </c>
      <c r="AK45">
        <f t="shared" si="136"/>
        <v>8.7630045632316342</v>
      </c>
      <c r="AR45">
        <v>2</v>
      </c>
      <c r="AS45" s="8">
        <f t="shared" si="129"/>
        <v>-0.18458236060900035</v>
      </c>
      <c r="AT45" s="8">
        <f t="shared" si="108"/>
        <v>1.0461111977280482</v>
      </c>
      <c r="AU45" s="8">
        <f>(E45/D45-E$55)/AD$46*SQRT(D45)</f>
        <v>-0.39409558477096063</v>
      </c>
      <c r="AV45" s="8">
        <f t="shared" si="108"/>
        <v>-0.35783492791966481</v>
      </c>
      <c r="AW45" s="8">
        <f t="shared" si="108"/>
        <v>-0.20149506550209612</v>
      </c>
      <c r="AX45" s="8">
        <f t="shared" si="108"/>
        <v>0.91010295685850184</v>
      </c>
      <c r="AY45" s="8">
        <f t="shared" si="108"/>
        <v>0.96679577645161086</v>
      </c>
      <c r="AZ45" s="60">
        <v>0</v>
      </c>
      <c r="BA45" s="21">
        <v>0</v>
      </c>
      <c r="BB45" s="8">
        <v>0</v>
      </c>
      <c r="BD45">
        <v>2</v>
      </c>
      <c r="BE45" s="8">
        <f t="shared" si="130"/>
        <v>0.18914108010756872</v>
      </c>
      <c r="BF45" s="8">
        <f t="shared" si="109"/>
        <v>2.5073969017196527E-2</v>
      </c>
      <c r="BG45" s="8">
        <f t="shared" si="109"/>
        <v>-0.10860353443140841</v>
      </c>
      <c r="BH45" s="8">
        <f t="shared" si="109"/>
        <v>0.59573367445731895</v>
      </c>
      <c r="BI45" s="8">
        <f t="shared" si="109"/>
        <v>0.98457158954743118</v>
      </c>
      <c r="BJ45" s="8">
        <f t="shared" si="109"/>
        <v>-5.4331201446575106E-2</v>
      </c>
      <c r="BK45" s="8">
        <f t="shared" si="109"/>
        <v>-9.0001214495282353E-2</v>
      </c>
      <c r="BL45" s="8">
        <v>0</v>
      </c>
      <c r="BM45" s="8">
        <v>0</v>
      </c>
      <c r="BN45" s="8">
        <v>0</v>
      </c>
      <c r="BP45">
        <v>2</v>
      </c>
      <c r="BQ45" s="8">
        <f t="shared" si="131"/>
        <v>-0.18979263783643105</v>
      </c>
      <c r="BR45" s="8">
        <f t="shared" si="110"/>
        <v>-6.054056637481392E-2</v>
      </c>
      <c r="BS45" s="8">
        <f t="shared" si="110"/>
        <v>4.0261381395303268E-2</v>
      </c>
      <c r="BT45" s="8">
        <f t="shared" si="110"/>
        <v>0.12993508231493034</v>
      </c>
      <c r="BU45" s="8">
        <f t="shared" si="110"/>
        <v>0.15090720966148294</v>
      </c>
      <c r="BV45" s="8">
        <f t="shared" si="110"/>
        <v>-2.1196634851541999E-2</v>
      </c>
      <c r="BW45" s="8">
        <f t="shared" si="110"/>
        <v>-0.1308962110861186</v>
      </c>
      <c r="BX45" s="8">
        <f t="shared" si="110"/>
        <v>-0.6947194512067244</v>
      </c>
      <c r="BY45" s="8">
        <v>0</v>
      </c>
      <c r="BZ45" s="8">
        <v>0</v>
      </c>
      <c r="CB45">
        <v>2</v>
      </c>
      <c r="CC45" s="8">
        <f t="shared" si="132"/>
        <v>0.24951083966602317</v>
      </c>
      <c r="CD45" s="8">
        <f t="shared" si="111"/>
        <v>6.0372397731758072E-2</v>
      </c>
      <c r="CE45" s="8">
        <f t="shared" si="111"/>
        <v>-3.9690567453085357E-2</v>
      </c>
      <c r="CF45" s="8">
        <f t="shared" si="111"/>
        <v>-0.12847004037048451</v>
      </c>
      <c r="CG45" s="8">
        <f t="shared" si="111"/>
        <v>-0.1517221483617153</v>
      </c>
      <c r="CH45" s="8">
        <f t="shared" si="111"/>
        <v>2.1288034497228821E-2</v>
      </c>
      <c r="CI45" s="8">
        <f t="shared" si="111"/>
        <v>0.1310008090671303</v>
      </c>
      <c r="CJ45" s="8">
        <f t="shared" si="111"/>
        <v>0.72861601495470329</v>
      </c>
      <c r="CK45" s="8">
        <v>0</v>
      </c>
      <c r="CL45" s="8">
        <v>0</v>
      </c>
      <c r="CN45">
        <v>2</v>
      </c>
      <c r="CO45" s="8">
        <f t="shared" si="133"/>
        <v>-4.6055299783088359E-2</v>
      </c>
      <c r="CP45" s="8">
        <f t="shared" si="112"/>
        <v>6.3156241300883542E-2</v>
      </c>
      <c r="CQ45" s="8">
        <f t="shared" si="113"/>
        <v>1.5641877390314932E-2</v>
      </c>
      <c r="CR45" s="8">
        <f t="shared" si="114"/>
        <v>4.5971067635808757E-2</v>
      </c>
      <c r="CS45" s="8">
        <f t="shared" si="115"/>
        <v>3.057126422226257E-2</v>
      </c>
      <c r="CT45" s="8">
        <f t="shared" si="116"/>
        <v>1.9374303141633742E-2</v>
      </c>
      <c r="CU45" s="8">
        <f t="shared" si="117"/>
        <v>0.12665102891784547</v>
      </c>
      <c r="CV45" s="8">
        <f>AZ45*CJ45</f>
        <v>0</v>
      </c>
      <c r="CW45" s="8">
        <f t="shared" ref="CW45:CW52" si="137">BA45*CK45</f>
        <v>0</v>
      </c>
      <c r="CX45" s="8"/>
      <c r="CZ45">
        <v>2</v>
      </c>
      <c r="DA45" s="8">
        <f t="shared" si="134"/>
        <v>-3.5897584516847186E-2</v>
      </c>
      <c r="DB45" s="8">
        <f t="shared" si="120"/>
        <v>-1.517992285565614E-3</v>
      </c>
      <c r="DC45" s="8">
        <f t="shared" si="121"/>
        <v>-4.3725283206208845E-3</v>
      </c>
      <c r="DD45" s="8">
        <f t="shared" si="122"/>
        <v>7.7406704028387646E-2</v>
      </c>
      <c r="DE45" s="8">
        <f t="shared" si="123"/>
        <v>0.14857895129057372</v>
      </c>
      <c r="DF45" s="8">
        <f t="shared" si="124"/>
        <v>1.151638638108623E-3</v>
      </c>
      <c r="DG45" s="8">
        <f t="shared" si="125"/>
        <v>1.1780817970581515E-2</v>
      </c>
      <c r="DH45" s="8">
        <f t="shared" si="126"/>
        <v>0</v>
      </c>
      <c r="DI45" s="8">
        <f t="shared" ref="DI45:DI52" si="138">BM45*BY45</f>
        <v>0</v>
      </c>
      <c r="DJ45" s="8">
        <f t="shared" si="128"/>
        <v>0</v>
      </c>
    </row>
    <row r="46" spans="1:119" x14ac:dyDescent="0.25">
      <c r="A46">
        <v>2015</v>
      </c>
      <c r="B46" s="13">
        <f>SUMIFS(Dane!$D$4:$D$2463,Dane!$A$4:$A$2463,'Trójkąty skumulowane'!$A$31,Dane!$H$4:$H$2463,'Trójkąty skumulowane'!$A37,Dane!$I$4:$I$2463,$A46+B$42)</f>
        <v>4937863.1805621143</v>
      </c>
      <c r="C46" s="13">
        <f>SUMIFS(Dane!$D$4:$D$2463,Dane!$A$4:$A$2463,'Trójkąty skumulowane'!$A$31,Dane!$H$4:$H$2463,'Trójkąty skumulowane'!$A37,Dane!$I$4:$I$2463,$A46+C$42)+B46</f>
        <v>7280218.5328278262</v>
      </c>
      <c r="D46" s="13">
        <f>SUMIFS(Dane!$D$4:$D$2463,Dane!$A$4:$A$2463,'Trójkąty skumulowane'!$A$31,Dane!$H$4:$H$2463,'Trójkąty skumulowane'!$A37,Dane!$I$4:$I$2463,$A46+D$42)+C46</f>
        <v>7761059.11764865</v>
      </c>
      <c r="E46" s="13">
        <f>SUMIFS(Dane!$D$4:$D$2463,Dane!$A$4:$A$2463,'Trójkąty skumulowane'!$A$31,Dane!$H$4:$H$2463,'Trójkąty skumulowane'!$A37,Dane!$I$4:$I$2463,$A46+E$42)+D46</f>
        <v>8070594.5036562011</v>
      </c>
      <c r="F46" s="13">
        <f>SUMIFS(Dane!$D$4:$D$2463,Dane!$A$4:$A$2463,'Trójkąty skumulowane'!$A$31,Dane!$H$4:$H$2463,'Trójkąty skumulowane'!$A37,Dane!$I$4:$I$2463,$A46+F$42)+E46</f>
        <v>8357686.8388847765</v>
      </c>
      <c r="G46" s="13">
        <f>SUMIFS(Dane!$D$4:$D$2463,Dane!$A$4:$A$2463,'Trójkąty skumulowane'!$A$31,Dane!$H$4:$H$2463,'Trójkąty skumulowane'!$A37,Dane!$I$4:$I$2463,$A46+G$42)+F46</f>
        <v>8508734.3164296784</v>
      </c>
      <c r="H46" s="13">
        <f>SUMIFS(Dane!$D$4:$D$2463,Dane!$A$4:$A$2463,'Trójkąty skumulowane'!$A$31,Dane!$H$4:$H$2463,'Trójkąty skumulowane'!$A37,Dane!$I$4:$I$2463,$A46+H$42)+G46</f>
        <v>8597298.6686612889</v>
      </c>
      <c r="I46" s="14">
        <f>$H46*($I$55+$DO$46*($AH$46/$AH$49)*(($T$46/$H$46)-$AH$45))</f>
        <v>8674825.7032147199</v>
      </c>
      <c r="J46" s="14">
        <f t="shared" ref="J46:J52" si="139">$I46*($J$55+$DO$46*($AI$46/$AI$49)*(($U$45/$I$45)-$AI$45))</f>
        <v>8740671.8325205911</v>
      </c>
      <c r="K46" s="14">
        <f t="shared" si="135"/>
        <v>8823737.1177759282</v>
      </c>
      <c r="L46" s="14">
        <f>K46-H46</f>
        <v>226438.44911463931</v>
      </c>
      <c r="M46">
        <v>2015</v>
      </c>
      <c r="N46" s="13">
        <f>SUMIFS(Dane!$J$4:$J$2463,Dane!$A$4:$A$2463,'Trójkąty skumulowane'!$A$31,Dane!$H$4:$H$2463,'Trójkąty skumulowane'!$A37,Dane!$I$4:$I$2463,$A46+N$42)</f>
        <v>17715183.108724743</v>
      </c>
      <c r="O46" s="13">
        <f>SUMIFS(Dane!$J$4:$J$2463,Dane!$A$4:$A$2463,'Trójkąty skumulowane'!$A$31,Dane!$H$4:$H$2463,'Trójkąty skumulowane'!$A37,Dane!$I$4:$I$2463,$A46+O$42)+N46</f>
        <v>35177030.280305728</v>
      </c>
      <c r="P46" s="13">
        <f>SUMIFS(Dane!$J$4:$J$2463,Dane!$A$4:$A$2463,'Trójkąty skumulowane'!$A$31,Dane!$H$4:$H$2463,'Trójkąty skumulowane'!$A37,Dane!$I$4:$I$2463,$A46+P$42)+O46</f>
        <v>47204550.810564645</v>
      </c>
      <c r="Q46" s="13">
        <f>SUMIFS(Dane!$J$4:$J$2463,Dane!$A$4:$A$2463,'Trójkąty skumulowane'!$A$31,Dane!$H$4:$H$2463,'Trójkąty skumulowane'!$A37,Dane!$I$4:$I$2463,$A46+Q$42)+P46</f>
        <v>56394231.379766382</v>
      </c>
      <c r="R46" s="13">
        <f>SUMIFS(Dane!$J$4:$J$2463,Dane!$A$4:$A$2463,'Trójkąty skumulowane'!$A$31,Dane!$H$4:$H$2463,'Trójkąty skumulowane'!$A37,Dane!$I$4:$I$2463,$A46+R$42)+Q46</f>
        <v>63057228.756927505</v>
      </c>
      <c r="S46" s="13">
        <f>SUMIFS(Dane!$J$4:$J$2463,Dane!$A$4:$A$2463,'Trójkąty skumulowane'!$A$31,Dane!$H$4:$H$2463,'Trójkąty skumulowane'!$A37,Dane!$I$4:$I$2463,$A46+S$42)+R46</f>
        <v>68410550.804931194</v>
      </c>
      <c r="T46" s="13">
        <f>SUMIFS(Dane!$J$4:$J$2463,Dane!$A$4:$A$2463,'Trójkąty skumulowane'!$A$31,Dane!$H$4:$H$2463,'Trójkąty skumulowane'!$A37,Dane!$I$4:$I$2463,$A46+T$42)+S46</f>
        <v>73321761.920460582</v>
      </c>
      <c r="U46" s="13">
        <f>SUMIFS(Dane!$J$4:$J$2463,Dane!$A$4:$A$2463,'Trójkąty skumulowane'!$A$31,Dane!$H$4:$H$2463,'Trójkąty skumulowane'!$A37,Dane!$I$4:$I$2463,$A46+U$42)</f>
        <v>0</v>
      </c>
      <c r="V46" s="13">
        <f>SUMIFS(Dane!$J$4:$J$2463,Dane!$A$4:$A$2463,'Trójkąty skumulowane'!$A$31,Dane!$H$4:$H$2463,'Trójkąty skumulowane'!$A37,Dane!$I$4:$I$2463,$A46+V$42)+U46</f>
        <v>0</v>
      </c>
      <c r="W46" s="13">
        <f>SUMIFS(Dane!$J$4:$J$2463,Dane!$A$4:$A$2463,'Trójkąty skumulowane'!$A$31,Dane!$H$4:$H$2463,'Trójkąty skumulowane'!$A37,Dane!$I$4:$I$2463,$A46+W$42)+V46</f>
        <v>0</v>
      </c>
      <c r="X46" s="11"/>
      <c r="AA46" t="s">
        <v>38</v>
      </c>
      <c r="AB46">
        <f>SQRT(1/(8-$AB43)*(B43*(C43/B43-C55)^2+B44*(C44/B44-C55)^2+B45*(C45/B45-C55)^2+B46*(C46/B46-C55)^2+B47*(C47/B47-C55)^2+B48*(C48/B48-C55)^2+B49*(C49/B49-C55)^2+B50*(C50/B50-C55)^2+B51*(C51/B51-C55)^2))</f>
        <v>77.034432560084923</v>
      </c>
      <c r="AC46">
        <f>SQRT(1/(8-AC43)*(C43*(D43/C43-D55)^2+C44*(D44/C44-D55)^2+C45*(D45/C45-D55)^2+C46*(D46/C46-D55)^2+C47*(D47/C47-D55)^2+C48*(D48/C48-D55)^2+C49*(D49/C49-D55)^2+C50*(D50/C50-D55)^2))</f>
        <v>23.713974845462367</v>
      </c>
      <c r="AD46">
        <f>SQRT(1/(8-AD43)*(D43*(E43/D43-E55)^2+D44*(E44/D44-E55)^2+D45*(E45/D45-E55)^2+D46*(E46/D46-E55)^2+D47*(E47/D47-E55)^2+D48*(E48/D48-E55)^2+D49*(E49/D49-E55)^2))</f>
        <v>15.3170777339519</v>
      </c>
      <c r="AE46">
        <f>SQRT(1/(8-AE43)*(E43*(F43/E43-F55)^2+E44*(F44/E44-F55)^2+E45*(F45/E45-F55)^2+E46*(F46/E46-F55)^2+E47*(F47/E47-F55)^2+E48*(F48/E48-F55)^2))</f>
        <v>20.245865421711613</v>
      </c>
      <c r="AF46">
        <f>SQRT(1/(8-AF43)*(F43*(G43/F43-G55)^2+F44*(G44/F44-G55)^2+F45*(G45/F45-G55)^2+F46*(G46/F46-G55)^2+F47*(G47/F47-G55)^2))</f>
        <v>8.6041089360330574</v>
      </c>
      <c r="AG46">
        <f>SQRT(1/(8-AG43)*(G43*(H43/G43-H55)^2+G44*(H44/G44-H55)^2+G45*(H45/G45-H55)^2+G46*(H46/G46-H55)^2))</f>
        <v>4.5766816207856573</v>
      </c>
      <c r="AH46">
        <f>SQRT(1/(8-AH43)*(H43*(I43/H43-I55)^2+H44*(I44/H44-I55)^2+H45*(I45/H45-I55)^2))</f>
        <v>5.0008849834126687</v>
      </c>
      <c r="AI46">
        <f>SQRT(1/(8-AI43)*(I43*(J43/I43-J55)^2+I44*(J44/I44-J55)^2))</f>
        <v>4.9588841922137776</v>
      </c>
      <c r="AJ46" s="8">
        <v>0.1</v>
      </c>
      <c r="AK46" s="74" t="s">
        <v>39</v>
      </c>
      <c r="AL46" s="74"/>
      <c r="AM46" s="74"/>
      <c r="AR46">
        <v>3</v>
      </c>
      <c r="AS46" s="8">
        <f t="shared" si="129"/>
        <v>0.59218331808788227</v>
      </c>
      <c r="AT46" s="8">
        <f t="shared" si="108"/>
        <v>-0.88780899941146696</v>
      </c>
      <c r="AU46" s="8">
        <f t="shared" si="108"/>
        <v>0.61701241476606994</v>
      </c>
      <c r="AV46" s="8">
        <f t="shared" si="108"/>
        <v>1.6920628604587795</v>
      </c>
      <c r="AW46" s="8">
        <f t="shared" si="108"/>
        <v>0.84729811411005351</v>
      </c>
      <c r="AX46" s="8">
        <f t="shared" si="108"/>
        <v>0.7055581262305255</v>
      </c>
      <c r="AY46" s="60">
        <v>0</v>
      </c>
      <c r="AZ46" s="21">
        <v>0</v>
      </c>
      <c r="BA46" s="8">
        <v>0</v>
      </c>
      <c r="BB46" s="8">
        <v>0</v>
      </c>
      <c r="BD46">
        <v>3</v>
      </c>
      <c r="BE46" s="8">
        <f t="shared" si="130"/>
        <v>0.5953443727927461</v>
      </c>
      <c r="BF46" s="8">
        <f t="shared" si="109"/>
        <v>1.3773975633692797</v>
      </c>
      <c r="BG46" s="8">
        <f t="shared" si="109"/>
        <v>1.8771712835036369</v>
      </c>
      <c r="BH46" s="8">
        <f t="shared" si="109"/>
        <v>0.49223535518663714</v>
      </c>
      <c r="BI46" s="8">
        <f t="shared" si="109"/>
        <v>-0.47007863162936142</v>
      </c>
      <c r="BJ46" s="8">
        <f t="shared" si="109"/>
        <v>-0.53834715151218848</v>
      </c>
      <c r="BK46" s="8">
        <v>0</v>
      </c>
      <c r="BL46" s="21">
        <v>0</v>
      </c>
      <c r="BM46" s="8">
        <v>0</v>
      </c>
      <c r="BN46" s="8">
        <v>0</v>
      </c>
      <c r="BP46">
        <v>3</v>
      </c>
      <c r="BQ46" s="8">
        <f t="shared" si="131"/>
        <v>-0.57403480601766821</v>
      </c>
      <c r="BR46" s="8">
        <f t="shared" si="110"/>
        <v>-1.3068635884614501</v>
      </c>
      <c r="BS46" s="8">
        <f t="shared" si="110"/>
        <v>-1.4125517535180832</v>
      </c>
      <c r="BT46" s="8">
        <f t="shared" si="110"/>
        <v>-1.415996019346315</v>
      </c>
      <c r="BU46" s="8">
        <f t="shared" si="110"/>
        <v>-1.1991397436781803</v>
      </c>
      <c r="BV46" s="8">
        <f t="shared" si="110"/>
        <v>-1.2319930778305108</v>
      </c>
      <c r="BW46" s="8">
        <f t="shared" si="110"/>
        <v>-1.2187355347757143</v>
      </c>
      <c r="BX46" s="8">
        <v>0</v>
      </c>
      <c r="BY46" s="8">
        <v>0</v>
      </c>
      <c r="BZ46" s="8">
        <v>0</v>
      </c>
      <c r="CB46">
        <v>3</v>
      </c>
      <c r="CC46" s="8">
        <f t="shared" si="132"/>
        <v>0.78885385729293078</v>
      </c>
      <c r="CD46" s="8">
        <f t="shared" si="111"/>
        <v>1.360629596136339</v>
      </c>
      <c r="CE46" s="8">
        <f t="shared" si="111"/>
        <v>1.4824708524685635</v>
      </c>
      <c r="CF46" s="8">
        <f t="shared" si="111"/>
        <v>1.5011521111178592</v>
      </c>
      <c r="CG46" s="8">
        <f t="shared" si="111"/>
        <v>1.2828938901218072</v>
      </c>
      <c r="CH46" s="8">
        <f t="shared" si="111"/>
        <v>1.3104595594860613</v>
      </c>
      <c r="CI46" s="8">
        <f t="shared" si="111"/>
        <v>1.2894760414512492</v>
      </c>
      <c r="CJ46" s="8">
        <v>0</v>
      </c>
      <c r="CK46" s="8">
        <v>0</v>
      </c>
      <c r="CL46" s="8">
        <v>0</v>
      </c>
      <c r="CN46">
        <v>3</v>
      </c>
      <c r="CO46" s="8">
        <f t="shared" si="133"/>
        <v>0.46714609469815249</v>
      </c>
      <c r="CP46" s="8">
        <f t="shared" si="112"/>
        <v>-1.2079792003154315</v>
      </c>
      <c r="CQ46" s="8">
        <f t="shared" si="113"/>
        <v>0.91470292050194257</v>
      </c>
      <c r="CR46" s="8">
        <f t="shared" si="114"/>
        <v>2.5400437351218206</v>
      </c>
      <c r="CS46" s="8">
        <f t="shared" si="115"/>
        <v>1.0869935737035175</v>
      </c>
      <c r="CT46" s="8">
        <f t="shared" si="116"/>
        <v>0.92460539129186525</v>
      </c>
      <c r="CU46" s="8">
        <f>AY46*CI46</f>
        <v>0</v>
      </c>
      <c r="CV46" s="8">
        <f t="shared" ref="CV46:CV52" si="140">AZ46*CJ46</f>
        <v>0</v>
      </c>
      <c r="CW46" s="8">
        <f t="shared" si="137"/>
        <v>0</v>
      </c>
      <c r="CX46" s="8"/>
      <c r="CZ46">
        <v>3</v>
      </c>
      <c r="DA46" s="8">
        <f t="shared" si="134"/>
        <v>-0.34174839154979436</v>
      </c>
      <c r="DB46" s="8">
        <f t="shared" si="120"/>
        <v>-1.8000707224028345</v>
      </c>
      <c r="DC46" s="8">
        <f t="shared" si="121"/>
        <v>-2.6516015881668533</v>
      </c>
      <c r="DD46" s="8">
        <f t="shared" si="122"/>
        <v>-0.69700330352579765</v>
      </c>
      <c r="DE46" s="8">
        <f t="shared" si="123"/>
        <v>0.56368996984062225</v>
      </c>
      <c r="DF46" s="8">
        <f t="shared" si="124"/>
        <v>0.66323996413278941</v>
      </c>
      <c r="DG46" s="8">
        <f t="shared" si="125"/>
        <v>0</v>
      </c>
      <c r="DH46" s="8">
        <f t="shared" si="126"/>
        <v>0</v>
      </c>
      <c r="DI46" s="8">
        <f t="shared" si="138"/>
        <v>0</v>
      </c>
      <c r="DJ46" s="8">
        <f t="shared" si="128"/>
        <v>0</v>
      </c>
      <c r="DN46" s="17" t="s">
        <v>40</v>
      </c>
      <c r="DO46" s="17">
        <f>CR54/CF54</f>
        <v>0.40019698043361479</v>
      </c>
    </row>
    <row r="47" spans="1:119" x14ac:dyDescent="0.25">
      <c r="A47">
        <v>2016</v>
      </c>
      <c r="B47" s="13">
        <f>SUMIFS(Dane!$D$4:$D$2463,Dane!$A$4:$A$2463,'Trójkąty skumulowane'!$A$31,Dane!$H$4:$H$2463,'Trójkąty skumulowane'!$A38,Dane!$I$4:$I$2463,$A47+B$42)</f>
        <v>4897019.6391870324</v>
      </c>
      <c r="C47" s="13">
        <f>SUMIFS(Dane!$D$4:$D$2463,Dane!$A$4:$A$2463,'Trójkąty skumulowane'!$A$31,Dane!$H$4:$H$2463,'Trójkąty skumulowane'!$A38,Dane!$I$4:$I$2463,$A47+C$42)+B47</f>
        <v>7246289.1684834082</v>
      </c>
      <c r="D47" s="13">
        <f>SUMIFS(Dane!$D$4:$D$2463,Dane!$A$4:$A$2463,'Trójkąty skumulowane'!$A$31,Dane!$H$4:$H$2463,'Trójkąty skumulowane'!$A38,Dane!$I$4:$I$2463,$A47+D$42)+C47</f>
        <v>7830052.6938192165</v>
      </c>
      <c r="E47" s="13">
        <f>SUMIFS(Dane!$D$4:$D$2463,Dane!$A$4:$A$2463,'Trójkąty skumulowane'!$A$31,Dane!$H$4:$H$2463,'Trójkąty skumulowane'!$A38,Dane!$I$4:$I$2463,$A47+E$42)+D47</f>
        <v>8169946.3043205123</v>
      </c>
      <c r="F47" s="13">
        <f>SUMIFS(Dane!$D$4:$D$2463,Dane!$A$4:$A$2463,'Trójkąty skumulowane'!$A$31,Dane!$H$4:$H$2463,'Trójkąty skumulowane'!$A38,Dane!$I$4:$I$2463,$A47+F$42)+E47</f>
        <v>8399470.4375268407</v>
      </c>
      <c r="G47" s="13">
        <f>SUMIFS(Dane!$D$4:$D$2463,Dane!$A$4:$A$2463,'Trójkąty skumulowane'!$A$31,Dane!$H$4:$H$2463,'Trójkąty skumulowane'!$A38,Dane!$I$4:$I$2463,$A47+G$42)+F47</f>
        <v>8553302.2388791312</v>
      </c>
      <c r="H47" s="14">
        <f>$G47*($H$55+$DO$46*($AG$46/$AG$49)*(($S$47/$G$47)-$AG$45))</f>
        <v>8635960.8513882402</v>
      </c>
      <c r="I47" s="14">
        <f t="shared" ref="I47:I52" si="141">$H47*($I$55+$DO$46*($AH$46/$AH$49)*(($T$46/$H$46)-$AH$45))</f>
        <v>8713836.5261938833</v>
      </c>
      <c r="J47" s="14">
        <f t="shared" si="139"/>
        <v>8779978.7665436063</v>
      </c>
      <c r="K47" s="14">
        <f t="shared" si="135"/>
        <v>8863417.5976487007</v>
      </c>
      <c r="L47" s="14">
        <f>K47-G47</f>
        <v>310115.35876956955</v>
      </c>
      <c r="M47">
        <v>2016</v>
      </c>
      <c r="N47" s="13">
        <f>SUMIFS(Dane!$J$4:$J$2463,Dane!$A$4:$A$2463,'Trójkąty skumulowane'!$A$31,Dane!$H$4:$H$2463,'Trójkąty skumulowane'!$A38,Dane!$I$4:$I$2463,$A47+N$42)</f>
        <v>17267511.139860645</v>
      </c>
      <c r="O47" s="13">
        <f>SUMIFS(Dane!$J$4:$J$2463,Dane!$A$4:$A$2463,'Trójkąty skumulowane'!$A$31,Dane!$H$4:$H$2463,'Trójkąty skumulowane'!$A38,Dane!$I$4:$I$2463,$A47+O$42)+N47</f>
        <v>34654526.58867678</v>
      </c>
      <c r="P47" s="13">
        <f>SUMIFS(Dane!$J$4:$J$2463,Dane!$A$4:$A$2463,'Trójkąty skumulowane'!$A$31,Dane!$H$4:$H$2463,'Trójkąty skumulowane'!$A38,Dane!$I$4:$I$2463,$A47+P$42)+O47</f>
        <v>46076191.062533781</v>
      </c>
      <c r="Q47" s="13">
        <f>SUMIFS(Dane!$J$4:$J$2463,Dane!$A$4:$A$2463,'Trójkąty skumulowane'!$A$31,Dane!$H$4:$H$2463,'Trójkąty skumulowane'!$A38,Dane!$I$4:$I$2463,$A47+Q$42)+P47</f>
        <v>53911201.442666024</v>
      </c>
      <c r="R47" s="13">
        <f>SUMIFS(Dane!$J$4:$J$2463,Dane!$A$4:$A$2463,'Trójkąty skumulowane'!$A$31,Dane!$H$4:$H$2463,'Trójkąty skumulowane'!$A38,Dane!$I$4:$I$2463,$A47+R$42)+Q47</f>
        <v>59638093.434666447</v>
      </c>
      <c r="S47" s="13">
        <f>SUMIFS(Dane!$J$4:$J$2463,Dane!$A$4:$A$2463,'Trójkąty skumulowane'!$A$31,Dane!$H$4:$H$2463,'Trójkąty skumulowane'!$A38,Dane!$I$4:$I$2463,$A47+S$42)+R47</f>
        <v>64523122.685052879</v>
      </c>
      <c r="T47" s="13">
        <f>SUMIFS(Dane!$J$4:$J$2463,Dane!$A$4:$A$2463,'Trójkąty skumulowane'!$A$31,Dane!$H$4:$H$2463,'Trójkąty skumulowane'!$A38,Dane!$I$4:$I$2463,$A47+T$42)</f>
        <v>0</v>
      </c>
      <c r="U47" s="13">
        <f>SUMIFS(Dane!$J$4:$J$2463,Dane!$A$4:$A$2463,'Trójkąty skumulowane'!$A$31,Dane!$H$4:$H$2463,'Trójkąty skumulowane'!$A38,Dane!$I$4:$I$2463,$A47+U$42)+T47</f>
        <v>0</v>
      </c>
      <c r="V47" s="13">
        <f>SUMIFS(Dane!$J$4:$J$2463,Dane!$A$4:$A$2463,'Trójkąty skumulowane'!$A$31,Dane!$H$4:$H$2463,'Trójkąty skumulowane'!$A38,Dane!$I$4:$I$2463,$A47+V$42)+U47</f>
        <v>0</v>
      </c>
      <c r="W47" s="13">
        <f>SUMIFS(Dane!$J$4:$J$2463,Dane!$A$4:$A$2463,'Trójkąty skumulowane'!$A$31,Dane!$H$4:$H$2463,'Trójkąty skumulowane'!$A38,Dane!$I$4:$I$2463,$A47+W$42)+V47</f>
        <v>0</v>
      </c>
      <c r="X47" s="11"/>
      <c r="AA47" t="s">
        <v>41</v>
      </c>
      <c r="AB47">
        <f>SQRT(1/(8-AB43)*(N43*(O43/N43-O55)^2+N44*(O44/N44-O55)^2+N45*(O45/N45-O55)^2+N46*(O46/N46-O55)^2+N47*(O47/N47-O55)^2+N48*(O48/N48-O55)^2+N49*(O49/N49-O55)^2+N50*(O50/N50-O55)^2+N51*(O51/N51-O55)^2))</f>
        <v>328.69677978962892</v>
      </c>
      <c r="AC47">
        <f>SQRT(1/(8-AC43)*(O43*(P43/O43-P55)^2+O44*(P44/O44-P55)^2+O45*(P45/O45-P55)^2+O46*(P46/O46-P55)^2+O47*(P47/O47-P55)^2+O48*(P48/O48-P55)^2+O49*(P49/O49-P55)^2+O50*(P50/O50-P55)^2))</f>
        <v>135.32415921941453</v>
      </c>
      <c r="AD47">
        <f>SQRT(1/(8-AD43)*(P43*(Q43/P43-Q55)^2+P44*(Q44/P44-Q55)^2+P45*(Q45/P45-Q55)^2+P46*(Q46/P46-Q55)^2+P47*(Q47/P47-Q55)^2+P48*(Q48/P48-Q55)^2+P49*(Q49/P49-Q55)^2))</f>
        <v>80.101484889651246</v>
      </c>
      <c r="AE47">
        <f>SQRT(1/(8-AE43)*(Q43*(R43/Q43-R55)^2+Q44*(R44/Q44-R55)^2+Q45*(R45/Q45-R55)^2+Q46*(R46/Q46-R55)^2+Q47*(R47/Q47-R55)^2+Q48*(R48/Q48-R55)^2))</f>
        <v>64.314616529260249</v>
      </c>
      <c r="AF47">
        <f>SQRT(1/(8-AF43)*(R43*(S43/R43-S55)^2+R44*(S44/R44-S55)^2+R45*(S45/R45-S55)^2+R46*(S46/R46-S55)^2+R47*(S47/R47-S55)^2))</f>
        <v>36.097741652107352</v>
      </c>
      <c r="AG47">
        <f>SQRT(1/(8-AG43)*(S43*(T43/S43-T55)^2+S44*(T44/S44-T55)^2+S45*(T45/S45-T55)^2+S46*(T46/S46-T55)^2))</f>
        <v>72.84948393976002</v>
      </c>
      <c r="AH47">
        <f>SQRT(1/(8-AH43)*(T43*(U43/T43-U55)^2+T44*(U44/T44-U55)^2+T45*(U45/T45-U55)^2))</f>
        <v>90.905642099506068</v>
      </c>
      <c r="AI47">
        <f>SQRT(1/(8-AI43)*(U43*(V43/U43-V55)^2+U44*(V44/U44-V55)^2))</f>
        <v>75.818638448856404</v>
      </c>
      <c r="AJ47">
        <v>0.1</v>
      </c>
      <c r="AK47" s="74" t="s">
        <v>39</v>
      </c>
      <c r="AL47" s="74"/>
      <c r="AM47" s="74"/>
      <c r="AR47">
        <v>4</v>
      </c>
      <c r="AS47" s="8">
        <f t="shared" si="129"/>
        <v>0.74394275300158874</v>
      </c>
      <c r="AT47" s="8">
        <f t="shared" si="108"/>
        <v>0.76168272266579029</v>
      </c>
      <c r="AU47" s="8">
        <f t="shared" si="108"/>
        <v>1.2638496005684015</v>
      </c>
      <c r="AV47" s="8">
        <f t="shared" si="108"/>
        <v>0.64657125973706642</v>
      </c>
      <c r="AW47" s="8">
        <f t="shared" si="108"/>
        <v>0.93078779801039468</v>
      </c>
      <c r="AX47" s="60">
        <v>0</v>
      </c>
      <c r="AY47" s="21">
        <v>0</v>
      </c>
      <c r="AZ47" s="8">
        <v>0</v>
      </c>
      <c r="BA47" s="8">
        <v>0</v>
      </c>
      <c r="BB47" s="8">
        <v>0</v>
      </c>
      <c r="BD47">
        <v>4</v>
      </c>
      <c r="BE47" s="8">
        <f t="shared" si="130"/>
        <v>0.8560553012512655</v>
      </c>
      <c r="BF47" s="8">
        <f t="shared" si="109"/>
        <v>0.83086312252903505</v>
      </c>
      <c r="BG47" s="8">
        <f t="shared" si="109"/>
        <v>-0.23286097593407742</v>
      </c>
      <c r="BH47" s="8">
        <f t="shared" si="109"/>
        <v>-0.87979943510663761</v>
      </c>
      <c r="BI47" s="8">
        <f t="shared" si="109"/>
        <v>-1.0957573075954752</v>
      </c>
      <c r="BJ47" s="8">
        <v>0</v>
      </c>
      <c r="BK47" s="21">
        <v>0</v>
      </c>
      <c r="BL47" s="8">
        <v>0</v>
      </c>
      <c r="BM47" s="8">
        <v>0</v>
      </c>
      <c r="BN47" s="8">
        <v>0</v>
      </c>
      <c r="BP47">
        <v>4</v>
      </c>
      <c r="BQ47" s="8">
        <f t="shared" si="131"/>
        <v>-0.49627448670388435</v>
      </c>
      <c r="BR47" s="8">
        <f t="shared" si="110"/>
        <v>-1.155178972426782</v>
      </c>
      <c r="BS47" s="8">
        <f t="shared" si="110"/>
        <v>-1.0334964952648098</v>
      </c>
      <c r="BT47" s="8">
        <f t="shared" si="110"/>
        <v>-0.78647017514368944</v>
      </c>
      <c r="BU47" s="8">
        <f t="shared" si="110"/>
        <v>-0.54090279028776966</v>
      </c>
      <c r="BV47" s="8">
        <f t="shared" si="110"/>
        <v>-0.56149496044236502</v>
      </c>
      <c r="BW47" s="8">
        <v>0</v>
      </c>
      <c r="BX47" s="8">
        <v>0</v>
      </c>
      <c r="BY47" s="8">
        <v>0</v>
      </c>
      <c r="BZ47" s="8">
        <v>0</v>
      </c>
      <c r="CB47">
        <v>4</v>
      </c>
      <c r="CC47" s="8">
        <f t="shared" si="132"/>
        <v>0.67612334119172068</v>
      </c>
      <c r="CD47" s="8">
        <f t="shared" si="111"/>
        <v>1.1965303163803296</v>
      </c>
      <c r="CE47" s="8">
        <f t="shared" si="111"/>
        <v>1.0668793442141464</v>
      </c>
      <c r="CF47" s="8">
        <f t="shared" si="111"/>
        <v>0.81023360801267719</v>
      </c>
      <c r="CG47" s="8">
        <f t="shared" si="111"/>
        <v>0.56137321968702181</v>
      </c>
      <c r="CH47" s="8">
        <f t="shared" si="111"/>
        <v>0.57852607202704354</v>
      </c>
      <c r="CI47" s="8">
        <v>0</v>
      </c>
      <c r="CJ47" s="8">
        <v>0</v>
      </c>
      <c r="CK47" s="8">
        <v>0</v>
      </c>
      <c r="CL47" s="8">
        <v>0</v>
      </c>
      <c r="CN47">
        <v>4</v>
      </c>
      <c r="CO47" s="8">
        <f t="shared" si="133"/>
        <v>0.50299705981480114</v>
      </c>
      <c r="CP47" s="8">
        <f t="shared" si="112"/>
        <v>0.91137646913272885</v>
      </c>
      <c r="CQ47" s="8">
        <f t="shared" si="113"/>
        <v>1.3483750330397271</v>
      </c>
      <c r="CR47" s="8">
        <f>AV47*CF47</f>
        <v>0.52387376461406521</v>
      </c>
      <c r="CS47" s="8">
        <f t="shared" si="115"/>
        <v>0.52251934301448855</v>
      </c>
      <c r="CT47" s="8">
        <f t="shared" si="116"/>
        <v>0</v>
      </c>
      <c r="CU47" s="8">
        <f t="shared" ref="CU47:CU52" si="142">AY47*CI47</f>
        <v>0</v>
      </c>
      <c r="CV47" s="8">
        <f t="shared" si="140"/>
        <v>0</v>
      </c>
      <c r="CW47" s="8">
        <f t="shared" si="137"/>
        <v>0</v>
      </c>
      <c r="CX47" s="8"/>
      <c r="CZ47">
        <v>4</v>
      </c>
      <c r="DA47" s="8">
        <f t="shared" si="134"/>
        <v>-0.42483840521861088</v>
      </c>
      <c r="DB47" s="8">
        <f t="shared" si="120"/>
        <v>-0.95979560811039821</v>
      </c>
      <c r="DC47" s="8">
        <f t="shared" si="121"/>
        <v>0.24066100251181224</v>
      </c>
      <c r="DD47" s="8">
        <f t="shared" si="122"/>
        <v>0.69193601581963626</v>
      </c>
      <c r="DE47" s="8">
        <f t="shared" si="123"/>
        <v>0.59269818515660644</v>
      </c>
      <c r="DF47" s="8">
        <f t="shared" si="124"/>
        <v>0</v>
      </c>
      <c r="DG47" s="8">
        <f t="shared" si="125"/>
        <v>0</v>
      </c>
      <c r="DH47" s="8">
        <f t="shared" si="126"/>
        <v>0</v>
      </c>
      <c r="DI47" s="8">
        <f t="shared" si="138"/>
        <v>0</v>
      </c>
      <c r="DJ47" s="8">
        <f t="shared" si="128"/>
        <v>0</v>
      </c>
      <c r="DN47" s="17" t="s">
        <v>42</v>
      </c>
      <c r="DO47" s="17">
        <f>DD54/BT54</f>
        <v>-0.23669454547699509</v>
      </c>
    </row>
    <row r="48" spans="1:119" x14ac:dyDescent="0.25">
      <c r="A48">
        <v>2017</v>
      </c>
      <c r="B48" s="13">
        <f>SUMIFS(Dane!$D$4:$D$2463,Dane!$A$4:$A$2463,'Trójkąty skumulowane'!$A$31,Dane!$H$4:$H$2463,'Trójkąty skumulowane'!$A39,Dane!$I$4:$I$2463,$A48+B$42)</f>
        <v>5014791.9572833572</v>
      </c>
      <c r="C48" s="13">
        <f>SUMIFS(Dane!$D$4:$D$2463,Dane!$A$4:$A$2463,'Trójkąty skumulowane'!$A$31,Dane!$H$4:$H$2463,'Trójkąty skumulowane'!$A39,Dane!$I$4:$I$2463,$A48+C$42)+B48</f>
        <v>7473356.4843088966</v>
      </c>
      <c r="D48" s="13">
        <f>SUMIFS(Dane!$D$4:$D$2463,Dane!$A$4:$A$2463,'Trójkąty skumulowane'!$A$31,Dane!$H$4:$H$2463,'Trójkąty skumulowane'!$A39,Dane!$I$4:$I$2463,$A48+D$42)+C48</f>
        <v>8051605.7443632847</v>
      </c>
      <c r="E48" s="13">
        <f>SUMIFS(Dane!$D$4:$D$2463,Dane!$A$4:$A$2463,'Trójkąty skumulowane'!$A$31,Dane!$H$4:$H$2463,'Trójkąty skumulowane'!$A39,Dane!$I$4:$I$2463,$A48+E$42)+D48</f>
        <v>8381433.7919791909</v>
      </c>
      <c r="F48" s="13">
        <f>SUMIFS(Dane!$D$4:$D$2463,Dane!$A$4:$A$2463,'Trójkąty skumulowane'!$A$31,Dane!$H$4:$H$2463,'Trójkąty skumulowane'!$A39,Dane!$I$4:$I$2463,$A48+F$42)+E48</f>
        <v>8539007.495220311</v>
      </c>
      <c r="G48" s="14">
        <f>$F48*($G$55+$DO$46*($AF$46/$AF$49)*(($R$48/$F$48)-$AF$45))</f>
        <v>8677963.1882796194</v>
      </c>
      <c r="H48" s="14">
        <f t="shared" ref="H48:H52" si="143">$G48*($H$55+$DO$46*($AG$46/$AG$49)*(($S$47/$G$47)-$AG$45))</f>
        <v>8761826.5169116631</v>
      </c>
      <c r="I48" s="14">
        <f t="shared" si="141"/>
        <v>8840837.1984416507</v>
      </c>
      <c r="J48" s="14">
        <f t="shared" si="139"/>
        <v>8907943.435414806</v>
      </c>
      <c r="K48" s="14">
        <f t="shared" si="135"/>
        <v>8992598.3540159259</v>
      </c>
      <c r="L48" s="14">
        <f>K48-F48</f>
        <v>453590.85879561491</v>
      </c>
      <c r="M48">
        <v>2017</v>
      </c>
      <c r="N48" s="13">
        <f>SUMIFS(Dane!$J$4:$J$2463,Dane!$A$4:$A$2463,'Trójkąty skumulowane'!$A$31,Dane!$H$4:$H$2463,'Trójkąty skumulowane'!$A39,Dane!$I$4:$I$2463,$A48+N$42)</f>
        <v>17530723.948451877</v>
      </c>
      <c r="O48" s="13">
        <f>SUMIFS(Dane!$J$4:$J$2463,Dane!$A$4:$A$2463,'Trójkąty skumulowane'!$A$31,Dane!$H$4:$H$2463,'Trójkąty skumulowane'!$A39,Dane!$I$4:$I$2463,$A48+O$42)+N48</f>
        <v>35405743.045895696</v>
      </c>
      <c r="P48" s="13">
        <f>SUMIFS(Dane!$J$4:$J$2463,Dane!$A$4:$A$2463,'Trójkąty skumulowane'!$A$31,Dane!$H$4:$H$2463,'Trójkąty skumulowane'!$A39,Dane!$I$4:$I$2463,$A48+P$42)+O48</f>
        <v>46720144.902164623</v>
      </c>
      <c r="Q48" s="13">
        <f>SUMIFS(Dane!$J$4:$J$2463,Dane!$A$4:$A$2463,'Trójkąty skumulowane'!$A$31,Dane!$H$4:$H$2463,'Trójkąty skumulowane'!$A39,Dane!$I$4:$I$2463,$A48+Q$42)+P48</f>
        <v>54478589.003985748</v>
      </c>
      <c r="R48" s="13">
        <f>SUMIFS(Dane!$J$4:$J$2463,Dane!$A$4:$A$2463,'Trójkąty skumulowane'!$A$31,Dane!$H$4:$H$2463,'Trójkąty skumulowane'!$A39,Dane!$I$4:$I$2463,$A48+R$42)+Q48</f>
        <v>60871042.389119186</v>
      </c>
      <c r="S48" s="13">
        <f>SUMIFS(Dane!$J$4:$J$2463,Dane!$A$4:$A$2463,'Trójkąty skumulowane'!$A$31,Dane!$H$4:$H$2463,'Trójkąty skumulowane'!$A39,Dane!$I$4:$I$2463,$A48+S$42)</f>
        <v>0</v>
      </c>
      <c r="T48" s="13">
        <f>SUMIFS(Dane!$J$4:$J$2463,Dane!$A$4:$A$2463,'Trójkąty skumulowane'!$A$31,Dane!$H$4:$H$2463,'Trójkąty skumulowane'!$A39,Dane!$I$4:$I$2463,$A48+T$42)+S48</f>
        <v>0</v>
      </c>
      <c r="U48" s="13">
        <f>SUMIFS(Dane!$J$4:$J$2463,Dane!$A$4:$A$2463,'Trójkąty skumulowane'!$A$31,Dane!$H$4:$H$2463,'Trójkąty skumulowane'!$A39,Dane!$I$4:$I$2463,$A48+U$42)+T48</f>
        <v>0</v>
      </c>
      <c r="V48" s="13">
        <f>SUMIFS(Dane!$J$4:$J$2463,Dane!$A$4:$A$2463,'Trójkąty skumulowane'!$A$31,Dane!$H$4:$H$2463,'Trójkąty skumulowane'!$A39,Dane!$I$4:$I$2463,$A48+V$42)+U48</f>
        <v>0</v>
      </c>
      <c r="W48" s="13">
        <f>SUMIFS(Dane!$J$4:$J$2463,Dane!$A$4:$A$2463,'Trójkąty skumulowane'!$A$31,Dane!$H$4:$H$2463,'Trójkąty skumulowane'!$A39,Dane!$I$4:$I$2463,$A48+W$42)+V48</f>
        <v>0</v>
      </c>
      <c r="X48" s="11"/>
      <c r="AA48" t="s">
        <v>43</v>
      </c>
      <c r="AB48">
        <f>SQRT(1/(9-AB43)*(N43*(B43/N43-AB44)^2+N44*(B44/N44-AB44)^2+N45*(B45/N45-AB44)^2+N46*(B46/N46-AB44)^2+N47*(B47/N47-AB44)^2+N48*(B48/N48-AB44)^2+N49*(B49/N49-AB44)^2+N50*(B50/N50-AB44)^2+N51*(B51/N51-AB44)^2+N52*(B52/N52-AB44)^2))</f>
        <v>286.68198529748031</v>
      </c>
      <c r="AC48">
        <f>SQRT(1/(9-AC43)*(O43*(C43/O43-AC44)^2+O44*(C44/O44-AC44)^2+O45*(C45/O45-AC44)^2+O46*(C46/O46-AC44)^2+O47*(C47/O47-AC44)^2+O48*(C48/O48-AC44)^2+O49*(C49/O49-AC44)^2+O50*(C50/O50-AC44)^2+O51*(C51/O51-AC44)^2))</f>
        <v>88.808903276465074</v>
      </c>
      <c r="AD48">
        <f>SQRT(1/(9-AD43)*(P43*(D43/P43-AD44)^2+P44*(D44/P44-AD44)^2+P45*(D45/P45-AD44)^2+P46*(D46/P46-AD44)^2+P47*(D47/P47-AD44)^2+P48*(D48/P48-AD44)^2+P49*(D49/P49-AD44)^2+P50*(D50/P50-AD44)^2))</f>
        <v>103.55594104612555</v>
      </c>
      <c r="AE48">
        <f>SQRT(1/(9-AE43)*(Q43*(E43/Q43-AE44)^2+Q44*(E44/Q44-AE44)^2+Q45*(E45/Q45-AE44)^2+Q46*(E46/Q46-AE44)^2+Q47*(E47/Q47-AE44)^2+Q48*(E48/Q48-AE44)^2+Q49*(E49/Q49-AE44)^2))</f>
        <v>103.55757301338647</v>
      </c>
      <c r="AF48">
        <f>SQRT(1/(9-AF43)*(R43*(F43/R43-AF44)^2+R44*(F44/R44-AF44)^2+R45*(F45/R45-AF44)^2+R46*(F46/R46-AF44)^2+R47*(F47/R47-AF44)^2+R48*(F48/R48-AF44)^2))</f>
        <v>102.50342011435157</v>
      </c>
      <c r="AG48">
        <f>SQRT(1/(9-AG43)*(S43*(G43/S43-AG44)^2+S44*(G44/S44-AG44)^2+S45*(G45/S45-AG44)^2+S46*(G46/S46-AG44)^2+S47*(G47/S47-AG44)^2))</f>
        <v>103.5327287462945</v>
      </c>
      <c r="AH48">
        <f>SQRT(1/(9-AH43)*(T43*(H43/T43-AH44)^2+T44*(H44/T44-AH44)^2+T45*(H45/T45-AH44)^2+T46*(H46/T46-AH44)^2))</f>
        <v>109.27041944235374</v>
      </c>
      <c r="AI48">
        <f>SQRT(1/(9-AI43)*(U43*(I43/U43-AI44)^2+U44*(I44/U44-AI44)^2+U45*(I45/U45-AI44)^2))</f>
        <v>82.145165498331195</v>
      </c>
      <c r="AJ48">
        <f>SQRT(1/(9-AJ43)*(V43*(J43/V43-AJ44)^2+V44*(J44/V44-AJ44)^2))</f>
        <v>98.232912681033753</v>
      </c>
      <c r="AR48">
        <v>5</v>
      </c>
      <c r="AS48" s="8">
        <f t="shared" si="129"/>
        <v>1.05888090396135</v>
      </c>
      <c r="AT48" s="8">
        <f t="shared" si="108"/>
        <v>0.40629270407955392</v>
      </c>
      <c r="AU48" s="8">
        <f t="shared" si="108"/>
        <v>0.8287364125064034</v>
      </c>
      <c r="AV48" s="8">
        <f t="shared" si="108"/>
        <v>-0.67402734986215573</v>
      </c>
      <c r="AW48" s="60">
        <v>0</v>
      </c>
      <c r="AX48" s="21">
        <v>0</v>
      </c>
      <c r="AY48" s="8">
        <v>0</v>
      </c>
      <c r="AZ48" s="8">
        <v>0</v>
      </c>
      <c r="BA48" s="8">
        <v>0</v>
      </c>
      <c r="BB48" s="8">
        <v>0</v>
      </c>
      <c r="BD48">
        <v>5</v>
      </c>
      <c r="BE48" s="8">
        <f t="shared" si="130"/>
        <v>1.0245680229987717</v>
      </c>
      <c r="BF48" s="8">
        <f t="shared" si="109"/>
        <v>0.39912660587765103</v>
      </c>
      <c r="BG48" s="8">
        <f t="shared" si="109"/>
        <v>-0.57432461906782095</v>
      </c>
      <c r="BH48" s="8">
        <f t="shared" si="109"/>
        <v>0.39067060648861701</v>
      </c>
      <c r="BI48" s="8">
        <v>0</v>
      </c>
      <c r="BJ48" s="21">
        <v>0</v>
      </c>
      <c r="BK48" s="8">
        <v>0</v>
      </c>
      <c r="BL48" s="8">
        <v>0</v>
      </c>
      <c r="BM48" s="8">
        <v>0</v>
      </c>
      <c r="BN48" s="8">
        <v>0</v>
      </c>
      <c r="BP48">
        <v>5</v>
      </c>
      <c r="BQ48" s="8">
        <f t="shared" si="131"/>
        <v>-0.46411422083845721</v>
      </c>
      <c r="BR48" s="8">
        <f t="shared" si="110"/>
        <v>-1.0351902750986821</v>
      </c>
      <c r="BS48" s="8">
        <f t="shared" si="110"/>
        <v>-0.88229112631282014</v>
      </c>
      <c r="BT48" s="8">
        <f t="shared" si="110"/>
        <v>-0.626403142475776</v>
      </c>
      <c r="BU48" s="8">
        <f t="shared" si="110"/>
        <v>-0.58912023122716839</v>
      </c>
      <c r="BV48" s="8">
        <v>0</v>
      </c>
      <c r="BW48" s="8">
        <v>0</v>
      </c>
      <c r="BX48" s="8">
        <v>0</v>
      </c>
      <c r="BY48" s="8">
        <v>0</v>
      </c>
      <c r="BZ48" s="8">
        <v>0</v>
      </c>
      <c r="CB48">
        <v>5</v>
      </c>
      <c r="CC48" s="8">
        <f t="shared" si="132"/>
        <v>0.62958354915889536</v>
      </c>
      <c r="CD48" s="8">
        <f t="shared" si="111"/>
        <v>1.067213886750991</v>
      </c>
      <c r="CE48" s="8">
        <f t="shared" si="111"/>
        <v>0.90442614236677343</v>
      </c>
      <c r="CF48" s="8">
        <f t="shared" si="111"/>
        <v>0.64048031365900626</v>
      </c>
      <c r="CG48" s="8">
        <f t="shared" si="111"/>
        <v>0.61263549544113849</v>
      </c>
      <c r="CH48" s="8">
        <v>0</v>
      </c>
      <c r="CI48" s="8">
        <v>0</v>
      </c>
      <c r="CJ48" s="8">
        <v>0</v>
      </c>
      <c r="CK48" s="8">
        <v>0</v>
      </c>
      <c r="CL48" s="8">
        <v>0</v>
      </c>
      <c r="CN48">
        <v>5</v>
      </c>
      <c r="CO48" s="8">
        <f t="shared" si="133"/>
        <v>0.66665399765256617</v>
      </c>
      <c r="CP48" s="8">
        <f t="shared" si="112"/>
        <v>0.433601215879311</v>
      </c>
      <c r="CQ48" s="8">
        <f t="shared" si="113"/>
        <v>0.74953087660204543</v>
      </c>
      <c r="CR48" s="8">
        <f t="shared" si="114"/>
        <v>-0.43170124845446223</v>
      </c>
      <c r="CS48" s="8">
        <f t="shared" si="115"/>
        <v>0</v>
      </c>
      <c r="CT48" s="8">
        <f t="shared" si="116"/>
        <v>0</v>
      </c>
      <c r="CU48" s="8">
        <f t="shared" si="142"/>
        <v>0</v>
      </c>
      <c r="CV48" s="8">
        <f t="shared" si="140"/>
        <v>0</v>
      </c>
      <c r="CW48" s="8">
        <f t="shared" si="137"/>
        <v>0</v>
      </c>
      <c r="CX48" s="8"/>
      <c r="CZ48">
        <v>5</v>
      </c>
      <c r="DA48" s="8">
        <f t="shared" si="134"/>
        <v>-0.47551658969007343</v>
      </c>
      <c r="DB48" s="8">
        <f t="shared" si="120"/>
        <v>-0.41317198093768887</v>
      </c>
      <c r="DC48" s="8">
        <f t="shared" si="121"/>
        <v>0.50672151502652918</v>
      </c>
      <c r="DD48" s="8">
        <f t="shared" si="122"/>
        <v>-0.24471729557738697</v>
      </c>
      <c r="DE48" s="8">
        <f t="shared" si="123"/>
        <v>0</v>
      </c>
      <c r="DF48" s="8">
        <f t="shared" si="124"/>
        <v>0</v>
      </c>
      <c r="DG48" s="8">
        <f t="shared" si="125"/>
        <v>0</v>
      </c>
      <c r="DH48" s="8">
        <f t="shared" si="126"/>
        <v>0</v>
      </c>
      <c r="DI48" s="8">
        <f t="shared" si="138"/>
        <v>0</v>
      </c>
      <c r="DJ48" s="8">
        <f t="shared" si="128"/>
        <v>0</v>
      </c>
    </row>
    <row r="49" spans="1:114" x14ac:dyDescent="0.25">
      <c r="A49">
        <v>2018</v>
      </c>
      <c r="B49" s="13">
        <f>SUMIFS(Dane!$D$4:$D$2463,Dane!$A$4:$A$2463,'Trójkąty skumulowane'!$A$31,Dane!$H$4:$H$2463,'Trójkąty skumulowane'!$A40,Dane!$I$4:$I$2463,$A49+B$42)</f>
        <v>5289023.9552167226</v>
      </c>
      <c r="C49" s="13">
        <f>SUMIFS(Dane!$D$4:$D$2463,Dane!$A$4:$A$2463,'Trójkąty skumulowane'!$A$31,Dane!$H$4:$H$2463,'Trójkąty skumulowane'!$A40,Dane!$I$4:$I$2463,$A49+C$42)+B49</f>
        <v>7765443.9363761069</v>
      </c>
      <c r="D49" s="13">
        <f>SUMIFS(Dane!$D$4:$D$2463,Dane!$A$4:$A$2463,'Trójkąty skumulowane'!$A$31,Dane!$H$4:$H$2463,'Trójkąty skumulowane'!$A40,Dane!$I$4:$I$2463,$A49+D$42)+C49</f>
        <v>8242777.4404919678</v>
      </c>
      <c r="E49" s="13">
        <f>SUMIFS(Dane!$D$4:$D$2463,Dane!$A$4:$A$2463,'Trójkąty skumulowane'!$A$31,Dane!$H$4:$H$2463,'Trójkąty skumulowane'!$A40,Dane!$I$4:$I$2463,$A49+E$42)+D49</f>
        <v>8468153.0281122215</v>
      </c>
      <c r="F49" s="14">
        <f>$E49*($F$55+$DO$46*($AE$46/$AE$49)*(($Q$49/$E$49)-$AE$45))</f>
        <v>8652006.3788014725</v>
      </c>
      <c r="G49" s="14">
        <f t="shared" ref="G49:G52" si="144">$F49*($G$55+$DO$46*($AF$46/$AF$49)*(($R$48/$F$48)-$AF$45))</f>
        <v>8792800.9083053842</v>
      </c>
      <c r="H49" s="14">
        <f t="shared" si="143"/>
        <v>8877774.021946298</v>
      </c>
      <c r="I49" s="14">
        <f t="shared" si="141"/>
        <v>8957830.272157291</v>
      </c>
      <c r="J49" s="14">
        <f t="shared" si="139"/>
        <v>9025824.543233186</v>
      </c>
      <c r="K49" s="14">
        <f t="shared" si="135"/>
        <v>9111599.7221569419</v>
      </c>
      <c r="L49" s="14">
        <f>K49-E49</f>
        <v>643446.69404472038</v>
      </c>
      <c r="M49">
        <v>2018</v>
      </c>
      <c r="N49" s="13">
        <f>SUMIFS(Dane!$J$4:$J$2463,Dane!$A$4:$A$2463,'Trójkąty skumulowane'!$A$31,Dane!$H$4:$H$2463,'Trójkąty skumulowane'!$A40,Dane!$I$4:$I$2463,$A49+N$42)</f>
        <v>18111593.206478354</v>
      </c>
      <c r="O49" s="13">
        <f>SUMIFS(Dane!$J$4:$J$2463,Dane!$A$4:$A$2463,'Trójkąty skumulowane'!$A$31,Dane!$H$4:$H$2463,'Trójkąty skumulowane'!$A40,Dane!$I$4:$I$2463,$A49+O$42)+N49</f>
        <v>33208207.491461933</v>
      </c>
      <c r="P49" s="13">
        <f>SUMIFS(Dane!$J$4:$J$2463,Dane!$A$4:$A$2463,'Trójkąty skumulowane'!$A$31,Dane!$H$4:$H$2463,'Trójkąty skumulowane'!$A40,Dane!$I$4:$I$2463,$A49+P$42)+O49</f>
        <v>42068102.607689694</v>
      </c>
      <c r="Q49" s="13">
        <f>SUMIFS(Dane!$J$4:$J$2463,Dane!$A$4:$A$2463,'Trójkąty skumulowane'!$A$31,Dane!$H$4:$H$2463,'Trójkąty skumulowane'!$A40,Dane!$I$4:$I$2463,$A49+Q$42)+P49</f>
        <v>49076342.28290987</v>
      </c>
      <c r="R49" s="13">
        <f>SUMIFS(Dane!$J$4:$J$2463,Dane!$A$4:$A$2463,'Trójkąty skumulowane'!$A$31,Dane!$H$4:$H$2463,'Trójkąty skumulowane'!$A40,Dane!$I$4:$I$2463,$A49+R$42)</f>
        <v>0</v>
      </c>
      <c r="S49" s="13">
        <f>SUMIFS(Dane!$J$4:$J$2463,Dane!$A$4:$A$2463,'Trójkąty skumulowane'!$A$31,Dane!$H$4:$H$2463,'Trójkąty skumulowane'!$A40,Dane!$I$4:$I$2463,$A49+S$42)+R49</f>
        <v>0</v>
      </c>
      <c r="T49" s="13">
        <f>SUMIFS(Dane!$J$4:$J$2463,Dane!$A$4:$A$2463,'Trójkąty skumulowane'!$A$31,Dane!$H$4:$H$2463,'Trójkąty skumulowane'!$A40,Dane!$I$4:$I$2463,$A49+T$42)+S49</f>
        <v>0</v>
      </c>
      <c r="U49" s="13">
        <f>SUMIFS(Dane!$J$4:$J$2463,Dane!$A$4:$A$2463,'Trójkąty skumulowane'!$A$31,Dane!$H$4:$H$2463,'Trójkąty skumulowane'!$A40,Dane!$I$4:$I$2463,$A49+U$42)+T49</f>
        <v>0</v>
      </c>
      <c r="V49" s="13">
        <f>SUMIFS(Dane!$J$4:$J$2463,Dane!$A$4:$A$2463,'Trójkąty skumulowane'!$A$31,Dane!$H$4:$H$2463,'Trójkąty skumulowane'!$A40,Dane!$I$4:$I$2463,$A49+V$42)+U49</f>
        <v>0</v>
      </c>
      <c r="W49" s="13">
        <f>SUMIFS(Dane!$J$4:$J$2463,Dane!$A$4:$A$2463,'Trójkąty skumulowane'!$A$31,Dane!$H$4:$H$2463,'Trójkąty skumulowane'!$A40,Dane!$I$4:$I$2463,$A49+W$42)+V49</f>
        <v>0</v>
      </c>
      <c r="X49" s="11"/>
      <c r="AA49" t="s">
        <v>44</v>
      </c>
      <c r="AB49">
        <f>SQRT(1/(9-AB43)*(B43*(N43/B43-AB45)^2+B44*(N44/B44-AB45)^2+B45*(N45/B45-AB45)^2+B46*(N46/B46-AB45)^2+B47*(N47/B47-AB45)^2+B48*(N48/B48-AB45)^2+B49*(N49/B49-AB45)^2+B50*(N50/B50-AB45)^2+B51*(N51/B51-AB45)^2+B52*(N52/B52-AB45)^2))</f>
        <v>1243.2066729446572</v>
      </c>
      <c r="AC49">
        <f>SQRT(1/(9-AC43)*(C43*(O43/C43-AC45)^2+C44*(O44/C44-AC45)^2+C45*(O45/C45-AC45)^2+C46*(O46/C46-AC45)^2+C47*(O47/C47-AC45)^2+C48*(O48/C48-AC45)^2+C49*(O49/C49-AC45)^2+C50*(O50/C50-AC45)^2+C51*(O51/C51-AC45)^2))</f>
        <v>827.71815801006778</v>
      </c>
      <c r="AD49">
        <f>SQRT(1/(9-AD43)*(D43*(P43/D43-AD45)^2+D44*(P44/D44-AD45)^2+D45*(P45/D45-AD45)^2+D46*(P46/D46-AD45)^2+D47*(P47/D47-AD45)^2+D48*(P48/D48-AD45)^2+D49*(P49/D49-AD45)^2+D50*(P50/D50-AD45)^2))</f>
        <v>1310.3989450833521</v>
      </c>
      <c r="AE49">
        <f>SQRT(1/(9-AE43)*(E43*(Q43/E43-AE45)^2+E44*(Q44/E44-AE45)^2+E45*(Q45/E45-AE45)^2+E46*(Q46/E46-AE45)^2+E47*(Q47/E47-AE45)^2+E48*(Q48/E48-AE45)^2+E49*(Q49/E49-AE45)^2))</f>
        <v>1587.6864357635079</v>
      </c>
      <c r="AF49">
        <f>SQRT(1/(9-AF43)*(F43*(R43/F43-AF45)^2+F44*(R44/F44-AF45)^2+F45*(R45/F45-AF45)^2+F46*(R46/F46-AF45)^2+F47*(R47/F47-AF45)^2+F48*(R48/F48-AF45)^2))</f>
        <v>1777.9550188470398</v>
      </c>
      <c r="AG49">
        <f>SQRT(1/(9-AG43)*(G43*(S43/G43-AG45)^2+G44*(S44/G44-AG45)^2+G45*(S45/G45-AG45)^2+G46*(S46/G46-AG45)^2+G47*(S47/G47-AG45)^2))</f>
        <v>1974.1834264056313</v>
      </c>
      <c r="AH49">
        <f>SQRT(1/(9-AH43)*(H43*(T43/H43-AH45)^2+H44*(T44/H44-AH45)^2+H45*(T45/H45-AH45)^2+H46*(T46/H46-AH45)^2))</f>
        <v>2270.9844771430312</v>
      </c>
      <c r="AI49">
        <f>SQRT(1/(9-AI43)*(I43*(U43/I43-AI45)^2+I44*(U44/I44-AI45)^2+I45*(U45/I45-AI45)^2))</f>
        <v>1701.9248894410864</v>
      </c>
      <c r="AJ49">
        <f>SQRT(1/(9-AJ43)*(J43*(V43/J43-AJ45)^2+J44*(V44/J44-AJ45)^2))</f>
        <v>2157.6595257821773</v>
      </c>
      <c r="AR49">
        <v>6</v>
      </c>
      <c r="AS49" s="8">
        <f t="shared" si="129"/>
        <v>0.42935150878915834</v>
      </c>
      <c r="AT49" s="8">
        <f t="shared" si="108"/>
        <v>-1.4549566880432971</v>
      </c>
      <c r="AU49" s="8">
        <f t="shared" si="108"/>
        <v>-1.7147948111838041</v>
      </c>
      <c r="AV49" s="60">
        <v>0</v>
      </c>
      <c r="AW49" s="21">
        <v>0</v>
      </c>
      <c r="AX49" s="8">
        <v>0</v>
      </c>
      <c r="AY49" s="8">
        <v>0</v>
      </c>
      <c r="AZ49" s="8">
        <v>0</v>
      </c>
      <c r="BA49" s="8">
        <v>0</v>
      </c>
      <c r="BB49" s="8">
        <v>0</v>
      </c>
      <c r="BD49">
        <v>6</v>
      </c>
      <c r="BE49" s="8">
        <f t="shared" si="130"/>
        <v>-1.3681908811451136</v>
      </c>
      <c r="BF49" s="8">
        <f t="shared" si="109"/>
        <v>-1.8604363576126088</v>
      </c>
      <c r="BG49" s="8">
        <f t="shared" si="109"/>
        <v>-0.50201381550291468</v>
      </c>
      <c r="BH49" s="8">
        <v>0</v>
      </c>
      <c r="BI49" s="21">
        <v>0</v>
      </c>
      <c r="BJ49" s="8">
        <v>0</v>
      </c>
      <c r="BK49" s="8">
        <v>0</v>
      </c>
      <c r="BL49" s="8">
        <v>0</v>
      </c>
      <c r="BM49" s="8">
        <v>0</v>
      </c>
      <c r="BN49" s="8">
        <v>0</v>
      </c>
      <c r="BP49">
        <v>6</v>
      </c>
      <c r="BQ49" s="8">
        <f t="shared" si="131"/>
        <v>-0.38316243608041289</v>
      </c>
      <c r="BR49" s="8">
        <f t="shared" si="110"/>
        <v>0.47453960769375059</v>
      </c>
      <c r="BS49" s="8">
        <f t="shared" si="110"/>
        <v>0.64104288092674699</v>
      </c>
      <c r="BT49" s="8">
        <f t="shared" si="110"/>
        <v>0.67064310969658558</v>
      </c>
      <c r="BU49" s="8">
        <v>0</v>
      </c>
      <c r="BV49" s="8">
        <v>0</v>
      </c>
      <c r="BW49" s="8">
        <v>0</v>
      </c>
      <c r="BX49" s="8">
        <v>0</v>
      </c>
      <c r="BY49" s="8">
        <v>0</v>
      </c>
      <c r="BZ49" s="8">
        <v>0</v>
      </c>
      <c r="CB49">
        <v>6</v>
      </c>
      <c r="CC49" s="8">
        <f t="shared" si="132"/>
        <v>0.51443264087571128</v>
      </c>
      <c r="CD49" s="8">
        <f t="shared" si="111"/>
        <v>-0.46479807068392215</v>
      </c>
      <c r="CE49" s="8">
        <f t="shared" si="111"/>
        <v>-0.61627863595242272</v>
      </c>
      <c r="CF49" s="8">
        <f t="shared" si="111"/>
        <v>-0.64748737259763112</v>
      </c>
      <c r="CG49" s="8">
        <v>0</v>
      </c>
      <c r="CH49" s="8">
        <v>0</v>
      </c>
      <c r="CI49" s="8">
        <v>0</v>
      </c>
      <c r="CJ49" s="8">
        <v>0</v>
      </c>
      <c r="CK49" s="8">
        <v>0</v>
      </c>
      <c r="CL49" s="8">
        <v>0</v>
      </c>
      <c r="CN49">
        <v>6</v>
      </c>
      <c r="CO49" s="8">
        <f t="shared" si="133"/>
        <v>0.22087243053037789</v>
      </c>
      <c r="CP49" s="8">
        <f t="shared" si="112"/>
        <v>0.6762610615311937</v>
      </c>
      <c r="CQ49" s="8">
        <f t="shared" si="113"/>
        <v>1.0567914071746469</v>
      </c>
      <c r="CR49" s="8">
        <f t="shared" si="114"/>
        <v>0</v>
      </c>
      <c r="CS49" s="8">
        <f t="shared" si="115"/>
        <v>0</v>
      </c>
      <c r="CT49" s="8">
        <f t="shared" si="116"/>
        <v>0</v>
      </c>
      <c r="CU49" s="8">
        <f t="shared" si="142"/>
        <v>0</v>
      </c>
      <c r="CV49" s="8">
        <f t="shared" si="140"/>
        <v>0</v>
      </c>
      <c r="CW49" s="8">
        <f t="shared" si="137"/>
        <v>0</v>
      </c>
      <c r="CX49" s="8"/>
      <c r="CZ49">
        <v>6</v>
      </c>
      <c r="DA49" s="8">
        <f t="shared" si="134"/>
        <v>0.52423935104256836</v>
      </c>
      <c r="DB49" s="8">
        <f t="shared" si="120"/>
        <v>-0.8828507392806777</v>
      </c>
      <c r="DC49" s="8">
        <f t="shared" si="121"/>
        <v>-0.32181238255501687</v>
      </c>
      <c r="DD49" s="8">
        <f t="shared" si="122"/>
        <v>0</v>
      </c>
      <c r="DE49" s="8">
        <f t="shared" si="123"/>
        <v>0</v>
      </c>
      <c r="DF49" s="8">
        <f t="shared" si="124"/>
        <v>0</v>
      </c>
      <c r="DG49" s="8">
        <f t="shared" si="125"/>
        <v>0</v>
      </c>
      <c r="DH49" s="8">
        <f>BL49*BX49</f>
        <v>0</v>
      </c>
      <c r="DI49" s="8">
        <f t="shared" si="138"/>
        <v>0</v>
      </c>
      <c r="DJ49" s="8">
        <f t="shared" si="128"/>
        <v>0</v>
      </c>
    </row>
    <row r="50" spans="1:114" x14ac:dyDescent="0.25">
      <c r="A50">
        <v>2019</v>
      </c>
      <c r="B50" s="13">
        <f>SUMIFS(Dane!$D$4:$D$2463,Dane!$A$4:$A$2463,'Trójkąty skumulowane'!$A$31,Dane!$H$4:$H$2463,'Trójkąty skumulowane'!$A41,Dane!$I$4:$I$2463,$A50+B$42)</f>
        <v>5361675.0260812119</v>
      </c>
      <c r="C50" s="13">
        <f>SUMIFS(Dane!$D$4:$D$2463,Dane!$A$4:$A$2463,'Trójkąty skumulowane'!$A$31,Dane!$H$4:$H$2463,'Trójkąty skumulowane'!$A41,Dane!$I$4:$I$2463,$A50+C$42)+B50</f>
        <v>7552270.4508919688</v>
      </c>
      <c r="D50" s="13">
        <f>SUMIFS(Dane!$D$4:$D$2463,Dane!$A$4:$A$2463,'Trójkąty skumulowane'!$A$31,Dane!$H$4:$H$2463,'Trójkąty skumulowane'!$A41,Dane!$I$4:$I$2463,$A50+D$42)+C50</f>
        <v>8066188.6737497589</v>
      </c>
      <c r="E50" s="14">
        <f>$D50*($E$55+$DO$26*($AD$46/$AD$49)*(($P$50/$D$50)-$AD$45))</f>
        <v>8352839.4153636349</v>
      </c>
      <c r="F50" s="14">
        <f t="shared" ref="F50:F52" si="145">$E50*($F$55+$DO$46*($AE$46/$AE$49)*(($Q$49/$E$49)-$AE$45))</f>
        <v>8534189.1747722942</v>
      </c>
      <c r="G50" s="14">
        <f t="shared" si="144"/>
        <v>8673066.459063651</v>
      </c>
      <c r="H50" s="14">
        <f t="shared" si="143"/>
        <v>8756882.4659909867</v>
      </c>
      <c r="I50" s="14">
        <f t="shared" si="141"/>
        <v>8835848.5640277937</v>
      </c>
      <c r="J50" s="14">
        <f t="shared" si="139"/>
        <v>8902916.9348491766</v>
      </c>
      <c r="K50" s="14">
        <f t="shared" si="135"/>
        <v>8987524.0850737561</v>
      </c>
      <c r="L50" s="14">
        <f>K50-D50</f>
        <v>921335.41132399719</v>
      </c>
      <c r="M50">
        <v>2019</v>
      </c>
      <c r="N50" s="13">
        <f>SUMIFS(Dane!$J$4:$J$2463,Dane!$A$4:$A$2463,'Trójkąty skumulowane'!$A$31,Dane!$H$4:$H$2463,'Trójkąty skumulowane'!$A41,Dane!$I$4:$I$2463,$A50+N$42)</f>
        <v>17082391.44328602</v>
      </c>
      <c r="O50" s="13">
        <f>SUMIFS(Dane!$J$4:$J$2463,Dane!$A$4:$A$2463,'Trójkąty skumulowane'!$A$31,Dane!$H$4:$H$2463,'Trójkąty skumulowane'!$A41,Dane!$I$4:$I$2463,$A50+O$42)+N50</f>
        <v>30970955.54289997</v>
      </c>
      <c r="P50" s="13">
        <f>SUMIFS(Dane!$J$4:$J$2463,Dane!$A$4:$A$2463,'Trójkąty skumulowane'!$A$31,Dane!$H$4:$H$2463,'Trójkąty skumulowane'!$A41,Dane!$I$4:$I$2463,$A50+P$42)+O50</f>
        <v>40620598.718117908</v>
      </c>
      <c r="Q50" s="13">
        <f>SUMIFS(Dane!$J$4:$J$2463,Dane!$A$4:$A$2463,'Trójkąty skumulowane'!$A$31,Dane!$H$4:$H$2463,'Trójkąty skumulowane'!$A41,Dane!$I$4:$I$2463,$A50+Q$42)</f>
        <v>0</v>
      </c>
      <c r="R50" s="13">
        <f>SUMIFS(Dane!$J$4:$J$2463,Dane!$A$4:$A$2463,'Trójkąty skumulowane'!$A$31,Dane!$H$4:$H$2463,'Trójkąty skumulowane'!$A41,Dane!$I$4:$I$2463,$A50+R$42)+Q50</f>
        <v>0</v>
      </c>
      <c r="S50" s="13">
        <f>SUMIFS(Dane!$J$4:$J$2463,Dane!$A$4:$A$2463,'Trójkąty skumulowane'!$A$31,Dane!$H$4:$H$2463,'Trójkąty skumulowane'!$A41,Dane!$I$4:$I$2463,$A50+S$42)+R50</f>
        <v>0</v>
      </c>
      <c r="T50" s="13">
        <f>SUMIFS(Dane!$J$4:$J$2463,Dane!$A$4:$A$2463,'Trójkąty skumulowane'!$A$31,Dane!$H$4:$H$2463,'Trójkąty skumulowane'!$A41,Dane!$I$4:$I$2463,$A50+T$42)+S50</f>
        <v>0</v>
      </c>
      <c r="U50" s="13">
        <f>SUMIFS(Dane!$J$4:$J$2463,Dane!$A$4:$A$2463,'Trójkąty skumulowane'!$A$31,Dane!$H$4:$H$2463,'Trójkąty skumulowane'!$A41,Dane!$I$4:$I$2463,$A50+U$42)+T50</f>
        <v>0</v>
      </c>
      <c r="V50" s="13">
        <f>SUMIFS(Dane!$J$4:$J$2463,Dane!$A$4:$A$2463,'Trójkąty skumulowane'!$A$31,Dane!$H$4:$H$2463,'Trójkąty skumulowane'!$A41,Dane!$I$4:$I$2463,$A50+V$42)+U50</f>
        <v>0</v>
      </c>
      <c r="W50" s="13">
        <f>SUMIFS(Dane!$J$4:$J$2463,Dane!$A$4:$A$2463,'Trójkąty skumulowane'!$A$31,Dane!$H$4:$H$2463,'Trójkąty skumulowane'!$A41,Dane!$I$4:$I$2463,$A50+W$42)+V50</f>
        <v>0</v>
      </c>
      <c r="X50" s="11"/>
      <c r="AR50">
        <v>7</v>
      </c>
      <c r="AS50" s="8">
        <f t="shared" si="129"/>
        <v>-1.3607878056988778</v>
      </c>
      <c r="AT50" s="8">
        <f t="shared" si="129"/>
        <v>-0.67239847918293538</v>
      </c>
      <c r="AU50" s="60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D50">
        <v>7</v>
      </c>
      <c r="BE50" s="8">
        <f t="shared" si="130"/>
        <v>-1.5865091174796018</v>
      </c>
      <c r="BF50" s="8">
        <f t="shared" si="130"/>
        <v>4.4572643173394808E-2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P50">
        <v>7</v>
      </c>
      <c r="BQ50" s="8">
        <f t="shared" si="131"/>
        <v>-5.7145705866173513E-2</v>
      </c>
      <c r="BR50" s="8">
        <f t="shared" si="110"/>
        <v>1.0854831540103362</v>
      </c>
      <c r="BS50" s="8">
        <f t="shared" si="110"/>
        <v>0.79208810232618243</v>
      </c>
      <c r="BT50" s="8">
        <v>0</v>
      </c>
      <c r="BU50" s="8">
        <v>0</v>
      </c>
      <c r="BV50" s="8">
        <v>0</v>
      </c>
      <c r="BW50" s="8">
        <v>0</v>
      </c>
      <c r="BX50" s="8">
        <v>0</v>
      </c>
      <c r="BY50" s="8">
        <v>0</v>
      </c>
      <c r="BZ50" s="8">
        <v>0</v>
      </c>
      <c r="CB50">
        <v>7</v>
      </c>
      <c r="CC50" s="8">
        <f t="shared" si="132"/>
        <v>7.4005282874047437E-2</v>
      </c>
      <c r="CD50" s="8">
        <f t="shared" si="111"/>
        <v>-1.0411514312137933</v>
      </c>
      <c r="CE50" s="8">
        <f t="shared" si="111"/>
        <v>-0.7564196769901721</v>
      </c>
      <c r="CF50" s="8">
        <v>0</v>
      </c>
      <c r="CG50" s="8">
        <v>0</v>
      </c>
      <c r="CH50" s="8">
        <v>0</v>
      </c>
      <c r="CI50" s="8">
        <v>0</v>
      </c>
      <c r="CJ50" s="8">
        <v>0</v>
      </c>
      <c r="CK50" s="8">
        <v>0</v>
      </c>
      <c r="CL50" s="8">
        <v>0</v>
      </c>
      <c r="CN50">
        <v>7</v>
      </c>
      <c r="CO50" s="8">
        <f>AS50*CC50</f>
        <v>-0.10070548649229975</v>
      </c>
      <c r="CP50" s="8">
        <f t="shared" si="112"/>
        <v>0.70006863894729121</v>
      </c>
      <c r="CQ50" s="8">
        <f t="shared" si="113"/>
        <v>0</v>
      </c>
      <c r="CR50" s="8">
        <f t="shared" si="114"/>
        <v>0</v>
      </c>
      <c r="CS50" s="8">
        <f t="shared" si="115"/>
        <v>0</v>
      </c>
      <c r="CT50" s="8">
        <f t="shared" si="116"/>
        <v>0</v>
      </c>
      <c r="CU50" s="8">
        <f t="shared" si="142"/>
        <v>0</v>
      </c>
      <c r="CV50" s="8">
        <f t="shared" si="140"/>
        <v>0</v>
      </c>
      <c r="CW50" s="8">
        <f t="shared" si="137"/>
        <v>0</v>
      </c>
      <c r="CX50" s="8"/>
      <c r="CZ50">
        <v>7</v>
      </c>
      <c r="DA50" s="8">
        <f t="shared" si="134"/>
        <v>9.0662183381491845E-2</v>
      </c>
      <c r="DB50" s="8">
        <f t="shared" si="120"/>
        <v>4.8382853294433877E-2</v>
      </c>
      <c r="DC50" s="8">
        <f t="shared" si="121"/>
        <v>0</v>
      </c>
      <c r="DD50" s="8">
        <f t="shared" si="122"/>
        <v>0</v>
      </c>
      <c r="DE50" s="8">
        <f t="shared" si="123"/>
        <v>0</v>
      </c>
      <c r="DF50" s="8">
        <f t="shared" si="124"/>
        <v>0</v>
      </c>
      <c r="DG50" s="8">
        <f t="shared" si="125"/>
        <v>0</v>
      </c>
      <c r="DH50" s="8">
        <f t="shared" si="126"/>
        <v>0</v>
      </c>
      <c r="DI50" s="8">
        <f t="shared" si="138"/>
        <v>0</v>
      </c>
      <c r="DJ50" s="8">
        <f t="shared" si="128"/>
        <v>0</v>
      </c>
    </row>
    <row r="51" spans="1:114" x14ac:dyDescent="0.25">
      <c r="A51">
        <v>2020</v>
      </c>
      <c r="B51" s="13">
        <f>SUMIFS(Dane!$D$4:$D$2463,Dane!$A$4:$A$2463,'Trójkąty skumulowane'!$A$31,Dane!$H$4:$H$2463,'Trójkąty skumulowane'!$A42,Dane!$I$4:$I$2463,$A51+B$42)</f>
        <v>5311015.510566188</v>
      </c>
      <c r="C51" s="13">
        <f>SUMIFS(Dane!$D$4:$D$2463,Dane!$A$4:$A$2463,'Trójkąty skumulowane'!$A$31,Dane!$H$4:$H$2463,'Trójkąty skumulowane'!$A42,Dane!$I$4:$I$2463,$A51+C$42)+B51</f>
        <v>7383876.934500345</v>
      </c>
      <c r="D51" s="14">
        <f>$C51*($D$55+$DO$46*($AC$46/$AC$49)*(($O$51/$C$51)-$AC$45))</f>
        <v>7930513.8629796943</v>
      </c>
      <c r="E51" s="14">
        <f t="shared" ref="E51:E52" si="146">$D51*($E$55+$DO$26*($AD$46/$AD$49)*(($P$50/$D$50)-$AD$45))</f>
        <v>8212343.0851996429</v>
      </c>
      <c r="F51" s="14">
        <f t="shared" si="145"/>
        <v>8390642.5075425394</v>
      </c>
      <c r="G51" s="14">
        <f t="shared" si="144"/>
        <v>8527183.8497888241</v>
      </c>
      <c r="H51" s="14">
        <f t="shared" si="143"/>
        <v>8609590.055713566</v>
      </c>
      <c r="I51" s="14">
        <f t="shared" si="141"/>
        <v>8687227.9291276019</v>
      </c>
      <c r="J51" s="14">
        <f t="shared" si="139"/>
        <v>8753168.1973359808</v>
      </c>
      <c r="K51" s="14">
        <f t="shared" si="135"/>
        <v>8836352.2393788882</v>
      </c>
      <c r="L51" s="14">
        <f>K51-C51</f>
        <v>1452475.3048785431</v>
      </c>
      <c r="M51">
        <v>2020</v>
      </c>
      <c r="N51" s="13">
        <f>SUMIFS(Dane!$J$4:$J$2463,Dane!$A$4:$A$2463,'Trójkąty skumulowane'!$A$31,Dane!$H$4:$H$2463,'Trójkąty skumulowane'!$A42,Dane!$I$4:$I$2463,$A51+N$42)</f>
        <v>16303861.873407843</v>
      </c>
      <c r="O51" s="13">
        <f>SUMIFS(Dane!$J$4:$J$2463,Dane!$A$4:$A$2463,'Trójkąty skumulowane'!$A$31,Dane!$H$4:$H$2463,'Trójkąty skumulowane'!$A42,Dane!$I$4:$I$2463,$A51+O$42)+N51</f>
        <v>32712304.879699633</v>
      </c>
      <c r="P51" s="13">
        <f>SUMIFS(Dane!$J$4:$J$2463,Dane!$A$4:$A$2463,'Trójkąty skumulowane'!$A$31,Dane!$H$4:$H$2463,'Trójkąty skumulowane'!$A42,Dane!$I$4:$I$2463,$A51+P$42)</f>
        <v>0</v>
      </c>
      <c r="Q51" s="13">
        <f>SUMIFS(Dane!$J$4:$J$2463,Dane!$A$4:$A$2463,'Trójkąty skumulowane'!$A$31,Dane!$H$4:$H$2463,'Trójkąty skumulowane'!$A42,Dane!$I$4:$I$2463,$A51+Q$42)+P51</f>
        <v>0</v>
      </c>
      <c r="R51" s="13">
        <f>SUMIFS(Dane!$J$4:$J$2463,Dane!$A$4:$A$2463,'Trójkąty skumulowane'!$A$31,Dane!$H$4:$H$2463,'Trójkąty skumulowane'!$A42,Dane!$I$4:$I$2463,$A51+R$42)+Q51</f>
        <v>0</v>
      </c>
      <c r="S51" s="13">
        <f>SUMIFS(Dane!$J$4:$J$2463,Dane!$A$4:$A$2463,'Trójkąty skumulowane'!$A$31,Dane!$H$4:$H$2463,'Trójkąty skumulowane'!$A42,Dane!$I$4:$I$2463,$A51+S$42)+R51</f>
        <v>0</v>
      </c>
      <c r="T51" s="13">
        <f>SUMIFS(Dane!$J$4:$J$2463,Dane!$A$4:$A$2463,'Trójkąty skumulowane'!$A$31,Dane!$H$4:$H$2463,'Trójkąty skumulowane'!$A42,Dane!$I$4:$I$2463,$A51+T$42)+S51</f>
        <v>0</v>
      </c>
      <c r="U51" s="13">
        <f>SUMIFS(Dane!$J$4:$J$2463,Dane!$A$4:$A$2463,'Trójkąty skumulowane'!$A$31,Dane!$H$4:$H$2463,'Trójkąty skumulowane'!$A42,Dane!$I$4:$I$2463,$A51+U$42)+T51</f>
        <v>0</v>
      </c>
      <c r="V51" s="13">
        <f>SUMIFS(Dane!$J$4:$J$2463,Dane!$A$4:$A$2463,'Trójkąty skumulowane'!$A$31,Dane!$H$4:$H$2463,'Trójkąty skumulowane'!$A42,Dane!$I$4:$I$2463,$A51+V$42)+U51</f>
        <v>0</v>
      </c>
      <c r="W51" s="13">
        <f>SUMIFS(Dane!$J$4:$J$2463,Dane!$A$4:$A$2463,'Trójkąty skumulowane'!$A$31,Dane!$H$4:$H$2463,'Trójkąty skumulowane'!$A42,Dane!$I$4:$I$2463,$A51+W$42)+V51</f>
        <v>0</v>
      </c>
      <c r="X51" s="11"/>
      <c r="AR51">
        <v>8</v>
      </c>
      <c r="AS51" s="8">
        <f t="shared" si="129"/>
        <v>-1.9009322985791961</v>
      </c>
      <c r="AT51" s="60">
        <v>0</v>
      </c>
      <c r="AU51" s="8">
        <v>0</v>
      </c>
      <c r="AV51" s="8">
        <v>0</v>
      </c>
      <c r="AW51" s="8">
        <v>0</v>
      </c>
      <c r="AX51" s="8">
        <v>0</v>
      </c>
      <c r="AY51" s="8">
        <v>0</v>
      </c>
      <c r="AZ51" s="8">
        <v>0</v>
      </c>
      <c r="BA51" s="8">
        <v>0</v>
      </c>
      <c r="BB51" s="8">
        <v>0</v>
      </c>
      <c r="BD51">
        <v>8</v>
      </c>
      <c r="BE51" s="8">
        <f t="shared" si="130"/>
        <v>0.82560638954534804</v>
      </c>
      <c r="BF51" s="8">
        <v>0</v>
      </c>
      <c r="BG51" s="8">
        <v>0</v>
      </c>
      <c r="BH51" s="8">
        <v>0</v>
      </c>
      <c r="BI51" s="8">
        <v>0</v>
      </c>
      <c r="BJ51" s="8">
        <v>0</v>
      </c>
      <c r="BK51" s="8">
        <v>0</v>
      </c>
      <c r="BL51" s="8">
        <v>0</v>
      </c>
      <c r="BM51" s="8">
        <v>0</v>
      </c>
      <c r="BN51" s="8">
        <v>0</v>
      </c>
      <c r="BP51">
        <v>8</v>
      </c>
      <c r="BQ51" s="8">
        <f t="shared" si="131"/>
        <v>0.111504471877745</v>
      </c>
      <c r="BR51" s="8">
        <f t="shared" si="131"/>
        <v>-5.1922740973867711E-2</v>
      </c>
      <c r="BS51" s="8">
        <v>0</v>
      </c>
      <c r="BT51" s="8">
        <v>0</v>
      </c>
      <c r="BU51" s="8">
        <v>0</v>
      </c>
      <c r="BV51" s="8">
        <v>0</v>
      </c>
      <c r="BW51" s="8">
        <v>0</v>
      </c>
      <c r="BX51" s="8">
        <v>0</v>
      </c>
      <c r="BY51" s="8">
        <v>0</v>
      </c>
      <c r="BZ51" s="8">
        <v>0</v>
      </c>
      <c r="CB51">
        <v>8</v>
      </c>
      <c r="CC51" s="8">
        <f t="shared" si="132"/>
        <v>-0.14174370301760161</v>
      </c>
      <c r="CD51" s="8">
        <f t="shared" si="132"/>
        <v>5.1763452543950254E-2</v>
      </c>
      <c r="CE51" s="8">
        <v>0</v>
      </c>
      <c r="CF51" s="8">
        <v>0</v>
      </c>
      <c r="CG51" s="8">
        <v>0</v>
      </c>
      <c r="CH51" s="8">
        <v>0</v>
      </c>
      <c r="CI51" s="8">
        <v>0</v>
      </c>
      <c r="CJ51" s="8">
        <v>0</v>
      </c>
      <c r="CK51" s="8">
        <v>0</v>
      </c>
      <c r="CL51" s="8">
        <v>0</v>
      </c>
      <c r="CN51">
        <v>8</v>
      </c>
      <c r="CO51" s="8">
        <f t="shared" ref="CO51:CO52" si="147">AS51*CC51</f>
        <v>0.26944518318637639</v>
      </c>
      <c r="CP51" s="8">
        <f t="shared" si="112"/>
        <v>0</v>
      </c>
      <c r="CQ51" s="8">
        <f t="shared" si="113"/>
        <v>0</v>
      </c>
      <c r="CR51" s="8">
        <f t="shared" si="114"/>
        <v>0</v>
      </c>
      <c r="CS51" s="8">
        <f t="shared" si="115"/>
        <v>0</v>
      </c>
      <c r="CT51" s="8">
        <f t="shared" si="116"/>
        <v>0</v>
      </c>
      <c r="CU51" s="8">
        <f t="shared" si="142"/>
        <v>0</v>
      </c>
      <c r="CV51" s="8">
        <f t="shared" si="140"/>
        <v>0</v>
      </c>
      <c r="CW51" s="8">
        <f t="shared" si="137"/>
        <v>0</v>
      </c>
      <c r="CX51" s="8"/>
      <c r="CZ51">
        <v>8</v>
      </c>
      <c r="DA51" s="8">
        <f t="shared" si="134"/>
        <v>9.2058804445145845E-2</v>
      </c>
      <c r="DB51" s="8">
        <f t="shared" si="120"/>
        <v>0</v>
      </c>
      <c r="DC51" s="8">
        <f t="shared" si="121"/>
        <v>0</v>
      </c>
      <c r="DD51" s="8">
        <f t="shared" si="122"/>
        <v>0</v>
      </c>
      <c r="DE51" s="8">
        <f t="shared" si="123"/>
        <v>0</v>
      </c>
      <c r="DF51" s="8">
        <f t="shared" si="124"/>
        <v>0</v>
      </c>
      <c r="DG51" s="8">
        <f t="shared" si="125"/>
        <v>0</v>
      </c>
      <c r="DH51" s="8">
        <f t="shared" si="126"/>
        <v>0</v>
      </c>
      <c r="DI51" s="8">
        <f t="shared" si="138"/>
        <v>0</v>
      </c>
      <c r="DJ51" s="8">
        <f t="shared" si="128"/>
        <v>0</v>
      </c>
    </row>
    <row r="52" spans="1:114" x14ac:dyDescent="0.25">
      <c r="A52">
        <v>2021</v>
      </c>
      <c r="B52" s="13">
        <f>SUMIFS(Dane!$D$4:$D$2463,Dane!$A$4:$A$2463,'Trójkąty skumulowane'!$A$31,Dane!$H$4:$H$2463,'Trójkąty skumulowane'!$A43,Dane!$I$4:$I$2463,$A52+B$42)</f>
        <v>5299650.8412340274</v>
      </c>
      <c r="C52" s="14">
        <f>$B52*($C$55+$DO$46*($AB$46/$AB$49)*(($N$52/$B$52)-$AB$45))</f>
        <v>7514816.58860307</v>
      </c>
      <c r="D52" s="14">
        <f>$C52*($D$55+$DO$46*($AC$46/$AC$49)*(($O$51/$C$51)-$AC$45))</f>
        <v>8071147.1307449695</v>
      </c>
      <c r="E52" s="14">
        <f t="shared" si="146"/>
        <v>8357974.0826401105</v>
      </c>
      <c r="F52" s="14">
        <f t="shared" si="145"/>
        <v>8539435.3215863165</v>
      </c>
      <c r="G52" s="14">
        <f t="shared" si="144"/>
        <v>8678397.9766853265</v>
      </c>
      <c r="H52" s="14">
        <f t="shared" si="143"/>
        <v>8762265.507087091</v>
      </c>
      <c r="I52" s="14">
        <f t="shared" si="141"/>
        <v>8841280.147256624</v>
      </c>
      <c r="J52" s="14">
        <f t="shared" si="139"/>
        <v>8908389.7464258559</v>
      </c>
      <c r="K52" s="14">
        <f t="shared" si="135"/>
        <v>8993048.9064574018</v>
      </c>
      <c r="L52" s="14">
        <f>K52-B52</f>
        <v>3693398.0652233744</v>
      </c>
      <c r="M52">
        <v>2021</v>
      </c>
      <c r="N52" s="13">
        <f>SUMIFS(Dane!$J$4:$J$2463,Dane!$A$4:$A$2463,'Trójkąty skumulowane'!$A$31,Dane!$H$4:$H$2463,'Trójkąty skumulowane'!$A43,Dane!$I$4:$I$2463,$A52+N$42)</f>
        <v>9011794.3119307272</v>
      </c>
      <c r="O52" s="13">
        <f>SUMIFS(Dane!$J$4:$J$2463,Dane!$A$4:$A$2463,'Trójkąty skumulowane'!$A$31,Dane!$H$4:$H$2463,'Trójkąty skumulowane'!$A43,Dane!$I$4:$I$2463,$A52+O$42)</f>
        <v>0</v>
      </c>
      <c r="P52" s="13">
        <f>SUMIFS(Dane!$J$4:$J$2463,Dane!$A$4:$A$2463,'Trójkąty skumulowane'!$A$31,Dane!$H$4:$H$2463,'Trójkąty skumulowane'!$A43,Dane!$I$4:$I$2463,$A52+P$42)+O52</f>
        <v>0</v>
      </c>
      <c r="Q52" s="13">
        <f>SUMIFS(Dane!$J$4:$J$2463,Dane!$A$4:$A$2463,'Trójkąty skumulowane'!$A$31,Dane!$H$4:$H$2463,'Trójkąty skumulowane'!$A43,Dane!$I$4:$I$2463,$A52+Q$42)+P52</f>
        <v>0</v>
      </c>
      <c r="R52" s="13">
        <f>SUMIFS(Dane!$J$4:$J$2463,Dane!$A$4:$A$2463,'Trójkąty skumulowane'!$A$31,Dane!$H$4:$H$2463,'Trójkąty skumulowane'!$A43,Dane!$I$4:$I$2463,$A52+R$42)+Q52</f>
        <v>0</v>
      </c>
      <c r="S52" s="13">
        <f>SUMIFS(Dane!$J$4:$J$2463,Dane!$A$4:$A$2463,'Trójkąty skumulowane'!$A$31,Dane!$H$4:$H$2463,'Trójkąty skumulowane'!$A43,Dane!$I$4:$I$2463,$A52+S$42)+R52</f>
        <v>0</v>
      </c>
      <c r="T52" s="13">
        <f>SUMIFS(Dane!$J$4:$J$2463,Dane!$A$4:$A$2463,'Trójkąty skumulowane'!$A$31,Dane!$H$4:$H$2463,'Trójkąty skumulowane'!$A43,Dane!$I$4:$I$2463,$A52+T$42)+S52</f>
        <v>0</v>
      </c>
      <c r="U52" s="13">
        <f>SUMIFS(Dane!$J$4:$J$2463,Dane!$A$4:$A$2463,'Trójkąty skumulowane'!$A$31,Dane!$H$4:$H$2463,'Trójkąty skumulowane'!$A43,Dane!$I$4:$I$2463,$A52+U$42)+T52</f>
        <v>0</v>
      </c>
      <c r="V52" s="13">
        <f>SUMIFS(Dane!$J$4:$J$2463,Dane!$A$4:$A$2463,'Trójkąty skumulowane'!$A$31,Dane!$H$4:$H$2463,'Trójkąty skumulowane'!$A43,Dane!$I$4:$I$2463,$A52+V$42)+U52</f>
        <v>0</v>
      </c>
      <c r="W52" s="13">
        <f>SUMIFS(Dane!$J$4:$J$2463,Dane!$A$4:$A$2463,'Trójkąty skumulowane'!$A$31,Dane!$H$4:$H$2463,'Trójkąty skumulowane'!$A43,Dane!$I$4:$I$2463,$A52+W$42)+V52</f>
        <v>0</v>
      </c>
      <c r="X52" s="11"/>
      <c r="AR52">
        <v>9</v>
      </c>
      <c r="AS52" s="60">
        <v>0</v>
      </c>
      <c r="AT52" s="21">
        <v>0</v>
      </c>
      <c r="AU52" s="8">
        <v>0</v>
      </c>
      <c r="AV52" s="8">
        <v>0</v>
      </c>
      <c r="AW52" s="8">
        <v>0</v>
      </c>
      <c r="AX52" s="8">
        <v>0</v>
      </c>
      <c r="AY52" s="8">
        <v>0</v>
      </c>
      <c r="AZ52" s="8">
        <v>0</v>
      </c>
      <c r="BA52" s="8">
        <v>0</v>
      </c>
      <c r="BB52" s="8">
        <v>0</v>
      </c>
      <c r="BD52">
        <v>9</v>
      </c>
      <c r="BE52" s="8">
        <v>0</v>
      </c>
      <c r="BF52" s="8">
        <v>0</v>
      </c>
      <c r="BG52" s="8">
        <v>0</v>
      </c>
      <c r="BH52" s="8">
        <v>0</v>
      </c>
      <c r="BI52" s="8">
        <v>0</v>
      </c>
      <c r="BJ52" s="8">
        <v>0</v>
      </c>
      <c r="BK52" s="8">
        <v>0</v>
      </c>
      <c r="BL52" s="8">
        <v>0</v>
      </c>
      <c r="BM52" s="8">
        <v>0</v>
      </c>
      <c r="BN52" s="8">
        <v>0</v>
      </c>
      <c r="BP52">
        <v>9</v>
      </c>
      <c r="BQ52" s="8">
        <f t="shared" si="131"/>
        <v>2.8298381889900623</v>
      </c>
      <c r="BR52" s="8">
        <v>0</v>
      </c>
      <c r="BS52" s="8">
        <v>0</v>
      </c>
      <c r="BT52" s="8">
        <v>0</v>
      </c>
      <c r="BU52" s="8">
        <v>0</v>
      </c>
      <c r="BV52" s="8">
        <v>0</v>
      </c>
      <c r="BW52" s="8">
        <v>0</v>
      </c>
      <c r="BX52" s="8">
        <v>0</v>
      </c>
      <c r="BY52" s="8">
        <v>0</v>
      </c>
      <c r="BZ52" s="8">
        <v>0</v>
      </c>
      <c r="CB52">
        <v>9</v>
      </c>
      <c r="CC52" s="8">
        <f t="shared" si="132"/>
        <v>-2.6773098768167087</v>
      </c>
      <c r="CD52" s="8">
        <v>0</v>
      </c>
      <c r="CE52" s="8">
        <v>0</v>
      </c>
      <c r="CF52" s="8">
        <v>0</v>
      </c>
      <c r="CG52" s="8">
        <v>0</v>
      </c>
      <c r="CH52" s="8">
        <v>0</v>
      </c>
      <c r="CI52" s="8">
        <v>0</v>
      </c>
      <c r="CJ52" s="8">
        <v>0</v>
      </c>
      <c r="CK52" s="8">
        <v>0</v>
      </c>
      <c r="CL52" s="8">
        <v>0</v>
      </c>
      <c r="CN52">
        <v>9</v>
      </c>
      <c r="CO52" s="8">
        <f t="shared" si="147"/>
        <v>0</v>
      </c>
      <c r="CP52" s="8">
        <f t="shared" si="112"/>
        <v>0</v>
      </c>
      <c r="CQ52" s="8">
        <f t="shared" si="113"/>
        <v>0</v>
      </c>
      <c r="CR52" s="8">
        <f t="shared" si="114"/>
        <v>0</v>
      </c>
      <c r="CS52" s="8">
        <f t="shared" si="115"/>
        <v>0</v>
      </c>
      <c r="CT52" s="8">
        <f t="shared" si="116"/>
        <v>0</v>
      </c>
      <c r="CU52" s="8">
        <f t="shared" si="142"/>
        <v>0</v>
      </c>
      <c r="CV52" s="8">
        <f t="shared" si="140"/>
        <v>0</v>
      </c>
      <c r="CW52" s="8">
        <f t="shared" si="137"/>
        <v>0</v>
      </c>
      <c r="CX52" s="8"/>
      <c r="CZ52">
        <v>9</v>
      </c>
      <c r="DA52" s="8">
        <f t="shared" si="134"/>
        <v>0</v>
      </c>
      <c r="DB52" s="8">
        <f t="shared" si="120"/>
        <v>0</v>
      </c>
      <c r="DC52" s="8">
        <f t="shared" si="121"/>
        <v>0</v>
      </c>
      <c r="DD52" s="8">
        <f t="shared" si="122"/>
        <v>0</v>
      </c>
      <c r="DE52" s="8">
        <f t="shared" si="123"/>
        <v>0</v>
      </c>
      <c r="DF52" s="8">
        <f t="shared" si="124"/>
        <v>0</v>
      </c>
      <c r="DG52" s="8">
        <f t="shared" si="125"/>
        <v>0</v>
      </c>
      <c r="DH52" s="8">
        <f t="shared" si="126"/>
        <v>0</v>
      </c>
      <c r="DI52" s="8">
        <f t="shared" si="138"/>
        <v>0</v>
      </c>
      <c r="DJ52" s="8">
        <f t="shared" si="128"/>
        <v>0</v>
      </c>
    </row>
    <row r="53" spans="1:114" x14ac:dyDescent="0.25">
      <c r="L53" s="69">
        <f>SUM(L43:L52)</f>
        <v>7939427.7201766437</v>
      </c>
    </row>
    <row r="54" spans="1:114" x14ac:dyDescent="0.25">
      <c r="AC54" s="19"/>
      <c r="BS54" s="23" t="s">
        <v>46</v>
      </c>
      <c r="BT54" s="22">
        <f>SUMSQ(BQ43:BZ52)</f>
        <v>45.000000000000014</v>
      </c>
      <c r="CE54" s="23" t="s">
        <v>46</v>
      </c>
      <c r="CF54" s="22">
        <f>SUMSQ(CC43:CL52)</f>
        <v>45.000000000000007</v>
      </c>
      <c r="CQ54" s="23" t="s">
        <v>47</v>
      </c>
      <c r="CR54" s="22">
        <f>SUM(CO43:CW52)</f>
        <v>18.008864119512669</v>
      </c>
      <c r="DC54" s="23" t="s">
        <v>47</v>
      </c>
      <c r="DD54" s="22">
        <f>SUM(DA43:DJ52)</f>
        <v>-10.651254546464783</v>
      </c>
    </row>
    <row r="55" spans="1:114" x14ac:dyDescent="0.25">
      <c r="A55" t="s">
        <v>25</v>
      </c>
      <c r="C55">
        <f>SUM(C43:C51)/SUM(B43:B51)</f>
        <v>1.4538370151276416</v>
      </c>
      <c r="D55">
        <f>SUM(D43:D50)/SUM(C43:C50)</f>
        <v>1.0738503700731286</v>
      </c>
      <c r="E55">
        <f>SUM(E43:E49)/SUM(D43:D49)</f>
        <v>1.0364907195313748</v>
      </c>
      <c r="F55">
        <f>SUM(F43:F48)/SUM(E43:E48)</f>
        <v>1.0235139493552665</v>
      </c>
      <c r="G55">
        <f>SUM(G43:G47)/SUM(F43:F47)</f>
        <v>1.0155511477960275</v>
      </c>
      <c r="H55">
        <f>SUM(H43:H46)/SUM(G43:G46)</f>
        <v>1.0093016313257899</v>
      </c>
      <c r="I55">
        <f>SUM(I43:I45)/SUM(H43:H45)</f>
        <v>1.0081374615625842</v>
      </c>
      <c r="J55">
        <f>SUM(J43:J44)/SUM(I43:I44)</f>
        <v>1.0071027793074627</v>
      </c>
      <c r="K55">
        <f>SUM(K43)/SUM(J43)</f>
        <v>1.0095127449174679</v>
      </c>
      <c r="M55" t="s">
        <v>25</v>
      </c>
      <c r="O55">
        <f>SUM(O43:O51)/SUM(N43:N51)</f>
        <v>1.9392061479267042</v>
      </c>
      <c r="P55">
        <f>SUM(P43:P50)/SUM(O43:O50)</f>
        <v>1.3104868852019274</v>
      </c>
      <c r="Q55">
        <f>SUM(Q43:Q49)/SUM(P43:P49)</f>
        <v>1.1727925507632586</v>
      </c>
      <c r="R55">
        <f>SUM(R43:R48)/SUM(Q43:Q48)</f>
        <v>1.1139346800118421</v>
      </c>
      <c r="S55">
        <f>SUM(S43:S47)/SUM(R43:R47)</f>
        <v>1.0870331412904353</v>
      </c>
      <c r="T55">
        <f>SUM(T43:T46)/SUM(S43:S46)</f>
        <v>1.0765318849946368</v>
      </c>
      <c r="U55">
        <f>SUM(U43:U45)/SUM(T43:T45)</f>
        <v>1.0686941255965894</v>
      </c>
      <c r="V55">
        <f>SUM(V43:V44)/SUM(U43:U44)</f>
        <v>1.0621609728232666</v>
      </c>
      <c r="W55">
        <f>SUM(W43)/SUM(V43)</f>
        <v>1.0601415251503645</v>
      </c>
    </row>
    <row r="56" spans="1:114" x14ac:dyDescent="0.25">
      <c r="A56" t="s">
        <v>26</v>
      </c>
      <c r="B56">
        <f>PRODUCT(C55:K55)</f>
        <v>1.7399902200848458</v>
      </c>
      <c r="C56">
        <f>PRODUCT(D55:K55)</f>
        <v>1.1968261930186728</v>
      </c>
      <c r="D56">
        <f>PRODUCT(E55:K55)</f>
        <v>1.1145185831962503</v>
      </c>
      <c r="E56">
        <f>PRODUCT(F55:K55)</f>
        <v>1.0752808126445685</v>
      </c>
      <c r="F56">
        <f>PRODUCT(G55:K55)</f>
        <v>1.0505775845281944</v>
      </c>
      <c r="G56">
        <f>PRODUCT(H55:K55)</f>
        <v>1.0344900764557081</v>
      </c>
      <c r="H56">
        <f>PRODUCT(I55:K55)</f>
        <v>1.0249563107282718</v>
      </c>
      <c r="I56">
        <f>PRODUCT(J55:K55)</f>
        <v>1.0166830911526876</v>
      </c>
      <c r="J56">
        <f>PRODUCT(K55)</f>
        <v>1.0095127449174679</v>
      </c>
      <c r="K56">
        <v>1</v>
      </c>
      <c r="M56" t="s">
        <v>26</v>
      </c>
      <c r="N56">
        <f>PRODUCT(O55:W55)</f>
        <v>4.6753580166557516</v>
      </c>
      <c r="O56">
        <f>PRODUCT(P55:W55)</f>
        <v>2.4109649310128249</v>
      </c>
      <c r="P56">
        <f>PRODUCT(Q55:W55)</f>
        <v>1.8397474696141878</v>
      </c>
      <c r="Q56">
        <f>PRODUCT(R55:W55)</f>
        <v>1.568689593412639</v>
      </c>
      <c r="R56">
        <f>PRODUCT(S55:W55)</f>
        <v>1.4082419926058518</v>
      </c>
      <c r="S56">
        <f>PRODUCT(T55:W55)</f>
        <v>1.2954913140312396</v>
      </c>
      <c r="T56">
        <f>PRODUCT(U55:W55)</f>
        <v>1.2033933523833282</v>
      </c>
      <c r="U56">
        <f>PRODUCT(V55:W55)</f>
        <v>1.1260409536840528</v>
      </c>
      <c r="V56">
        <f>PRODUCT(W55)</f>
        <v>1.0601415251503645</v>
      </c>
      <c r="W56">
        <v>1</v>
      </c>
    </row>
  </sheetData>
  <mergeCells count="17">
    <mergeCell ref="AK47:AM47"/>
    <mergeCell ref="N20:X20"/>
    <mergeCell ref="N40:X40"/>
    <mergeCell ref="B20:L20"/>
    <mergeCell ref="B40:L40"/>
    <mergeCell ref="AA22:AC22"/>
    <mergeCell ref="AK26:AM26"/>
    <mergeCell ref="AK27:AM27"/>
    <mergeCell ref="AA42:AC42"/>
    <mergeCell ref="AK46:AM46"/>
    <mergeCell ref="AK8:AM8"/>
    <mergeCell ref="AO2:AQ2"/>
    <mergeCell ref="DQ2:DS2"/>
    <mergeCell ref="B1:L1"/>
    <mergeCell ref="N1:X1"/>
    <mergeCell ref="AA3:AC3"/>
    <mergeCell ref="AK7:AM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702E0-ED95-413F-AE6D-4BC8834D401E}">
  <sheetPr codeName="Arkusz9"/>
  <dimension ref="A1:AG55"/>
  <sheetViews>
    <sheetView topLeftCell="M19" zoomScale="66" zoomScaleNormal="85" workbookViewId="0">
      <selection activeCell="M19" sqref="M19"/>
    </sheetView>
  </sheetViews>
  <sheetFormatPr defaultRowHeight="15" x14ac:dyDescent="0.25"/>
  <cols>
    <col min="1" max="1" width="26.140625" bestFit="1" customWidth="1"/>
    <col min="2" max="11" width="11.5703125" bestFit="1" customWidth="1"/>
    <col min="13" max="13" width="26.140625" bestFit="1" customWidth="1"/>
    <col min="14" max="14" width="29.28515625" bestFit="1" customWidth="1"/>
    <col min="15" max="22" width="11.5703125" bestFit="1" customWidth="1"/>
    <col min="23" max="23" width="12.7109375" bestFit="1" customWidth="1"/>
    <col min="24" max="24" width="16.28515625" bestFit="1" customWidth="1"/>
    <col min="25" max="25" width="12.140625" customWidth="1"/>
  </cols>
  <sheetData>
    <row r="1" spans="1:33" x14ac:dyDescent="0.25">
      <c r="A1" s="3" t="s">
        <v>17</v>
      </c>
      <c r="M1" s="3" t="s">
        <v>17</v>
      </c>
      <c r="AA1" s="4" t="s">
        <v>20</v>
      </c>
    </row>
    <row r="2" spans="1:33" x14ac:dyDescent="0.25">
      <c r="B2" t="s">
        <v>21</v>
      </c>
      <c r="N2" t="s">
        <v>21</v>
      </c>
    </row>
    <row r="3" spans="1:33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 t="s">
        <v>24</v>
      </c>
      <c r="M3" t="s">
        <v>22</v>
      </c>
      <c r="N3">
        <v>0</v>
      </c>
      <c r="O3">
        <v>1</v>
      </c>
      <c r="P3">
        <v>2</v>
      </c>
      <c r="Q3">
        <v>3</v>
      </c>
      <c r="R3">
        <v>4</v>
      </c>
      <c r="S3">
        <v>5</v>
      </c>
      <c r="T3">
        <v>6</v>
      </c>
      <c r="U3">
        <v>7</v>
      </c>
      <c r="V3">
        <v>8</v>
      </c>
      <c r="W3">
        <v>9</v>
      </c>
      <c r="X3" t="s">
        <v>24</v>
      </c>
    </row>
    <row r="4" spans="1:33" x14ac:dyDescent="0.25">
      <c r="A4">
        <v>2012</v>
      </c>
      <c r="B4" s="66">
        <f>SUMIFS(Dane!$D$4:$D$2463,Dane!$A$4:$A$2463,'Trójkąty skumulowane'!$A$1,Dane!$H$4:$H$2463,'Trójkąty skumulowane'!$A4,Dane!$I$4:$I$2463,$A4+B$3)</f>
        <v>1088980.6210946122</v>
      </c>
      <c r="C4" s="66">
        <f>SUMIFS(Dane!$D$4:$D$2463,Dane!$A$4:$A$2463,'Trójkąty skumulowane'!$A$1,Dane!$H$4:$H$2463,'Trójkąty skumulowane'!$A4,Dane!$I$4:$I$2463,$A4+C$3)+B4</f>
        <v>2131667.1827891804</v>
      </c>
      <c r="D4" s="66">
        <f>SUMIFS(Dane!$D$4:$D$2463,Dane!$A$4:$A$2463,'Trójkąty skumulowane'!$A$1,Dane!$H$4:$H$2463,'Trójkąty skumulowane'!$A4,Dane!$I$4:$I$2463,$A4+D$3)+C4</f>
        <v>2574995.4197594547</v>
      </c>
      <c r="E4" s="66">
        <f>SUMIFS(Dane!$D$4:$D$2463,Dane!$A$4:$A$2463,'Trójkąty skumulowane'!$A$1,Dane!$H$4:$H$2463,'Trójkąty skumulowane'!$A4,Dane!$I$4:$I$2463,$A4+E$3)+D4</f>
        <v>2879586.2460659551</v>
      </c>
      <c r="F4" s="66">
        <f>SUMIFS(Dane!$D$4:$D$2463,Dane!$A$4:$A$2463,'Trójkąty skumulowane'!$A$1,Dane!$H$4:$H$2463,'Trójkąty skumulowane'!$A4,Dane!$I$4:$I$2463,$A4+F$3)+E4</f>
        <v>3145556.0155862393</v>
      </c>
      <c r="G4" s="66">
        <f>SUMIFS(Dane!$D$4:$D$2463,Dane!$A$4:$A$2463,'Trójkąty skumulowane'!$A$1,Dane!$H$4:$H$2463,'Trójkąty skumulowane'!$A4,Dane!$I$4:$I$2463,$A4+G$3)+F4</f>
        <v>3510642.3092168202</v>
      </c>
      <c r="H4" s="66">
        <f>SUMIFS(Dane!$D$4:$D$2463,Dane!$A$4:$A$2463,'Trójkąty skumulowane'!$A$1,Dane!$H$4:$H$2463,'Trójkąty skumulowane'!$A4,Dane!$I$4:$I$2463,$A4+H$3)+G4</f>
        <v>3735083.5657222392</v>
      </c>
      <c r="I4" s="66">
        <f>SUMIFS(Dane!$D$4:$D$2463,Dane!$A$4:$A$2463,'Trójkąty skumulowane'!$A$1,Dane!$H$4:$H$2463,'Trójkąty skumulowane'!$A4,Dane!$I$4:$I$2463,$A4+I$3)+H4</f>
        <v>3851623.8752911706</v>
      </c>
      <c r="J4" s="66">
        <f>SUMIFS(Dane!$D$4:$D$2463,Dane!$A$4:$A$2463,'Trójkąty skumulowane'!$A$1,Dane!$H$4:$H$2463,'Trójkąty skumulowane'!$A4,Dane!$I$4:$I$2463,$A4+J$3)+I4</f>
        <v>3919451.366290886</v>
      </c>
      <c r="K4" s="66">
        <f>SUMIFS(Dane!$D$4:$D$2463,Dane!$A$4:$A$2463,'Trójkąty skumulowane'!$A$1,Dane!$H$4:$H$2463,'Trójkąty skumulowane'!$A4,Dane!$I$4:$I$2463,$A4+K$3)+J4</f>
        <v>4047893.3726979974</v>
      </c>
      <c r="L4" s="14"/>
      <c r="M4">
        <v>2012</v>
      </c>
      <c r="N4" s="66">
        <v>1088980.6210946122</v>
      </c>
      <c r="O4" s="66">
        <v>2131667.1827891804</v>
      </c>
      <c r="P4" s="66">
        <v>2574995.4197594547</v>
      </c>
      <c r="Q4" s="66">
        <v>2879586.2460659551</v>
      </c>
      <c r="R4" s="66">
        <v>3145556.0155862393</v>
      </c>
      <c r="S4" s="66">
        <v>3510642.3092168202</v>
      </c>
      <c r="T4" s="66">
        <v>3735083.5657222392</v>
      </c>
      <c r="U4" s="66">
        <v>3851623.8752911706</v>
      </c>
      <c r="V4" s="66">
        <v>3919451.366290886</v>
      </c>
      <c r="W4" s="66">
        <v>4047893.3726979974</v>
      </c>
      <c r="X4" s="14">
        <v>0</v>
      </c>
    </row>
    <row r="5" spans="1:33" x14ac:dyDescent="0.25">
      <c r="A5">
        <v>2013</v>
      </c>
      <c r="B5" s="66">
        <f>SUMIFS(Dane!$D$4:$D$2463,Dane!$A$4:$A$2463,'Trójkąty skumulowane'!$A$1,Dane!$H$4:$H$2463,'Trójkąty skumulowane'!$A5,Dane!$I$4:$I$2463,$A5+B$3)</f>
        <v>1306152.7922672718</v>
      </c>
      <c r="C5" s="66">
        <f>SUMIFS(Dane!$D$4:$D$2463,Dane!$A$4:$A$2463,'Trójkąty skumulowane'!$A$1,Dane!$H$4:$H$2463,'Trójkąty skumulowane'!$A5,Dane!$I$4:$I$2463,$A5+C$3)+B5</f>
        <v>2423098.0772959162</v>
      </c>
      <c r="D5" s="66">
        <f>SUMIFS(Dane!$D$4:$D$2463,Dane!$A$4:$A$2463,'Trójkąty skumulowane'!$A$1,Dane!$H$4:$H$2463,'Trójkąty skumulowane'!$A5,Dane!$I$4:$I$2463,$A5+D$3)+C5</f>
        <v>3075018.113358567</v>
      </c>
      <c r="E5" s="66">
        <f>SUMIFS(Dane!$D$4:$D$2463,Dane!$A$4:$A$2463,'Trójkąty skumulowane'!$A$1,Dane!$H$4:$H$2463,'Trójkąty skumulowane'!$A5,Dane!$I$4:$I$2463,$A5+E$3)+D5</f>
        <v>3476624.6799267773</v>
      </c>
      <c r="F5" s="66">
        <f>SUMIFS(Dane!$D$4:$D$2463,Dane!$A$4:$A$2463,'Trójkąty skumulowane'!$A$1,Dane!$H$4:$H$2463,'Trójkąty skumulowane'!$A5,Dane!$I$4:$I$2463,$A5+F$3)+E5</f>
        <v>3794890.9619714259</v>
      </c>
      <c r="G5" s="66">
        <f>SUMIFS(Dane!$D$4:$D$2463,Dane!$A$4:$A$2463,'Trójkąty skumulowane'!$A$1,Dane!$H$4:$H$2463,'Trójkąty skumulowane'!$A5,Dane!$I$4:$I$2463,$A5+G$3)+F5</f>
        <v>4284126.0679999879</v>
      </c>
      <c r="H5" s="66">
        <f>SUMIFS(Dane!$D$4:$D$2463,Dane!$A$4:$A$2463,'Trójkąty skumulowane'!$A$1,Dane!$H$4:$H$2463,'Trójkąty skumulowane'!$A5,Dane!$I$4:$I$2463,$A5+H$3)+G5</f>
        <v>4512725.01252825</v>
      </c>
      <c r="I5" s="66">
        <f>SUMIFS(Dane!$D$4:$D$2463,Dane!$A$4:$A$2463,'Trójkąty skumulowane'!$A$1,Dane!$H$4:$H$2463,'Trójkąty skumulowane'!$A5,Dane!$I$4:$I$2463,$A5+I$3)+H5</f>
        <v>4876312.2751422348</v>
      </c>
      <c r="J5" s="66">
        <f>SUMIFS(Dane!$D$4:$D$2463,Dane!$A$4:$A$2463,'Trójkąty skumulowane'!$A$1,Dane!$H$4:$H$2463,'Trójkąty skumulowane'!$A5,Dane!$I$4:$I$2463,$A5+J$3)+I5</f>
        <v>5197779.4737660503</v>
      </c>
      <c r="K5" s="68">
        <f>SUMIFS(Dane!$D$4:$D$2463,Dane!$A$4:$A$2463,'Trójkąty skumulowane'!$A$1,Dane!$H$4:$H$2463,'Trójkąty skumulowane'!$A5,Dane!$I$4:$I$2463,$A5+K$3)</f>
        <v>0</v>
      </c>
      <c r="L5" s="14"/>
      <c r="M5">
        <v>2013</v>
      </c>
      <c r="N5" s="66">
        <v>1306152.7922672718</v>
      </c>
      <c r="O5" s="66">
        <v>2423098.0772959162</v>
      </c>
      <c r="P5" s="66">
        <v>3075018.113358567</v>
      </c>
      <c r="Q5" s="66">
        <v>3476624.6799267773</v>
      </c>
      <c r="R5" s="66">
        <v>3794890.9619714259</v>
      </c>
      <c r="S5" s="66">
        <v>4284126.0679999879</v>
      </c>
      <c r="T5" s="66">
        <v>4512725.01252825</v>
      </c>
      <c r="U5" s="66">
        <v>4876312.2751422348</v>
      </c>
      <c r="V5" s="66">
        <v>5197779.4737660503</v>
      </c>
      <c r="W5" s="68">
        <f>(1-V17)*$AB$7*5*N5+V5</f>
        <v>5353198.1723333625</v>
      </c>
      <c r="X5" s="14">
        <f>(1-V17)*$AB$7*5*N5</f>
        <v>155418.69856731233</v>
      </c>
      <c r="Z5" s="74" t="s">
        <v>48</v>
      </c>
      <c r="AA5" s="74"/>
      <c r="AB5" s="74"/>
      <c r="AC5" s="74"/>
      <c r="AD5" s="74"/>
      <c r="AE5" s="74"/>
      <c r="AF5" s="74"/>
      <c r="AG5" s="74"/>
    </row>
    <row r="6" spans="1:33" x14ac:dyDescent="0.25">
      <c r="A6">
        <v>2014</v>
      </c>
      <c r="B6" s="66">
        <f>SUMIFS(Dane!$D$4:$D$2463,Dane!$A$4:$A$2463,'Trójkąty skumulowane'!$A$1,Dane!$H$4:$H$2463,'Trójkąty skumulowane'!$A6,Dane!$I$4:$I$2463,$A6+B$3)</f>
        <v>1249812.5880425794</v>
      </c>
      <c r="C6" s="66">
        <f>SUMIFS(Dane!$D$4:$D$2463,Dane!$A$4:$A$2463,'Trójkąty skumulowane'!$A$1,Dane!$H$4:$H$2463,'Trójkąty skumulowane'!$A6,Dane!$I$4:$I$2463,$A6+C$3)+B6</f>
        <v>2496387.4909922341</v>
      </c>
      <c r="D6" s="66">
        <f>SUMIFS(Dane!$D$4:$D$2463,Dane!$A$4:$A$2463,'Trójkąty skumulowane'!$A$1,Dane!$H$4:$H$2463,'Trójkąty skumulowane'!$A6,Dane!$I$4:$I$2463,$A6+D$3)+C6</f>
        <v>3107175.4555642856</v>
      </c>
      <c r="E6" s="66">
        <f>SUMIFS(Dane!$D$4:$D$2463,Dane!$A$4:$A$2463,'Trójkąty skumulowane'!$A$1,Dane!$H$4:$H$2463,'Trójkąty skumulowane'!$A6,Dane!$I$4:$I$2463,$A6+E$3)+D6</f>
        <v>3687301.6275404561</v>
      </c>
      <c r="F6" s="66">
        <f>SUMIFS(Dane!$D$4:$D$2463,Dane!$A$4:$A$2463,'Trójkąty skumulowane'!$A$1,Dane!$H$4:$H$2463,'Trójkąty skumulowane'!$A6,Dane!$I$4:$I$2463,$A6+F$3)+E6</f>
        <v>4140844.1681218585</v>
      </c>
      <c r="G6" s="66">
        <f>SUMIFS(Dane!$D$4:$D$2463,Dane!$A$4:$A$2463,'Trójkąty skumulowane'!$A$1,Dane!$H$4:$H$2463,'Trójkąty skumulowane'!$A6,Dane!$I$4:$I$2463,$A6+G$3)+F6</f>
        <v>4360722.1576600038</v>
      </c>
      <c r="H6" s="66">
        <f>SUMIFS(Dane!$D$4:$D$2463,Dane!$A$4:$A$2463,'Trójkąty skumulowane'!$A$1,Dane!$H$4:$H$2463,'Trójkąty skumulowane'!$A6,Dane!$I$4:$I$2463,$A6+H$3)+G6</f>
        <v>4533709.2103520939</v>
      </c>
      <c r="I6" s="66">
        <f>SUMIFS(Dane!$D$4:$D$2463,Dane!$A$4:$A$2463,'Trójkąty skumulowane'!$A$1,Dane!$H$4:$H$2463,'Trójkąty skumulowane'!$A6,Dane!$I$4:$I$2463,$A6+I$3)+H6</f>
        <v>4808102.5173431104</v>
      </c>
      <c r="J6" s="67">
        <f>SUMIFS(Dane!$D$4:$D$2463,Dane!$A$4:$A$2463,'Trójkąty skumulowane'!$A$1,Dane!$H$4:$H$2463,'Trójkąty skumulowane'!$A6,Dane!$I$4:$I$2463,$A6+J$3)</f>
        <v>0</v>
      </c>
      <c r="K6" s="68">
        <f>SUMIFS(Dane!$D$4:$D$2463,Dane!$A$4:$A$2463,'Trójkąty skumulowane'!$A$1,Dane!$H$4:$H$2463,'Trójkąty skumulowane'!$A6,Dane!$I$4:$I$2463,$A6+K$3)</f>
        <v>0</v>
      </c>
      <c r="L6" s="14"/>
      <c r="M6">
        <v>2014</v>
      </c>
      <c r="N6" s="66">
        <v>1249812.5880425794</v>
      </c>
      <c r="O6" s="66">
        <v>2496387.4909922341</v>
      </c>
      <c r="P6" s="66">
        <v>3107175.4555642856</v>
      </c>
      <c r="Q6" s="66">
        <v>3687301.6275404561</v>
      </c>
      <c r="R6" s="66">
        <v>4140844.1681218585</v>
      </c>
      <c r="S6" s="66">
        <v>4360722.1576600038</v>
      </c>
      <c r="T6" s="66">
        <v>4533709.2103520939</v>
      </c>
      <c r="U6" s="66">
        <v>4808102.5173431104</v>
      </c>
      <c r="V6" s="67">
        <v>0</v>
      </c>
      <c r="W6" s="68">
        <f>(1-U17)*$AB$8*5*N6+U6</f>
        <v>5150587.9233980011</v>
      </c>
      <c r="X6" s="14">
        <f>(1-U17)*$AB$7*5*N6</f>
        <v>342485.40605489106</v>
      </c>
      <c r="AA6" t="s">
        <v>49</v>
      </c>
      <c r="AB6" t="s">
        <v>50</v>
      </c>
    </row>
    <row r="7" spans="1:33" x14ac:dyDescent="0.25">
      <c r="A7">
        <v>2015</v>
      </c>
      <c r="B7" s="66">
        <f>SUMIFS(Dane!$D$4:$D$2463,Dane!$A$4:$A$2463,'Trójkąty skumulowane'!$A$1,Dane!$H$4:$H$2463,'Trójkąty skumulowane'!$A7,Dane!$I$4:$I$2463,$A7+B$3)</f>
        <v>1189810.0064459562</v>
      </c>
      <c r="C7" s="66">
        <f>SUMIFS(Dane!$D$4:$D$2463,Dane!$A$4:$A$2463,'Trójkąty skumulowane'!$A$1,Dane!$H$4:$H$2463,'Trójkąty skumulowane'!$A7,Dane!$I$4:$I$2463,$A7+C$3)+B7</f>
        <v>2530869.5952481655</v>
      </c>
      <c r="D7" s="66">
        <f>SUMIFS(Dane!$D$4:$D$2463,Dane!$A$4:$A$2463,'Trójkąty skumulowane'!$A$1,Dane!$H$4:$H$2463,'Trójkąty skumulowane'!$A7,Dane!$I$4:$I$2463,$A7+D$3)+C7</f>
        <v>3096984.4536133888</v>
      </c>
      <c r="E7" s="66">
        <f>SUMIFS(Dane!$D$4:$D$2463,Dane!$A$4:$A$2463,'Trójkąty skumulowane'!$A$1,Dane!$H$4:$H$2463,'Trójkąty skumulowane'!$A7,Dane!$I$4:$I$2463,$A7+E$3)+D7</f>
        <v>3877846.3341324432</v>
      </c>
      <c r="F7" s="66">
        <f>SUMIFS(Dane!$D$4:$D$2463,Dane!$A$4:$A$2463,'Trójkąty skumulowane'!$A$1,Dane!$H$4:$H$2463,'Trójkąty skumulowane'!$A7,Dane!$I$4:$I$2463,$A7+F$3)+E7</f>
        <v>4804008.5771144684</v>
      </c>
      <c r="G7" s="66">
        <f>SUMIFS(Dane!$D$4:$D$2463,Dane!$A$4:$A$2463,'Trójkąty skumulowane'!$A$1,Dane!$H$4:$H$2463,'Trójkąty skumulowane'!$A7,Dane!$I$4:$I$2463,$A7+G$3)+F7</f>
        <v>5254496.0051183002</v>
      </c>
      <c r="H7" s="66">
        <f>SUMIFS(Dane!$D$4:$D$2463,Dane!$A$4:$A$2463,'Trójkąty skumulowane'!$A$1,Dane!$H$4:$H$2463,'Trójkąty skumulowane'!$A7,Dane!$I$4:$I$2463,$A7+H$3)+G7</f>
        <v>5569311.1871171584</v>
      </c>
      <c r="I7" s="67">
        <f>SUMIFS(Dane!$D$4:$D$2463,Dane!$A$4:$A$2463,'Trójkąty skumulowane'!$A$1,Dane!$H$4:$H$2463,'Trójkąty skumulowane'!$A7,Dane!$I$4:$I$2463,$A7+I$3)</f>
        <v>0</v>
      </c>
      <c r="J7" s="67">
        <f>SUMIFS(Dane!$D$4:$D$2463,Dane!$A$4:$A$2463,'Trójkąty skumulowane'!$A$1,Dane!$H$4:$H$2463,'Trójkąty skumulowane'!$A7,Dane!$I$4:$I$2463,$A7+J$3)</f>
        <v>0</v>
      </c>
      <c r="K7" s="68">
        <f>SUMIFS(Dane!$D$4:$D$2463,Dane!$A$4:$A$2463,'Trójkąty skumulowane'!$A$1,Dane!$H$4:$H$2463,'Trójkąty skumulowane'!$A7,Dane!$I$4:$I$2463,$A7+K$3)</f>
        <v>0</v>
      </c>
      <c r="L7" s="14"/>
      <c r="M7">
        <v>2015</v>
      </c>
      <c r="N7" s="66">
        <v>1189810.0064459562</v>
      </c>
      <c r="O7" s="66">
        <v>2530869.5952481655</v>
      </c>
      <c r="P7" s="66">
        <v>3096984.4536133888</v>
      </c>
      <c r="Q7" s="66">
        <v>3877846.3341324432</v>
      </c>
      <c r="R7" s="66">
        <v>4804008.5771144684</v>
      </c>
      <c r="S7" s="66">
        <v>5254496.0051183002</v>
      </c>
      <c r="T7" s="66">
        <v>5569311.1871171584</v>
      </c>
      <c r="U7" s="67">
        <v>0</v>
      </c>
      <c r="V7" s="67">
        <v>0</v>
      </c>
      <c r="W7" s="68">
        <f>(1-T17)*$AB$9*5*N7+T7</f>
        <v>6125887.2719978467</v>
      </c>
      <c r="X7" s="14">
        <f>(1-T17)*$AB$7*5*N7</f>
        <v>556576.08488068776</v>
      </c>
      <c r="AA7">
        <v>1</v>
      </c>
      <c r="AB7">
        <v>0.75</v>
      </c>
    </row>
    <row r="8" spans="1:33" x14ac:dyDescent="0.25">
      <c r="A8">
        <v>2016</v>
      </c>
      <c r="B8" s="66">
        <f>SUMIFS(Dane!$D$4:$D$2463,Dane!$A$4:$A$2463,'Trójkąty skumulowane'!$A$1,Dane!$H$4:$H$2463,'Trójkąty skumulowane'!$A8,Dane!$I$4:$I$2463,$A8+B$3)</f>
        <v>1306513.6047854258</v>
      </c>
      <c r="C8" s="66">
        <f>SUMIFS(Dane!$D$4:$D$2463,Dane!$A$4:$A$2463,'Trójkąty skumulowane'!$A$1,Dane!$H$4:$H$2463,'Trójkąty skumulowane'!$A8,Dane!$I$4:$I$2463,$A8+C$3)+B8</f>
        <v>2773697.3594055078</v>
      </c>
      <c r="D8" s="66">
        <f>SUMIFS(Dane!$D$4:$D$2463,Dane!$A$4:$A$2463,'Trójkąty skumulowane'!$A$1,Dane!$H$4:$H$2463,'Trójkąty skumulowane'!$A8,Dane!$I$4:$I$2463,$A8+D$3)+C8</f>
        <v>3527548.34662739</v>
      </c>
      <c r="E8" s="66">
        <f>SUMIFS(Dane!$D$4:$D$2463,Dane!$A$4:$A$2463,'Trójkąty skumulowane'!$A$1,Dane!$H$4:$H$2463,'Trójkąty skumulowane'!$A8,Dane!$I$4:$I$2463,$A8+E$3)+D8</f>
        <v>4125343.1103807935</v>
      </c>
      <c r="F8" s="66">
        <f>SUMIFS(Dane!$D$4:$D$2463,Dane!$A$4:$A$2463,'Trójkąty skumulowane'!$A$1,Dane!$H$4:$H$2463,'Trójkąty skumulowane'!$A8,Dane!$I$4:$I$2463,$A8+F$3)+E8</f>
        <v>4521858.2407059222</v>
      </c>
      <c r="G8" s="66">
        <f>SUMIFS(Dane!$D$4:$D$2463,Dane!$A$4:$A$2463,'Trójkąty skumulowane'!$A$1,Dane!$H$4:$H$2463,'Trójkąty skumulowane'!$A8,Dane!$I$4:$I$2463,$A8+G$3)+F8</f>
        <v>4942201.9018943151</v>
      </c>
      <c r="H8" s="67">
        <f>SUMIFS(Dane!$D$4:$D$2463,Dane!$A$4:$A$2463,'Trójkąty skumulowane'!$A$1,Dane!$H$4:$H$2463,'Trójkąty skumulowane'!$A8,Dane!$I$4:$I$2463,$A8+H$3)</f>
        <v>0</v>
      </c>
      <c r="I8" s="67">
        <f>SUMIFS(Dane!$D$4:$D$2463,Dane!$A$4:$A$2463,'Trójkąty skumulowane'!$A$1,Dane!$H$4:$H$2463,'Trójkąty skumulowane'!$A8,Dane!$I$4:$I$2463,$A8+I$3)</f>
        <v>0</v>
      </c>
      <c r="J8" s="67">
        <f>SUMIFS(Dane!$D$4:$D$2463,Dane!$A$4:$A$2463,'Trójkąty skumulowane'!$A$1,Dane!$H$4:$H$2463,'Trójkąty skumulowane'!$A8,Dane!$I$4:$I$2463,$A8+J$3)</f>
        <v>0</v>
      </c>
      <c r="K8" s="68">
        <f>SUMIFS(Dane!$D$4:$D$2463,Dane!$A$4:$A$2463,'Trójkąty skumulowane'!$A$1,Dane!$H$4:$H$2463,'Trójkąty skumulowane'!$A8,Dane!$I$4:$I$2463,$A8+K$3)</f>
        <v>0</v>
      </c>
      <c r="L8" s="14"/>
      <c r="M8">
        <v>2016</v>
      </c>
      <c r="N8" s="66">
        <v>1306513.6047854258</v>
      </c>
      <c r="O8" s="66">
        <v>2773697.3594055078</v>
      </c>
      <c r="P8" s="66">
        <v>3527548.34662739</v>
      </c>
      <c r="Q8" s="66">
        <v>4125343.1103807935</v>
      </c>
      <c r="R8" s="66">
        <v>4521858.2407059222</v>
      </c>
      <c r="S8" s="66">
        <v>4942201.9018943151</v>
      </c>
      <c r="T8" s="67">
        <v>0</v>
      </c>
      <c r="U8" s="67">
        <v>0</v>
      </c>
      <c r="V8" s="67">
        <v>0</v>
      </c>
      <c r="W8" s="68">
        <f>(1-S17)*$AB$10*5*N8+S8</f>
        <v>5773228.1623816676</v>
      </c>
      <c r="X8" s="14">
        <f>(1-S17)*$AB$7*5*N8</f>
        <v>831026.26048735227</v>
      </c>
      <c r="AA8">
        <v>2</v>
      </c>
      <c r="AB8">
        <v>0.75</v>
      </c>
    </row>
    <row r="9" spans="1:33" x14ac:dyDescent="0.25">
      <c r="A9">
        <v>2017</v>
      </c>
      <c r="B9" s="66">
        <f>SUMIFS(Dane!$D$4:$D$2463,Dane!$A$4:$A$2463,'Trójkąty skumulowane'!$A$1,Dane!$H$4:$H$2463,'Trójkąty skumulowane'!$A9,Dane!$I$4:$I$2463,$A9+B$3)</f>
        <v>1300441.1763369546</v>
      </c>
      <c r="C9" s="66">
        <f>SUMIFS(Dane!$D$4:$D$2463,Dane!$A$4:$A$2463,'Trójkąty skumulowane'!$A$1,Dane!$H$4:$H$2463,'Trójkąty skumulowane'!$A9,Dane!$I$4:$I$2463,$A9+C$3)+B9</f>
        <v>2920987.7803644901</v>
      </c>
      <c r="D9" s="66">
        <f>SUMIFS(Dane!$D$4:$D$2463,Dane!$A$4:$A$2463,'Trójkąty skumulowane'!$A$1,Dane!$H$4:$H$2463,'Trójkąty skumulowane'!$A9,Dane!$I$4:$I$2463,$A9+D$3)+C9</f>
        <v>3700349.6056891792</v>
      </c>
      <c r="E9" s="66">
        <f>SUMIFS(Dane!$D$4:$D$2463,Dane!$A$4:$A$2463,'Trójkąty skumulowane'!$A$1,Dane!$H$4:$H$2463,'Trójkąty skumulowane'!$A9,Dane!$I$4:$I$2463,$A9+E$3)+D9</f>
        <v>4442914.2707381379</v>
      </c>
      <c r="F9" s="66">
        <f>SUMIFS(Dane!$D$4:$D$2463,Dane!$A$4:$A$2463,'Trójkąty skumulowane'!$A$1,Dane!$H$4:$H$2463,'Trójkąty skumulowane'!$A9,Dane!$I$4:$I$2463,$A9+F$3)+E9</f>
        <v>4813322.7351754596</v>
      </c>
      <c r="G9" s="67">
        <f>SUMIFS(Dane!$D$4:$D$2463,Dane!$A$4:$A$2463,'Trójkąty skumulowane'!$A$1,Dane!$H$4:$H$2463,'Trójkąty skumulowane'!$A9,Dane!$I$4:$I$2463,$A9+G$3)</f>
        <v>0</v>
      </c>
      <c r="H9" s="67">
        <f>SUMIFS(Dane!$D$4:$D$2463,Dane!$A$4:$A$2463,'Trójkąty skumulowane'!$A$1,Dane!$H$4:$H$2463,'Trójkąty skumulowane'!$A9,Dane!$I$4:$I$2463,$A9+H$3)</f>
        <v>0</v>
      </c>
      <c r="I9" s="67">
        <f>SUMIFS(Dane!$D$4:$D$2463,Dane!$A$4:$A$2463,'Trójkąty skumulowane'!$A$1,Dane!$H$4:$H$2463,'Trójkąty skumulowane'!$A9,Dane!$I$4:$I$2463,$A9+I$3)</f>
        <v>0</v>
      </c>
      <c r="J9" s="67">
        <f>SUMIFS(Dane!$D$4:$D$2463,Dane!$A$4:$A$2463,'Trójkąty skumulowane'!$A$1,Dane!$H$4:$H$2463,'Trójkąty skumulowane'!$A9,Dane!$I$4:$I$2463,$A9+J$3)</f>
        <v>0</v>
      </c>
      <c r="K9" s="68">
        <f>SUMIFS(Dane!$D$4:$D$2463,Dane!$A$4:$A$2463,'Trójkąty skumulowane'!$A$1,Dane!$H$4:$H$2463,'Trójkąty skumulowane'!$A9,Dane!$I$4:$I$2463,$A9+K$3)</f>
        <v>0</v>
      </c>
      <c r="L9" s="14"/>
      <c r="M9">
        <v>2017</v>
      </c>
      <c r="N9" s="66">
        <v>1300441.1763369546</v>
      </c>
      <c r="O9" s="66">
        <v>2920987.7803644901</v>
      </c>
      <c r="P9" s="66">
        <v>3700349.6056891792</v>
      </c>
      <c r="Q9" s="66">
        <v>4442914.2707381379</v>
      </c>
      <c r="R9" s="66">
        <v>4813322.7351754596</v>
      </c>
      <c r="S9" s="67">
        <v>0</v>
      </c>
      <c r="T9" s="67">
        <v>0</v>
      </c>
      <c r="U9" s="67">
        <v>0</v>
      </c>
      <c r="V9" s="67">
        <v>0</v>
      </c>
      <c r="W9" s="68">
        <f>(1-R17)*$AB$11*5*N9+R9</f>
        <v>5992862.8956541261</v>
      </c>
      <c r="X9" s="14">
        <f>(1-R17)*$AB$7*5*N9</f>
        <v>1179540.1604786662</v>
      </c>
      <c r="AA9">
        <v>3</v>
      </c>
      <c r="AB9">
        <v>0.75</v>
      </c>
    </row>
    <row r="10" spans="1:33" x14ac:dyDescent="0.25">
      <c r="A10">
        <v>2018</v>
      </c>
      <c r="B10" s="66">
        <f>SUMIFS(Dane!$D$4:$D$2463,Dane!$A$4:$A$2463,'Trójkąty skumulowane'!$A$1,Dane!$H$4:$H$2463,'Trójkąty skumulowane'!$A10,Dane!$I$4:$I$2463,$A10+B$3)</f>
        <v>1397368.0926729222</v>
      </c>
      <c r="C10" s="66">
        <f>SUMIFS(Dane!$D$4:$D$2463,Dane!$A$4:$A$2463,'Trójkąty skumulowane'!$A$1,Dane!$H$4:$H$2463,'Trójkąty skumulowane'!$A10,Dane!$I$4:$I$2463,$A10+C$3)+B10</f>
        <v>3243490.0729121687</v>
      </c>
      <c r="D10" s="66">
        <f>SUMIFS(Dane!$D$4:$D$2463,Dane!$A$4:$A$2463,'Trójkąty skumulowane'!$A$1,Dane!$H$4:$H$2463,'Trójkąty skumulowane'!$A10,Dane!$I$4:$I$2463,$A10+D$3)+C10</f>
        <v>3964518.8150557899</v>
      </c>
      <c r="E10" s="66">
        <f>SUMIFS(Dane!$D$4:$D$2463,Dane!$A$4:$A$2463,'Trójkąty skumulowane'!$A$1,Dane!$H$4:$H$2463,'Trójkąty skumulowane'!$A10,Dane!$I$4:$I$2463,$A10+E$3)+D10</f>
        <v>4661705.3347352361</v>
      </c>
      <c r="F10" s="67">
        <f>SUMIFS(Dane!$D$4:$D$2463,Dane!$A$4:$A$2463,'Trójkąty skumulowane'!$A$1,Dane!$H$4:$H$2463,'Trójkąty skumulowane'!$A10,Dane!$I$4:$I$2463,$A10+F$3)</f>
        <v>0</v>
      </c>
      <c r="G10" s="67">
        <f>SUMIFS(Dane!$D$4:$D$2463,Dane!$A$4:$A$2463,'Trójkąty skumulowane'!$A$1,Dane!$H$4:$H$2463,'Trójkąty skumulowane'!$A10,Dane!$I$4:$I$2463,$A10+G$3)</f>
        <v>0</v>
      </c>
      <c r="H10" s="67">
        <f>SUMIFS(Dane!$D$4:$D$2463,Dane!$A$4:$A$2463,'Trójkąty skumulowane'!$A$1,Dane!$H$4:$H$2463,'Trójkąty skumulowane'!$A10,Dane!$I$4:$I$2463,$A10+H$3)</f>
        <v>0</v>
      </c>
      <c r="I10" s="67">
        <f>SUMIFS(Dane!$D$4:$D$2463,Dane!$A$4:$A$2463,'Trójkąty skumulowane'!$A$1,Dane!$H$4:$H$2463,'Trójkąty skumulowane'!$A10,Dane!$I$4:$I$2463,$A10+I$3)</f>
        <v>0</v>
      </c>
      <c r="J10" s="67">
        <f>SUMIFS(Dane!$D$4:$D$2463,Dane!$A$4:$A$2463,'Trójkąty skumulowane'!$A$1,Dane!$H$4:$H$2463,'Trójkąty skumulowane'!$A10,Dane!$I$4:$I$2463,$A10+J$3)</f>
        <v>0</v>
      </c>
      <c r="K10" s="68">
        <f>SUMIFS(Dane!$D$4:$D$2463,Dane!$A$4:$A$2463,'Trójkąty skumulowane'!$A$1,Dane!$H$4:$H$2463,'Trójkąty skumulowane'!$A10,Dane!$I$4:$I$2463,$A10+K$3)</f>
        <v>0</v>
      </c>
      <c r="L10" s="14"/>
      <c r="M10">
        <v>2018</v>
      </c>
      <c r="N10" s="66">
        <v>1397368.0926729222</v>
      </c>
      <c r="O10" s="66">
        <v>3243490.0729121687</v>
      </c>
      <c r="P10" s="66">
        <v>3964518.8150557899</v>
      </c>
      <c r="Q10" s="66">
        <v>4661705.3347352361</v>
      </c>
      <c r="R10" s="67">
        <v>0</v>
      </c>
      <c r="S10" s="67">
        <v>0</v>
      </c>
      <c r="T10" s="67">
        <v>0</v>
      </c>
      <c r="U10" s="67">
        <v>0</v>
      </c>
      <c r="V10" s="67">
        <v>0</v>
      </c>
      <c r="W10" s="68">
        <f>(1-Q17)*$AB$12*5*N10+Q10</f>
        <v>6359320.9323017728</v>
      </c>
      <c r="X10" s="14">
        <f>(1-Q17)*$AB$7*5*N10</f>
        <v>1697615.5975665369</v>
      </c>
      <c r="AA10">
        <v>4</v>
      </c>
      <c r="AB10">
        <v>0.75</v>
      </c>
    </row>
    <row r="11" spans="1:33" x14ac:dyDescent="0.25">
      <c r="A11">
        <v>2019</v>
      </c>
      <c r="B11" s="66">
        <f>SUMIFS(Dane!$D$4:$D$2463,Dane!$A$4:$A$2463,'Trójkąty skumulowane'!$A$1,Dane!$H$4:$H$2463,'Trójkąty skumulowane'!$A11,Dane!$I$4:$I$2463,$A11+B$3)</f>
        <v>1570945.7683077177</v>
      </c>
      <c r="C11" s="66">
        <f>SUMIFS(Dane!$D$4:$D$2463,Dane!$A$4:$A$2463,'Trójkąty skumulowane'!$A$1,Dane!$H$4:$H$2463,'Trójkąty skumulowane'!$A11,Dane!$I$4:$I$2463,$A11+C$3)+B11</f>
        <v>3239675.6456166534</v>
      </c>
      <c r="D11" s="66">
        <f>SUMIFS(Dane!$D$4:$D$2463,Dane!$A$4:$A$2463,'Trójkąty skumulowane'!$A$1,Dane!$H$4:$H$2463,'Trójkąty skumulowane'!$A11,Dane!$I$4:$I$2463,$A11+D$3)+C11</f>
        <v>4285166.062277033</v>
      </c>
      <c r="E11" s="67">
        <f>SUMIFS(Dane!$D$4:$D$2463,Dane!$A$4:$A$2463,'Trójkąty skumulowane'!$A$1,Dane!$H$4:$H$2463,'Trójkąty skumulowane'!$A11,Dane!$I$4:$I$2463,$A11+E$3)</f>
        <v>0</v>
      </c>
      <c r="F11" s="67">
        <f>SUMIFS(Dane!$D$4:$D$2463,Dane!$A$4:$A$2463,'Trójkąty skumulowane'!$A$1,Dane!$H$4:$H$2463,'Trójkąty skumulowane'!$A11,Dane!$I$4:$I$2463,$A11+F$3)</f>
        <v>0</v>
      </c>
      <c r="G11" s="67">
        <f>SUMIFS(Dane!$D$4:$D$2463,Dane!$A$4:$A$2463,'Trójkąty skumulowane'!$A$1,Dane!$H$4:$H$2463,'Trójkąty skumulowane'!$A11,Dane!$I$4:$I$2463,$A11+G$3)</f>
        <v>0</v>
      </c>
      <c r="H11" s="67">
        <f>SUMIFS(Dane!$D$4:$D$2463,Dane!$A$4:$A$2463,'Trójkąty skumulowane'!$A$1,Dane!$H$4:$H$2463,'Trójkąty skumulowane'!$A11,Dane!$I$4:$I$2463,$A11+H$3)</f>
        <v>0</v>
      </c>
      <c r="I11" s="67">
        <f>SUMIFS(Dane!$D$4:$D$2463,Dane!$A$4:$A$2463,'Trójkąty skumulowane'!$A$1,Dane!$H$4:$H$2463,'Trójkąty skumulowane'!$A11,Dane!$I$4:$I$2463,$A11+I$3)</f>
        <v>0</v>
      </c>
      <c r="J11" s="67">
        <f>SUMIFS(Dane!$D$4:$D$2463,Dane!$A$4:$A$2463,'Trójkąty skumulowane'!$A$1,Dane!$H$4:$H$2463,'Trójkąty skumulowane'!$A11,Dane!$I$4:$I$2463,$A11+J$3)</f>
        <v>0</v>
      </c>
      <c r="K11" s="68">
        <f>SUMIFS(Dane!$D$4:$D$2463,Dane!$A$4:$A$2463,'Trójkąty skumulowane'!$A$1,Dane!$H$4:$H$2463,'Trójkąty skumulowane'!$A11,Dane!$I$4:$I$2463,$A11+K$3)</f>
        <v>0</v>
      </c>
      <c r="L11" s="14"/>
      <c r="M11">
        <v>2019</v>
      </c>
      <c r="N11" s="66">
        <v>1570945.7683077177</v>
      </c>
      <c r="O11" s="66">
        <v>3239675.6456166534</v>
      </c>
      <c r="P11" s="66">
        <v>4285166.062277033</v>
      </c>
      <c r="Q11" s="67">
        <v>0</v>
      </c>
      <c r="R11" s="67">
        <v>0</v>
      </c>
      <c r="S11" s="67">
        <v>0</v>
      </c>
      <c r="T11" s="67">
        <v>0</v>
      </c>
      <c r="U11" s="67">
        <v>0</v>
      </c>
      <c r="V11" s="67">
        <v>0</v>
      </c>
      <c r="W11" s="68">
        <f>(1-P17)*$AB$7*5*N11+P11</f>
        <v>6795737.5782305729</v>
      </c>
      <c r="X11" s="14">
        <f>(1-P17)*$AB$7*5*N11</f>
        <v>2510571.5159535394</v>
      </c>
      <c r="AA11">
        <v>5</v>
      </c>
      <c r="AB11">
        <v>0.75</v>
      </c>
    </row>
    <row r="12" spans="1:33" x14ac:dyDescent="0.25">
      <c r="A12">
        <v>2020</v>
      </c>
      <c r="B12" s="66">
        <f>SUMIFS(Dane!$D$4:$D$2463,Dane!$A$4:$A$2463,'Trójkąty skumulowane'!$A$1,Dane!$H$4:$H$2463,'Trójkąty skumulowane'!$A12,Dane!$I$4:$I$2463,$A12+B$3)</f>
        <v>1381532.6675622216</v>
      </c>
      <c r="C12" s="66">
        <f>SUMIFS(Dane!$D$4:$D$2463,Dane!$A$4:$A$2463,'Trójkąty skumulowane'!$A$1,Dane!$H$4:$H$2463,'Trójkąty skumulowane'!$A12,Dane!$I$4:$I$2463,$A12+C$3)+B12</f>
        <v>3031367.3134870529</v>
      </c>
      <c r="D12" s="67">
        <f>SUMIFS(Dane!$D$4:$D$2463,Dane!$A$4:$A$2463,'Trójkąty skumulowane'!$A$1,Dane!$H$4:$H$2463,'Trójkąty skumulowane'!$A12,Dane!$I$4:$I$2463,$A12+D$3)</f>
        <v>0</v>
      </c>
      <c r="E12" s="67">
        <f>SUMIFS(Dane!$D$4:$D$2463,Dane!$A$4:$A$2463,'Trójkąty skumulowane'!$A$1,Dane!$H$4:$H$2463,'Trójkąty skumulowane'!$A12,Dane!$I$4:$I$2463,$A12+E$3)</f>
        <v>0</v>
      </c>
      <c r="F12" s="67">
        <f>SUMIFS(Dane!$D$4:$D$2463,Dane!$A$4:$A$2463,'Trójkąty skumulowane'!$A$1,Dane!$H$4:$H$2463,'Trójkąty skumulowane'!$A12,Dane!$I$4:$I$2463,$A12+F$3)</f>
        <v>0</v>
      </c>
      <c r="G12" s="67">
        <f>SUMIFS(Dane!$D$4:$D$2463,Dane!$A$4:$A$2463,'Trójkąty skumulowane'!$A$1,Dane!$H$4:$H$2463,'Trójkąty skumulowane'!$A12,Dane!$I$4:$I$2463,$A12+G$3)</f>
        <v>0</v>
      </c>
      <c r="H12" s="67">
        <f>SUMIFS(Dane!$D$4:$D$2463,Dane!$A$4:$A$2463,'Trójkąty skumulowane'!$A$1,Dane!$H$4:$H$2463,'Trójkąty skumulowane'!$A12,Dane!$I$4:$I$2463,$A12+H$3)</f>
        <v>0</v>
      </c>
      <c r="I12" s="67">
        <f>SUMIFS(Dane!$D$4:$D$2463,Dane!$A$4:$A$2463,'Trójkąty skumulowane'!$A$1,Dane!$H$4:$H$2463,'Trójkąty skumulowane'!$A12,Dane!$I$4:$I$2463,$A12+I$3)</f>
        <v>0</v>
      </c>
      <c r="J12" s="67">
        <f>SUMIFS(Dane!$D$4:$D$2463,Dane!$A$4:$A$2463,'Trójkąty skumulowane'!$A$1,Dane!$H$4:$H$2463,'Trójkąty skumulowane'!$A12,Dane!$I$4:$I$2463,$A12+J$3)</f>
        <v>0</v>
      </c>
      <c r="K12" s="68">
        <f>SUMIFS(Dane!$D$4:$D$2463,Dane!$A$4:$A$2463,'Trójkąty skumulowane'!$A$1,Dane!$H$4:$H$2463,'Trójkąty skumulowane'!$A12,Dane!$I$4:$I$2463,$A12+K$3)</f>
        <v>0</v>
      </c>
      <c r="L12" s="14"/>
      <c r="M12">
        <v>2020</v>
      </c>
      <c r="N12" s="66">
        <v>1381532.6675622216</v>
      </c>
      <c r="O12" s="66">
        <v>3031367.3134870529</v>
      </c>
      <c r="P12" s="67">
        <v>0</v>
      </c>
      <c r="Q12" s="67">
        <v>0</v>
      </c>
      <c r="R12" s="67">
        <v>0</v>
      </c>
      <c r="S12" s="67">
        <v>0</v>
      </c>
      <c r="T12" s="67">
        <v>0</v>
      </c>
      <c r="U12" s="67">
        <v>0</v>
      </c>
      <c r="V12" s="67">
        <v>0</v>
      </c>
      <c r="W12" s="68">
        <f>(1-O17)*$AB$7*5*N12+O12</f>
        <v>5845287.7329327911</v>
      </c>
      <c r="X12" s="14">
        <f>(1-O17)*$AB$7*5*N12</f>
        <v>2813920.4194457387</v>
      </c>
      <c r="AA12">
        <v>6</v>
      </c>
      <c r="AB12">
        <v>0.75</v>
      </c>
    </row>
    <row r="13" spans="1:33" x14ac:dyDescent="0.25">
      <c r="A13">
        <v>2021</v>
      </c>
      <c r="B13" s="66">
        <f>SUMIFS(Dane!$D$4:$D$2463,Dane!$A$4:$A$2463,'Trójkąty skumulowane'!$A$1,Dane!$H$4:$H$2463,'Trójkąty skumulowane'!$A13,Dane!$I$4:$I$2463,$A13+B$3)</f>
        <v>1346802.3542128429</v>
      </c>
      <c r="C13" s="67">
        <f>SUMIFS(Dane!$D$4:$D$2463,Dane!$A$4:$A$2463,'Trójkąty skumulowane'!$A$1,Dane!$H$4:$H$2463,'Trójkąty skumulowane'!$A13,Dane!$I$4:$I$2463,$A13+C$3)</f>
        <v>0</v>
      </c>
      <c r="D13" s="67">
        <f>SUMIFS(Dane!$D$4:$D$2463,Dane!$A$4:$A$2463,'Trójkąty skumulowane'!$A$1,Dane!$H$4:$H$2463,'Trójkąty skumulowane'!$A13,Dane!$I$4:$I$2463,$A13+D$3)</f>
        <v>0</v>
      </c>
      <c r="E13" s="67">
        <f>SUMIFS(Dane!$D$4:$D$2463,Dane!$A$4:$A$2463,'Trójkąty skumulowane'!$A$1,Dane!$H$4:$H$2463,'Trójkąty skumulowane'!$A13,Dane!$I$4:$I$2463,$A13+E$3)</f>
        <v>0</v>
      </c>
      <c r="F13" s="67">
        <f>SUMIFS(Dane!$D$4:$D$2463,Dane!$A$4:$A$2463,'Trójkąty skumulowane'!$A$1,Dane!$H$4:$H$2463,'Trójkąty skumulowane'!$A13,Dane!$I$4:$I$2463,$A13+F$3)</f>
        <v>0</v>
      </c>
      <c r="G13" s="67">
        <f>SUMIFS(Dane!$D$4:$D$2463,Dane!$A$4:$A$2463,'Trójkąty skumulowane'!$A$1,Dane!$H$4:$H$2463,'Trójkąty skumulowane'!$A13,Dane!$I$4:$I$2463,$A13+G$3)</f>
        <v>0</v>
      </c>
      <c r="H13" s="67">
        <f>SUMIFS(Dane!$D$4:$D$2463,Dane!$A$4:$A$2463,'Trójkąty skumulowane'!$A$1,Dane!$H$4:$H$2463,'Trójkąty skumulowane'!$A13,Dane!$I$4:$I$2463,$A13+H$3)</f>
        <v>0</v>
      </c>
      <c r="I13" s="67">
        <f>SUMIFS(Dane!$D$4:$D$2463,Dane!$A$4:$A$2463,'Trójkąty skumulowane'!$A$1,Dane!$H$4:$H$2463,'Trójkąty skumulowane'!$A13,Dane!$I$4:$I$2463,$A13+I$3)</f>
        <v>0</v>
      </c>
      <c r="J13" s="67">
        <f>SUMIFS(Dane!$D$4:$D$2463,Dane!$A$4:$A$2463,'Trójkąty skumulowane'!$A$1,Dane!$H$4:$H$2463,'Trójkąty skumulowane'!$A13,Dane!$I$4:$I$2463,$A13+J$3)</f>
        <v>0</v>
      </c>
      <c r="K13" s="68">
        <f>SUMIFS(Dane!$D$4:$D$2463,Dane!$A$4:$A$2463,'Trójkąty skumulowane'!$A$1,Dane!$H$4:$H$2463,'Trójkąty skumulowane'!$A13,Dane!$I$4:$I$2463,$A13+K$3)</f>
        <v>0</v>
      </c>
      <c r="L13" s="14"/>
      <c r="M13">
        <v>2021</v>
      </c>
      <c r="N13" s="66">
        <v>1346802.3542128429</v>
      </c>
      <c r="O13" s="67">
        <v>0</v>
      </c>
      <c r="P13" s="67">
        <v>0</v>
      </c>
      <c r="Q13" s="67">
        <v>0</v>
      </c>
      <c r="R13" s="67">
        <v>0</v>
      </c>
      <c r="S13" s="67">
        <v>0</v>
      </c>
      <c r="T13" s="67">
        <v>0</v>
      </c>
      <c r="U13" s="67">
        <v>0</v>
      </c>
      <c r="V13" s="67">
        <v>0</v>
      </c>
      <c r="W13" s="68">
        <f>(1-N17)*$AB$7*5*$N$13+N13</f>
        <v>5299867.7442567991</v>
      </c>
      <c r="X13" s="14">
        <f>(1-N17)*$AB$7*5*N13</f>
        <v>3953065.3900439562</v>
      </c>
      <c r="AA13">
        <v>7</v>
      </c>
      <c r="AB13">
        <v>0.75</v>
      </c>
    </row>
    <row r="14" spans="1:33" x14ac:dyDescent="0.25">
      <c r="L14" s="18"/>
      <c r="X14" s="18">
        <f>SUM(X5:X13)</f>
        <v>14040219.533478681</v>
      </c>
      <c r="AA14">
        <v>8</v>
      </c>
      <c r="AB14">
        <v>0.75</v>
      </c>
    </row>
    <row r="15" spans="1:33" x14ac:dyDescent="0.25">
      <c r="AA15">
        <v>9</v>
      </c>
      <c r="AB15">
        <v>0.75</v>
      </c>
    </row>
    <row r="16" spans="1:33" x14ac:dyDescent="0.25">
      <c r="A16" t="s">
        <v>51</v>
      </c>
      <c r="C16">
        <f>SUM(C4:C12)/SUM(B4:B12)</f>
        <v>2.1024568554049639</v>
      </c>
      <c r="D16">
        <f>SUM(D4:D11)/SUM(C4:C11)</f>
        <v>1.256062294799432</v>
      </c>
      <c r="E16">
        <f>SUM(E4:E10)/SUM(D4:D10)</f>
        <v>1.1781058003161704</v>
      </c>
      <c r="F16">
        <f>SUM(F4:F9)/SUM(E4:E9)</f>
        <v>1.1214277912638833</v>
      </c>
      <c r="G16">
        <f>SUM(G4:G8)/SUM(F4:F8)</f>
        <v>1.0953111884500715</v>
      </c>
      <c r="H16">
        <f>SUM(H4:H7)/SUM(G4:G7)</f>
        <v>1.0540403884611445</v>
      </c>
      <c r="I16">
        <f>SUM(I4:I6)/SUM(H4:H6)</f>
        <v>1.0590321815963633</v>
      </c>
      <c r="J16">
        <f>SUM(J4:J5)/SUM(I4:I5)</f>
        <v>1.0446032925669604</v>
      </c>
      <c r="K16">
        <f>SUM(K4)/SUM(J4)</f>
        <v>1.0327704044274595</v>
      </c>
      <c r="M16" t="s">
        <v>51</v>
      </c>
      <c r="O16">
        <v>2.1024568554049639</v>
      </c>
      <c r="P16">
        <v>1.256062294799432</v>
      </c>
      <c r="Q16">
        <v>1.1781058003161704</v>
      </c>
      <c r="R16">
        <v>1.1214277912638833</v>
      </c>
      <c r="S16">
        <v>1.0953111884500715</v>
      </c>
      <c r="T16">
        <v>1.0540403884611445</v>
      </c>
      <c r="U16">
        <v>1.0590321815963633</v>
      </c>
      <c r="V16">
        <v>1.0446032925669604</v>
      </c>
      <c r="W16">
        <v>1.0327704044274595</v>
      </c>
    </row>
    <row r="17" spans="1:25" x14ac:dyDescent="0.25">
      <c r="A17" t="s">
        <v>52</v>
      </c>
      <c r="B17">
        <f>1/PRODUCT(C16:K16)</f>
        <v>0.21729363823803124</v>
      </c>
      <c r="C17">
        <f>1/PRODUCT(D16:K16)</f>
        <v>0.45685049934943506</v>
      </c>
      <c r="D17">
        <f>1/PRODUCT(E16:K16)</f>
        <v>0.57383268659311781</v>
      </c>
      <c r="E17">
        <f>1/PRODUCT(F16:K16)</f>
        <v>0.67603561648636312</v>
      </c>
      <c r="F17">
        <f>1/PRODUCT(G16:K16)</f>
        <v>0.75812512821201983</v>
      </c>
      <c r="G17">
        <f>1/PRODUCT(H16:K16)</f>
        <v>0.83038293517577055</v>
      </c>
      <c r="H17">
        <f>1/PRODUCT(I16:K16)</f>
        <v>0.87525715156417427</v>
      </c>
      <c r="I17">
        <f>1/PRODUCT(J16:K16)</f>
        <v>0.92692549067882635</v>
      </c>
      <c r="J17">
        <f>1/PRODUCT(K16)</f>
        <v>0.96826941952734735</v>
      </c>
      <c r="K17">
        <v>1</v>
      </c>
      <c r="M17" t="s">
        <v>52</v>
      </c>
      <c r="N17">
        <v>0.21729363823803124</v>
      </c>
      <c r="O17">
        <v>0.45685049934943506</v>
      </c>
      <c r="P17">
        <v>0.57383268659311781</v>
      </c>
      <c r="Q17">
        <v>0.67603561648636312</v>
      </c>
      <c r="R17">
        <v>0.75812512821201983</v>
      </c>
      <c r="S17">
        <v>0.83038293517577055</v>
      </c>
      <c r="T17">
        <v>0.87525715156417427</v>
      </c>
      <c r="U17">
        <v>0.92692549067882635</v>
      </c>
      <c r="V17">
        <v>0.96826941952734735</v>
      </c>
      <c r="W17">
        <v>1</v>
      </c>
    </row>
    <row r="19" spans="1:25" x14ac:dyDescent="0.25">
      <c r="M19" s="3"/>
    </row>
    <row r="20" spans="1:25" x14ac:dyDescent="0.25">
      <c r="A20" s="3" t="s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 t="s">
        <v>19</v>
      </c>
    </row>
    <row r="21" spans="1:25" x14ac:dyDescent="0.25">
      <c r="B21" t="s">
        <v>21</v>
      </c>
      <c r="N21" t="s">
        <v>21</v>
      </c>
    </row>
    <row r="22" spans="1:25" x14ac:dyDescent="0.25">
      <c r="A22" t="s">
        <v>22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 t="s">
        <v>24</v>
      </c>
      <c r="M22" t="s">
        <v>22</v>
      </c>
      <c r="N22">
        <v>0</v>
      </c>
      <c r="O22">
        <v>1</v>
      </c>
      <c r="P22">
        <v>2</v>
      </c>
      <c r="Q22">
        <v>3</v>
      </c>
      <c r="R22">
        <v>4</v>
      </c>
      <c r="S22">
        <v>5</v>
      </c>
      <c r="T22">
        <v>6</v>
      </c>
      <c r="U22">
        <v>7</v>
      </c>
      <c r="V22">
        <v>8</v>
      </c>
      <c r="W22">
        <v>9</v>
      </c>
      <c r="X22" t="s">
        <v>24</v>
      </c>
    </row>
    <row r="23" spans="1:25" x14ac:dyDescent="0.25">
      <c r="A23">
        <v>2012</v>
      </c>
      <c r="B23" s="66">
        <f>SUMIFS(Dane!$D$4:$D$2463,Dane!$A$4:$A$2463,'Trójkąty skumulowane'!$A$16,Dane!$H$4:$H$2463,'Trójkąty skumulowane'!$A19,Dane!$I$4:$I$2463,$A23+B$22)</f>
        <v>4262147.3800735464</v>
      </c>
      <c r="C23" s="66">
        <f>SUMIFS(Dane!$D$4:$D$2463,Dane!$A$4:$A$2463,'Trójkąty skumulowane'!$A$16,Dane!$H$4:$H$2463,'Trójkąty skumulowane'!$A19,Dane!$I$4:$I$2463,$A23+C$22)+B23</f>
        <v>5171040.557632775</v>
      </c>
      <c r="D23" s="66">
        <f>SUMIFS(Dane!$D$4:$D$2463,Dane!$A$4:$A$2463,'Trójkąty skumulowane'!$A$16,Dane!$H$4:$H$2463,'Trójkąty skumulowane'!$A19,Dane!$I$4:$I$2463,$A23+D$22)+C23</f>
        <v>5206528.1608655713</v>
      </c>
      <c r="E23" s="66">
        <f>SUMIFS(Dane!$D$4:$D$2463,Dane!$A$4:$A$2463,'Trójkąty skumulowane'!$A$16,Dane!$H$4:$H$2463,'Trójkąty skumulowane'!$A19,Dane!$I$4:$I$2463,$A23+E$22)+D23</f>
        <v>5217735.2787153367</v>
      </c>
      <c r="F23" s="66">
        <f>SUMIFS(Dane!$D$4:$D$2463,Dane!$A$4:$A$2463,'Trójkąty skumulowane'!$A$16,Dane!$H$4:$H$2463,'Trójkąty skumulowane'!$A19,Dane!$I$4:$I$2463,$A23+F$22)+E23</f>
        <v>5216421.5403902102</v>
      </c>
      <c r="G23" s="66">
        <f>SUMIFS(Dane!$D$4:$D$2463,Dane!$A$4:$A$2463,'Trójkąty skumulowane'!$A$16,Dane!$H$4:$H$2463,'Trójkąty skumulowane'!$A19,Dane!$I$4:$I$2463,$A23+G$22)+F23</f>
        <v>5213475.3922777912</v>
      </c>
      <c r="H23" s="66">
        <f>SUMIFS(Dane!$D$4:$D$2463,Dane!$A$4:$A$2463,'Trójkąty skumulowane'!$A$16,Dane!$H$4:$H$2463,'Trójkąty skumulowane'!$A19,Dane!$I$4:$I$2463,$A23+H$22)+G23</f>
        <v>5212026.8016393669</v>
      </c>
      <c r="I23" s="66">
        <f>SUMIFS(Dane!$D$4:$D$2463,Dane!$A$4:$A$2463,'Trójkąty skumulowane'!$A$16,Dane!$H$4:$H$2463,'Trójkąty skumulowane'!$A19,Dane!$I$4:$I$2463,$A23+I$22)+H23</f>
        <v>5211044.3549634609</v>
      </c>
      <c r="J23" s="66">
        <f>SUMIFS(Dane!$D$4:$D$2463,Dane!$A$4:$A$2463,'Trójkąty skumulowane'!$A$16,Dane!$H$4:$H$2463,'Trójkąty skumulowane'!$A19,Dane!$I$4:$I$2463,$A23+J$22)+I23</f>
        <v>5210425.7469317596</v>
      </c>
      <c r="K23" s="66">
        <f>SUMIFS(Dane!$D$4:$D$2463,Dane!$A$4:$A$2463,'Trójkąty skumulowane'!$A$16,Dane!$H$4:$H$2463,'Trójkąty skumulowane'!$A19,Dane!$I$4:$I$2463,$A23+K$22)+J23</f>
        <v>5209988.1650882559</v>
      </c>
      <c r="L23" s="14"/>
      <c r="M23">
        <v>2012</v>
      </c>
      <c r="N23" s="66">
        <v>4262147.3800735464</v>
      </c>
      <c r="O23" s="66">
        <v>5171040.557632775</v>
      </c>
      <c r="P23" s="66">
        <v>5206528.1608655713</v>
      </c>
      <c r="Q23" s="66">
        <v>5217735.2787153367</v>
      </c>
      <c r="R23" s="66">
        <v>5216421.5403902102</v>
      </c>
      <c r="S23" s="66">
        <v>5213475.3922777912</v>
      </c>
      <c r="T23" s="66">
        <v>5212026.8016393669</v>
      </c>
      <c r="U23" s="66">
        <v>5211044.3549634609</v>
      </c>
      <c r="V23" s="66">
        <v>5210425.7469317596</v>
      </c>
      <c r="W23" s="66">
        <v>5209988.1650882559</v>
      </c>
      <c r="X23" s="14">
        <v>0</v>
      </c>
    </row>
    <row r="24" spans="1:25" x14ac:dyDescent="0.25">
      <c r="A24">
        <v>2013</v>
      </c>
      <c r="B24" s="66">
        <f>SUMIFS(Dane!$D$4:$D$2463,Dane!$A$4:$A$2463,'Trójkąty skumulowane'!$A$16,Dane!$H$4:$H$2463,'Trójkąty skumulowane'!$A20,Dane!$I$4:$I$2463,$A24+B$22)</f>
        <v>4103976.8489649151</v>
      </c>
      <c r="C24" s="66">
        <f>SUMIFS(Dane!$D$4:$D$2463,Dane!$A$4:$A$2463,'Trójkąty skumulowane'!$A$16,Dane!$H$4:$H$2463,'Trójkąty skumulowane'!$A20,Dane!$I$4:$I$2463,$A24+C$22)+B24</f>
        <v>5000492.7767952532</v>
      </c>
      <c r="D24" s="66">
        <f>SUMIFS(Dane!$D$4:$D$2463,Dane!$A$4:$A$2463,'Trójkąty skumulowane'!$A$16,Dane!$H$4:$H$2463,'Trójkąty skumulowane'!$A20,Dane!$I$4:$I$2463,$A24+D$22)+C24</f>
        <v>5029836.3739904091</v>
      </c>
      <c r="E24" s="66">
        <f>SUMIFS(Dane!$D$4:$D$2463,Dane!$A$4:$A$2463,'Trójkąty skumulowane'!$A$16,Dane!$H$4:$H$2463,'Trójkąty skumulowane'!$A20,Dane!$I$4:$I$2463,$A24+E$22)+D24</f>
        <v>5040327.4160874067</v>
      </c>
      <c r="F24" s="66">
        <f>SUMIFS(Dane!$D$4:$D$2463,Dane!$A$4:$A$2463,'Trójkąty skumulowane'!$A$16,Dane!$H$4:$H$2463,'Trójkąty skumulowane'!$A20,Dane!$I$4:$I$2463,$A24+F$22)+E24</f>
        <v>5040098.8196115727</v>
      </c>
      <c r="G24" s="66">
        <f>SUMIFS(Dane!$D$4:$D$2463,Dane!$A$4:$A$2463,'Trójkąty skumulowane'!$A$16,Dane!$H$4:$H$2463,'Trójkąty skumulowane'!$A20,Dane!$I$4:$I$2463,$A24+G$22)+F24</f>
        <v>5038647.3542407844</v>
      </c>
      <c r="H24" s="66">
        <f>SUMIFS(Dane!$D$4:$D$2463,Dane!$A$4:$A$2463,'Trójkąty skumulowane'!$A$16,Dane!$H$4:$H$2463,'Trójkąty skumulowane'!$A20,Dane!$I$4:$I$2463,$A24+H$22)+G24</f>
        <v>5038526.2604642119</v>
      </c>
      <c r="I24" s="66">
        <f>SUMIFS(Dane!$D$4:$D$2463,Dane!$A$4:$A$2463,'Trójkąty skumulowane'!$A$16,Dane!$H$4:$H$2463,'Trójkąty skumulowane'!$A20,Dane!$I$4:$I$2463,$A24+I$22)+H24</f>
        <v>5038187.2178986128</v>
      </c>
      <c r="J24" s="66">
        <f>SUMIFS(Dane!$D$4:$D$2463,Dane!$A$4:$A$2463,'Trójkąty skumulowane'!$A$16,Dane!$H$4:$H$2463,'Trójkąty skumulowane'!$A20,Dane!$I$4:$I$2463,$A24+J$22)+I24</f>
        <v>5037517.9003733704</v>
      </c>
      <c r="K24" s="68">
        <f>SUMIFS(Dane!$D$4:$D$2463,Dane!$A$4:$A$2463,'Trójkąty skumulowane'!$A$1,Dane!$H$4:$H$2463,'Trójkąty skumulowane'!$A20,Dane!$I$4:$I$2463,$A24+K$3)</f>
        <v>0</v>
      </c>
      <c r="L24" s="14"/>
      <c r="M24">
        <v>2013</v>
      </c>
      <c r="N24" s="66">
        <v>4103976.8489649151</v>
      </c>
      <c r="O24" s="66">
        <v>5000492.7767952532</v>
      </c>
      <c r="P24" s="66">
        <v>5029836.3739904091</v>
      </c>
      <c r="Q24" s="66">
        <v>5040327.4160874067</v>
      </c>
      <c r="R24" s="66">
        <v>5040098.8196115727</v>
      </c>
      <c r="S24" s="66">
        <v>5038647.3542407844</v>
      </c>
      <c r="T24" s="66">
        <v>5038526.2604642119</v>
      </c>
      <c r="U24" s="66">
        <v>5038187.2178986128</v>
      </c>
      <c r="V24" s="66">
        <v>5037517.9003733704</v>
      </c>
      <c r="W24" s="68">
        <f>(1-V36)*$AB$7*5*N24+V24</f>
        <v>5036225.3165192697</v>
      </c>
      <c r="X24" s="14">
        <f>(1-V36)*$AB$7*5*N24</f>
        <v>-1292.5838541011124</v>
      </c>
    </row>
    <row r="25" spans="1:25" x14ac:dyDescent="0.25">
      <c r="A25">
        <v>2014</v>
      </c>
      <c r="B25" s="66">
        <f>SUMIFS(Dane!$D$4:$D$2463,Dane!$A$4:$A$2463,'Trójkąty skumulowane'!$A$16,Dane!$H$4:$H$2463,'Trójkąty skumulowane'!$A21,Dane!$I$4:$I$2463,$A25+B$22)</f>
        <v>4144525.2888819813</v>
      </c>
      <c r="C25" s="66">
        <f>SUMIFS(Dane!$D$4:$D$2463,Dane!$A$4:$A$2463,'Trójkąty skumulowane'!$A$16,Dane!$H$4:$H$2463,'Trójkąty skumulowane'!$A21,Dane!$I$4:$I$2463,$A25+C$22)+B25</f>
        <v>5009318.3483073814</v>
      </c>
      <c r="D25" s="66">
        <f>SUMIFS(Dane!$D$4:$D$2463,Dane!$A$4:$A$2463,'Trójkąty skumulowane'!$A$16,Dane!$H$4:$H$2463,'Trójkąty skumulowane'!$A21,Dane!$I$4:$I$2463,$A25+D$22)+C25</f>
        <v>5047660.9800198637</v>
      </c>
      <c r="E25" s="66">
        <f>SUMIFS(Dane!$D$4:$D$2463,Dane!$A$4:$A$2463,'Trójkąty skumulowane'!$A$16,Dane!$H$4:$H$2463,'Trójkąty skumulowane'!$A21,Dane!$I$4:$I$2463,$A25+E$22)+D25</f>
        <v>5052630.6482328633</v>
      </c>
      <c r="F25" s="66">
        <f>SUMIFS(Dane!$D$4:$D$2463,Dane!$A$4:$A$2463,'Trójkąty skumulowane'!$A$16,Dane!$H$4:$H$2463,'Trójkąty skumulowane'!$A21,Dane!$I$4:$I$2463,$A25+F$22)+E25</f>
        <v>5050444.2348935511</v>
      </c>
      <c r="G25" s="66">
        <f>SUMIFS(Dane!$D$4:$D$2463,Dane!$A$4:$A$2463,'Trójkąty skumulowane'!$A$16,Dane!$H$4:$H$2463,'Trójkąty skumulowane'!$A21,Dane!$I$4:$I$2463,$A25+G$22)+F25</f>
        <v>5048337.6698905034</v>
      </c>
      <c r="H25" s="66">
        <f>SUMIFS(Dane!$D$4:$D$2463,Dane!$A$4:$A$2463,'Trójkąty skumulowane'!$A$16,Dane!$H$4:$H$2463,'Trójkąty skumulowane'!$A21,Dane!$I$4:$I$2463,$A25+H$22)+G25</f>
        <v>5048060.8737261798</v>
      </c>
      <c r="I25" s="66">
        <f>SUMIFS(Dane!$D$4:$D$2463,Dane!$A$4:$A$2463,'Trójkąty skumulowane'!$A$16,Dane!$H$4:$H$2463,'Trójkąty skumulowane'!$A21,Dane!$I$4:$I$2463,$A25+I$22)+H25</f>
        <v>5046848.0144023411</v>
      </c>
      <c r="J25" s="67">
        <f>SUMIFS(Dane!$D$4:$D$2463,Dane!$A$4:$A$2463,'Trójkąty skumulowane'!$A$1,Dane!$H$4:$H$2463,'Trójkąty skumulowane'!$A21,Dane!$I$4:$I$2463,$A25+J$3)</f>
        <v>0</v>
      </c>
      <c r="K25" s="68">
        <f>SUMIFS(Dane!$D$4:$D$2463,Dane!$A$4:$A$2463,'Trójkąty skumulowane'!$A$1,Dane!$H$4:$H$2463,'Trójkąty skumulowane'!$A21,Dane!$I$4:$I$2463,$A25+K$3)</f>
        <v>0</v>
      </c>
      <c r="L25" s="14"/>
      <c r="M25">
        <v>2014</v>
      </c>
      <c r="N25" s="66">
        <v>4144525.2888819813</v>
      </c>
      <c r="O25" s="66">
        <v>5009318.3483073814</v>
      </c>
      <c r="P25" s="66">
        <v>5047660.9800198637</v>
      </c>
      <c r="Q25" s="66">
        <v>5052630.6482328633</v>
      </c>
      <c r="R25" s="66">
        <v>5050444.2348935511</v>
      </c>
      <c r="S25" s="66">
        <v>5048337.6698905034</v>
      </c>
      <c r="T25" s="66">
        <v>5048060.8737261798</v>
      </c>
      <c r="U25" s="66">
        <v>5046848.0144023411</v>
      </c>
      <c r="V25" s="67">
        <v>0</v>
      </c>
      <c r="W25" s="68">
        <f>(1-U36)*$AB$8*5*N25+U25</f>
        <v>5043589.2352352822</v>
      </c>
      <c r="X25" s="14">
        <f>(1-U36)*$AB$7*5*N25</f>
        <v>-3258.7791670593147</v>
      </c>
    </row>
    <row r="26" spans="1:25" x14ac:dyDescent="0.25">
      <c r="A26">
        <v>2015</v>
      </c>
      <c r="B26" s="66">
        <f>SUMIFS(Dane!$D$4:$D$2463,Dane!$A$4:$A$2463,'Trójkąty skumulowane'!$A$16,Dane!$H$4:$H$2463,'Trójkąty skumulowane'!$A22,Dane!$I$4:$I$2463,$A26+B$22)</f>
        <v>4297632.8479463691</v>
      </c>
      <c r="C26" s="66">
        <f>SUMIFS(Dane!$D$4:$D$2463,Dane!$A$4:$A$2463,'Trójkąty skumulowane'!$A$16,Dane!$H$4:$H$2463,'Trójkąty skumulowane'!$A22,Dane!$I$4:$I$2463,$A26+C$22)+B26</f>
        <v>5191642.9096287154</v>
      </c>
      <c r="D26" s="66">
        <f>SUMIFS(Dane!$D$4:$D$2463,Dane!$A$4:$A$2463,'Trójkąty skumulowane'!$A$16,Dane!$H$4:$H$2463,'Trójkąty skumulowane'!$A22,Dane!$I$4:$I$2463,$A26+D$22)+C26</f>
        <v>5228063.4834473031</v>
      </c>
      <c r="E26" s="66">
        <f>SUMIFS(Dane!$D$4:$D$2463,Dane!$A$4:$A$2463,'Trójkąty skumulowane'!$A$16,Dane!$H$4:$H$2463,'Trójkąty skumulowane'!$A22,Dane!$I$4:$I$2463,$A26+E$22)+D26</f>
        <v>5234464.7453851644</v>
      </c>
      <c r="F26" s="66">
        <f>SUMIFS(Dane!$D$4:$D$2463,Dane!$A$4:$A$2463,'Trójkąty skumulowane'!$A$16,Dane!$H$4:$H$2463,'Trójkąty skumulowane'!$A22,Dane!$I$4:$I$2463,$A26+F$22)+E26</f>
        <v>5234678.3120978428</v>
      </c>
      <c r="G26" s="66">
        <f>SUMIFS(Dane!$D$4:$D$2463,Dane!$A$4:$A$2463,'Trójkąty skumulowane'!$A$16,Dane!$H$4:$H$2463,'Trójkąty skumulowane'!$A22,Dane!$I$4:$I$2463,$A26+G$22)+F26</f>
        <v>5233855.6558879539</v>
      </c>
      <c r="H26" s="66">
        <f>SUMIFS(Dane!$D$4:$D$2463,Dane!$A$4:$A$2463,'Trójkąty skumulowane'!$A$16,Dane!$H$4:$H$2463,'Trójkąty skumulowane'!$A22,Dane!$I$4:$I$2463,$A26+H$22)+G26</f>
        <v>5233392.6840154994</v>
      </c>
      <c r="I26" s="67">
        <f>SUMIFS(Dane!$D$4:$D$2463,Dane!$A$4:$A$2463,'Trójkąty skumulowane'!$A$1,Dane!$H$4:$H$2463,'Trójkąty skumulowane'!$A22,Dane!$I$4:$I$2463,$A26+I$3)</f>
        <v>0</v>
      </c>
      <c r="J26" s="67">
        <f>SUMIFS(Dane!$D$4:$D$2463,Dane!$A$4:$A$2463,'Trójkąty skumulowane'!$A$1,Dane!$H$4:$H$2463,'Trójkąty skumulowane'!$A22,Dane!$I$4:$I$2463,$A26+J$3)</f>
        <v>0</v>
      </c>
      <c r="K26" s="68">
        <f>SUMIFS(Dane!$D$4:$D$2463,Dane!$A$4:$A$2463,'Trójkąty skumulowane'!$A$1,Dane!$H$4:$H$2463,'Trójkąty skumulowane'!$A22,Dane!$I$4:$I$2463,$A26+K$3)</f>
        <v>0</v>
      </c>
      <c r="L26" s="14"/>
      <c r="M26">
        <v>2015</v>
      </c>
      <c r="N26" s="66">
        <v>4297632.8479463691</v>
      </c>
      <c r="O26" s="66">
        <v>5191642.9096287154</v>
      </c>
      <c r="P26" s="66">
        <v>5228063.4834473031</v>
      </c>
      <c r="Q26" s="66">
        <v>5234464.7453851644</v>
      </c>
      <c r="R26" s="66">
        <v>5234678.3120978428</v>
      </c>
      <c r="S26" s="66">
        <v>5233855.6558879539</v>
      </c>
      <c r="T26" s="66">
        <v>5233392.6840154994</v>
      </c>
      <c r="U26" s="67">
        <v>0</v>
      </c>
      <c r="V26" s="67">
        <v>0</v>
      </c>
      <c r="W26" s="68">
        <f>(1-T36)*$AB$9*5*N26+T26</f>
        <v>5227342.740317259</v>
      </c>
      <c r="X26" s="14">
        <f>(1-T36)*$AB$7*5*N26</f>
        <v>-6049.943698240595</v>
      </c>
    </row>
    <row r="27" spans="1:25" x14ac:dyDescent="0.25">
      <c r="A27">
        <v>2016</v>
      </c>
      <c r="B27" s="66">
        <f>SUMIFS(Dane!$D$4:$D$2463,Dane!$A$4:$A$2463,'Trójkąty skumulowane'!$A$16,Dane!$H$4:$H$2463,'Trójkąty skumulowane'!$A23,Dane!$I$4:$I$2463,$A27+B$22)</f>
        <v>4725123.086187331</v>
      </c>
      <c r="C27" s="66">
        <f>SUMIFS(Dane!$D$4:$D$2463,Dane!$A$4:$A$2463,'Trójkąty skumulowane'!$A$16,Dane!$H$4:$H$2463,'Trójkąty skumulowane'!$A23,Dane!$I$4:$I$2463,$A27+C$22)+B27</f>
        <v>5836983.4985665362</v>
      </c>
      <c r="D27" s="66">
        <f>SUMIFS(Dane!$D$4:$D$2463,Dane!$A$4:$A$2463,'Trójkąty skumulowane'!$A$16,Dane!$H$4:$H$2463,'Trójkąty skumulowane'!$A23,Dane!$I$4:$I$2463,$A27+D$22)+C27</f>
        <v>5873044.3820574498</v>
      </c>
      <c r="E27" s="66">
        <f>SUMIFS(Dane!$D$4:$D$2463,Dane!$A$4:$A$2463,'Trójkąty skumulowane'!$A$16,Dane!$H$4:$H$2463,'Trójkąty skumulowane'!$A23,Dane!$I$4:$I$2463,$A27+E$22)+D27</f>
        <v>5883070.9820741508</v>
      </c>
      <c r="F27" s="66">
        <f>SUMIFS(Dane!$D$4:$D$2463,Dane!$A$4:$A$2463,'Trójkąty skumulowane'!$A$16,Dane!$H$4:$H$2463,'Trójkąty skumulowane'!$A23,Dane!$I$4:$I$2463,$A27+F$22)+E27</f>
        <v>5884627.4040972013</v>
      </c>
      <c r="G27" s="66">
        <f>SUMIFS(Dane!$D$4:$D$2463,Dane!$A$4:$A$2463,'Trójkąty skumulowane'!$A$16,Dane!$H$4:$H$2463,'Trójkąty skumulowane'!$A23,Dane!$I$4:$I$2463,$A27+G$22)+F27</f>
        <v>5886582.385205742</v>
      </c>
      <c r="H27" s="67">
        <f>SUMIFS(Dane!$D$4:$D$2463,Dane!$A$4:$A$2463,'Trójkąty skumulowane'!$A$1,Dane!$H$4:$H$2463,'Trójkąty skumulowane'!$A23,Dane!$I$4:$I$2463,$A27+H$3)</f>
        <v>0</v>
      </c>
      <c r="I27" s="67">
        <f>SUMIFS(Dane!$D$4:$D$2463,Dane!$A$4:$A$2463,'Trójkąty skumulowane'!$A$1,Dane!$H$4:$H$2463,'Trójkąty skumulowane'!$A23,Dane!$I$4:$I$2463,$A27+I$3)</f>
        <v>0</v>
      </c>
      <c r="J27" s="67">
        <f>SUMIFS(Dane!$D$4:$D$2463,Dane!$A$4:$A$2463,'Trójkąty skumulowane'!$A$1,Dane!$H$4:$H$2463,'Trójkąty skumulowane'!$A23,Dane!$I$4:$I$2463,$A27+J$3)</f>
        <v>0</v>
      </c>
      <c r="K27" s="68">
        <f>SUMIFS(Dane!$D$4:$D$2463,Dane!$A$4:$A$2463,'Trójkąty skumulowane'!$A$1,Dane!$H$4:$H$2463,'Trójkąty skumulowane'!$A23,Dane!$I$4:$I$2463,$A27+K$3)</f>
        <v>0</v>
      </c>
      <c r="L27" s="14"/>
      <c r="M27">
        <v>2016</v>
      </c>
      <c r="N27" s="66">
        <v>4725123.086187331</v>
      </c>
      <c r="O27" s="66">
        <v>5836983.4985665362</v>
      </c>
      <c r="P27" s="66">
        <v>5873044.3820574498</v>
      </c>
      <c r="Q27" s="66">
        <v>5883070.9820741508</v>
      </c>
      <c r="R27" s="66">
        <v>5884627.4040972013</v>
      </c>
      <c r="S27" s="66">
        <v>5886582.385205742</v>
      </c>
      <c r="T27" s="67">
        <v>0</v>
      </c>
      <c r="U27" s="67">
        <v>0</v>
      </c>
      <c r="V27" s="67">
        <v>0</v>
      </c>
      <c r="W27" s="68">
        <f>(1-S36)*$AB$10*5*N27+S27</f>
        <v>5877936.8312281398</v>
      </c>
      <c r="X27" s="14">
        <f>(1-S36)*$AB$7*5*N27</f>
        <v>-8645.5539776023452</v>
      </c>
    </row>
    <row r="28" spans="1:25" x14ac:dyDescent="0.25">
      <c r="A28">
        <v>2017</v>
      </c>
      <c r="B28" s="66">
        <f>SUMIFS(Dane!$D$4:$D$2463,Dane!$A$4:$A$2463,'Trójkąty skumulowane'!$A$16,Dane!$H$4:$H$2463,'Trójkąty skumulowane'!$A24,Dane!$I$4:$I$2463,$A28+B$22)</f>
        <v>5597984.1078659333</v>
      </c>
      <c r="C28" s="66">
        <f>SUMIFS(Dane!$D$4:$D$2463,Dane!$A$4:$A$2463,'Trójkąty skumulowane'!$A$16,Dane!$H$4:$H$2463,'Trójkąty skumulowane'!$A24,Dane!$I$4:$I$2463,$A28+C$22)+B28</f>
        <v>6970614.1899836697</v>
      </c>
      <c r="D28" s="66">
        <f>SUMIFS(Dane!$D$4:$D$2463,Dane!$A$4:$A$2463,'Trójkąty skumulowane'!$A$16,Dane!$H$4:$H$2463,'Trójkąty skumulowane'!$A24,Dane!$I$4:$I$2463,$A28+D$22)+C28</f>
        <v>7066845.8532527769</v>
      </c>
      <c r="E28" s="66">
        <f>SUMIFS(Dane!$D$4:$D$2463,Dane!$A$4:$A$2463,'Trójkąty skumulowane'!$A$16,Dane!$H$4:$H$2463,'Trójkąty skumulowane'!$A24,Dane!$I$4:$I$2463,$A28+E$22)+D28</f>
        <v>7068831.0134302946</v>
      </c>
      <c r="F28" s="66">
        <f>SUMIFS(Dane!$D$4:$D$2463,Dane!$A$4:$A$2463,'Trójkąty skumulowane'!$A$16,Dane!$H$4:$H$2463,'Trójkąty skumulowane'!$A24,Dane!$I$4:$I$2463,$A28+F$22)+E28</f>
        <v>7067692.2693784814</v>
      </c>
      <c r="G28" s="67">
        <f>SUMIFS(Dane!$D$4:$D$2463,Dane!$A$4:$A$2463,'Trójkąty skumulowane'!$A$1,Dane!$H$4:$H$2463,'Trójkąty skumulowane'!$A24,Dane!$I$4:$I$2463,$A28+G$3)</f>
        <v>0</v>
      </c>
      <c r="H28" s="67">
        <f>SUMIFS(Dane!$D$4:$D$2463,Dane!$A$4:$A$2463,'Trójkąty skumulowane'!$A$1,Dane!$H$4:$H$2463,'Trójkąty skumulowane'!$A24,Dane!$I$4:$I$2463,$A28+H$3)</f>
        <v>0</v>
      </c>
      <c r="I28" s="67">
        <f>SUMIFS(Dane!$D$4:$D$2463,Dane!$A$4:$A$2463,'Trójkąty skumulowane'!$A$1,Dane!$H$4:$H$2463,'Trójkąty skumulowane'!$A24,Dane!$I$4:$I$2463,$A28+I$3)</f>
        <v>0</v>
      </c>
      <c r="J28" s="67">
        <f>SUMIFS(Dane!$D$4:$D$2463,Dane!$A$4:$A$2463,'Trójkąty skumulowane'!$A$1,Dane!$H$4:$H$2463,'Trójkąty skumulowane'!$A24,Dane!$I$4:$I$2463,$A28+J$3)</f>
        <v>0</v>
      </c>
      <c r="K28" s="68">
        <f>SUMIFS(Dane!$D$4:$D$2463,Dane!$A$4:$A$2463,'Trójkąty skumulowane'!$A$1,Dane!$H$4:$H$2463,'Trójkąty skumulowane'!$A24,Dane!$I$4:$I$2463,$A28+K$3)</f>
        <v>0</v>
      </c>
      <c r="L28" s="14"/>
      <c r="M28">
        <v>2017</v>
      </c>
      <c r="N28" s="66">
        <v>5597984.1078659333</v>
      </c>
      <c r="O28" s="66">
        <v>6970614.1899836697</v>
      </c>
      <c r="P28" s="66">
        <v>7066845.8532527769</v>
      </c>
      <c r="Q28" s="66">
        <v>7068831.0134302946</v>
      </c>
      <c r="R28" s="66">
        <v>7067692.2693784814</v>
      </c>
      <c r="S28" s="67">
        <v>0</v>
      </c>
      <c r="T28" s="67">
        <v>0</v>
      </c>
      <c r="U28" s="67">
        <v>0</v>
      </c>
      <c r="V28" s="67">
        <v>0</v>
      </c>
      <c r="W28" s="68">
        <f>(1-R36)*$AB$11*5*N28+R28</f>
        <v>7053179.4113339623</v>
      </c>
      <c r="X28" s="14">
        <f>(1-R36)*$AB$7*5*N28</f>
        <v>-14512.858044519371</v>
      </c>
    </row>
    <row r="29" spans="1:25" x14ac:dyDescent="0.25">
      <c r="A29">
        <v>2018</v>
      </c>
      <c r="B29" s="66">
        <f>SUMIFS(Dane!$D$4:$D$2463,Dane!$A$4:$A$2463,'Trójkąty skumulowane'!$A$16,Dane!$H$4:$H$2463,'Trójkąty skumulowane'!$A25,Dane!$I$4:$I$2463,$A29+B$22)</f>
        <v>5550939.8858195748</v>
      </c>
      <c r="C29" s="66">
        <f>SUMIFS(Dane!$D$4:$D$2463,Dane!$A$4:$A$2463,'Trójkąty skumulowane'!$A$16,Dane!$H$4:$H$2463,'Trójkąty skumulowane'!$A25,Dane!$I$4:$I$2463,$A29+C$22)+B29</f>
        <v>6821264.010295298</v>
      </c>
      <c r="D29" s="66">
        <f>SUMIFS(Dane!$D$4:$D$2463,Dane!$A$4:$A$2463,'Trójkąty skumulowane'!$A$16,Dane!$H$4:$H$2463,'Trójkąty skumulowane'!$A25,Dane!$I$4:$I$2463,$A29+D$22)+C29</f>
        <v>6865981.0625902554</v>
      </c>
      <c r="E29" s="66">
        <f>SUMIFS(Dane!$D$4:$D$2463,Dane!$A$4:$A$2463,'Trójkąty skumulowane'!$A$16,Dane!$H$4:$H$2463,'Trójkąty skumulowane'!$A25,Dane!$I$4:$I$2463,$A29+E$22)+D29</f>
        <v>6881034.2560672257</v>
      </c>
      <c r="F29" s="67">
        <f>SUMIFS(Dane!$D$4:$D$2463,Dane!$A$4:$A$2463,'Trójkąty skumulowane'!$A$1,Dane!$H$4:$H$2463,'Trójkąty skumulowane'!$A25,Dane!$I$4:$I$2463,$A29+F$3)</f>
        <v>0</v>
      </c>
      <c r="G29" s="67">
        <f>SUMIFS(Dane!$D$4:$D$2463,Dane!$A$4:$A$2463,'Trójkąty skumulowane'!$A$1,Dane!$H$4:$H$2463,'Trójkąty skumulowane'!$A25,Dane!$I$4:$I$2463,$A29+G$3)</f>
        <v>0</v>
      </c>
      <c r="H29" s="67">
        <f>SUMIFS(Dane!$D$4:$D$2463,Dane!$A$4:$A$2463,'Trójkąty skumulowane'!$A$1,Dane!$H$4:$H$2463,'Trójkąty skumulowane'!$A25,Dane!$I$4:$I$2463,$A29+H$3)</f>
        <v>0</v>
      </c>
      <c r="I29" s="67">
        <f>SUMIFS(Dane!$D$4:$D$2463,Dane!$A$4:$A$2463,'Trójkąty skumulowane'!$A$1,Dane!$H$4:$H$2463,'Trójkąty skumulowane'!$A25,Dane!$I$4:$I$2463,$A29+I$3)</f>
        <v>0</v>
      </c>
      <c r="J29" s="67">
        <f>SUMIFS(Dane!$D$4:$D$2463,Dane!$A$4:$A$2463,'Trójkąty skumulowane'!$A$1,Dane!$H$4:$H$2463,'Trójkąty skumulowane'!$A25,Dane!$I$4:$I$2463,$A29+J$3)</f>
        <v>0</v>
      </c>
      <c r="K29" s="68">
        <f>SUMIFS(Dane!$D$4:$D$2463,Dane!$A$4:$A$2463,'Trójkąty skumulowane'!$A$1,Dane!$H$4:$H$2463,'Trójkąty skumulowane'!$A25,Dane!$I$4:$I$2463,$A29+K$3)</f>
        <v>0</v>
      </c>
      <c r="L29" s="14"/>
      <c r="M29">
        <v>2018</v>
      </c>
      <c r="N29" s="66">
        <v>5550939.8858195748</v>
      </c>
      <c r="O29" s="66">
        <v>6821264.010295298</v>
      </c>
      <c r="P29" s="66">
        <v>6865981.0625902554</v>
      </c>
      <c r="Q29" s="66">
        <v>6881034.2560672257</v>
      </c>
      <c r="R29" s="67">
        <v>0</v>
      </c>
      <c r="S29" s="67">
        <v>0</v>
      </c>
      <c r="T29" s="67">
        <v>0</v>
      </c>
      <c r="U29" s="67">
        <v>0</v>
      </c>
      <c r="V29" s="67">
        <v>0</v>
      </c>
      <c r="W29" s="68">
        <f>(1-Q36)*$AB$12*5*N29+Q29</f>
        <v>6864716.9753747303</v>
      </c>
      <c r="X29" s="14">
        <f>(1-Q36)*$AB$7*5*N29</f>
        <v>-16317.280692495402</v>
      </c>
    </row>
    <row r="30" spans="1:25" x14ac:dyDescent="0.25">
      <c r="A30">
        <v>2019</v>
      </c>
      <c r="B30" s="66">
        <f>SUMIFS(Dane!$D$4:$D$2463,Dane!$A$4:$A$2463,'Trójkąty skumulowane'!$A$16,Dane!$H$4:$H$2463,'Trójkąty skumulowane'!$A26,Dane!$I$4:$I$2463,$A30+B$22)</f>
        <v>5825184.4614891456</v>
      </c>
      <c r="C30" s="66">
        <f>SUMIFS(Dane!$D$4:$D$2463,Dane!$A$4:$A$2463,'Trójkąty skumulowane'!$A$16,Dane!$H$4:$H$2463,'Trójkąty skumulowane'!$A26,Dane!$I$4:$I$2463,$A30+C$22)+B30</f>
        <v>7002247.597021183</v>
      </c>
      <c r="D30" s="66">
        <f>SUMIFS(Dane!$D$4:$D$2463,Dane!$A$4:$A$2463,'Trójkąty skumulowane'!$A$16,Dane!$H$4:$H$2463,'Trójkąty skumulowane'!$A26,Dane!$I$4:$I$2463,$A30+D$22)+C30</f>
        <v>7032173.1109102778</v>
      </c>
      <c r="E30" s="67">
        <f>SUMIFS(Dane!$D$4:$D$2463,Dane!$A$4:$A$2463,'Trójkąty skumulowane'!$A$1,Dane!$H$4:$H$2463,'Trójkąty skumulowane'!$A26,Dane!$I$4:$I$2463,$A30+E$3)</f>
        <v>0</v>
      </c>
      <c r="F30" s="67">
        <f>SUMIFS(Dane!$D$4:$D$2463,Dane!$A$4:$A$2463,'Trójkąty skumulowane'!$A$1,Dane!$H$4:$H$2463,'Trójkąty skumulowane'!$A26,Dane!$I$4:$I$2463,$A30+F$3)</f>
        <v>0</v>
      </c>
      <c r="G30" s="67">
        <f>SUMIFS(Dane!$D$4:$D$2463,Dane!$A$4:$A$2463,'Trójkąty skumulowane'!$A$1,Dane!$H$4:$H$2463,'Trójkąty skumulowane'!$A26,Dane!$I$4:$I$2463,$A30+G$3)</f>
        <v>0</v>
      </c>
      <c r="H30" s="67">
        <f>SUMIFS(Dane!$D$4:$D$2463,Dane!$A$4:$A$2463,'Trójkąty skumulowane'!$A$1,Dane!$H$4:$H$2463,'Trójkąty skumulowane'!$A26,Dane!$I$4:$I$2463,$A30+H$3)</f>
        <v>0</v>
      </c>
      <c r="I30" s="67">
        <f>SUMIFS(Dane!$D$4:$D$2463,Dane!$A$4:$A$2463,'Trójkąty skumulowane'!$A$1,Dane!$H$4:$H$2463,'Trójkąty skumulowane'!$A26,Dane!$I$4:$I$2463,$A30+I$3)</f>
        <v>0</v>
      </c>
      <c r="J30" s="67">
        <f>SUMIFS(Dane!$D$4:$D$2463,Dane!$A$4:$A$2463,'Trójkąty skumulowane'!$A$1,Dane!$H$4:$H$2463,'Trójkąty skumulowane'!$A26,Dane!$I$4:$I$2463,$A30+J$3)</f>
        <v>0</v>
      </c>
      <c r="K30" s="68">
        <f>SUMIFS(Dane!$D$4:$D$2463,Dane!$A$4:$A$2463,'Trójkąty skumulowane'!$A$1,Dane!$H$4:$H$2463,'Trójkąty skumulowane'!$A26,Dane!$I$4:$I$2463,$A30+K$3)</f>
        <v>0</v>
      </c>
      <c r="L30" s="14"/>
      <c r="M30">
        <v>2019</v>
      </c>
      <c r="N30" s="66">
        <v>5825184.4614891456</v>
      </c>
      <c r="O30" s="66">
        <v>7002247.597021183</v>
      </c>
      <c r="P30" s="66">
        <v>7032173.1109102778</v>
      </c>
      <c r="Q30" s="67">
        <v>0</v>
      </c>
      <c r="R30" s="67">
        <v>0</v>
      </c>
      <c r="S30" s="67">
        <v>0</v>
      </c>
      <c r="T30" s="67">
        <v>0</v>
      </c>
      <c r="U30" s="67">
        <v>0</v>
      </c>
      <c r="V30" s="67">
        <v>0</v>
      </c>
      <c r="W30" s="68">
        <f>(1-P36)*$AB$7*5*N30+P30</f>
        <v>7047607.533174511</v>
      </c>
      <c r="X30" s="14">
        <f>(1-P36)*$AB$7*5*N30</f>
        <v>15434.422264232919</v>
      </c>
    </row>
    <row r="31" spans="1:25" x14ac:dyDescent="0.25">
      <c r="A31">
        <v>2020</v>
      </c>
      <c r="B31" s="66">
        <f>SUMIFS(Dane!$D$4:$D$2463,Dane!$A$4:$A$2463,'Trójkąty skumulowane'!$A$16,Dane!$H$4:$H$2463,'Trójkąty skumulowane'!$A27,Dane!$I$4:$I$2463,$A31+B$22)</f>
        <v>6735078.0685242079</v>
      </c>
      <c r="C31" s="66">
        <f>SUMIFS(Dane!$D$4:$D$2463,Dane!$A$4:$A$2463,'Trójkąty skumulowane'!$A$16,Dane!$H$4:$H$2463,'Trójkąty skumulowane'!$A27,Dane!$I$4:$I$2463,$A31+C$22)+B31</f>
        <v>7976472.9698659219</v>
      </c>
      <c r="D31" s="67">
        <f>SUMIFS(Dane!$D$4:$D$2463,Dane!$A$4:$A$2463,'Trójkąty skumulowane'!$A$1,Dane!$H$4:$H$2463,'Trójkąty skumulowane'!$A27,Dane!$I$4:$I$2463,$A31+D$3)</f>
        <v>0</v>
      </c>
      <c r="E31" s="67">
        <f>SUMIFS(Dane!$D$4:$D$2463,Dane!$A$4:$A$2463,'Trójkąty skumulowane'!$A$1,Dane!$H$4:$H$2463,'Trójkąty skumulowane'!$A27,Dane!$I$4:$I$2463,$A31+E$3)</f>
        <v>0</v>
      </c>
      <c r="F31" s="67">
        <f>SUMIFS(Dane!$D$4:$D$2463,Dane!$A$4:$A$2463,'Trójkąty skumulowane'!$A$1,Dane!$H$4:$H$2463,'Trójkąty skumulowane'!$A27,Dane!$I$4:$I$2463,$A31+F$3)</f>
        <v>0</v>
      </c>
      <c r="G31" s="67">
        <f>SUMIFS(Dane!$D$4:$D$2463,Dane!$A$4:$A$2463,'Trójkąty skumulowane'!$A$1,Dane!$H$4:$H$2463,'Trójkąty skumulowane'!$A27,Dane!$I$4:$I$2463,$A31+G$3)</f>
        <v>0</v>
      </c>
      <c r="H31" s="67">
        <f>SUMIFS(Dane!$D$4:$D$2463,Dane!$A$4:$A$2463,'Trójkąty skumulowane'!$A$1,Dane!$H$4:$H$2463,'Trójkąty skumulowane'!$A27,Dane!$I$4:$I$2463,$A31+H$3)</f>
        <v>0</v>
      </c>
      <c r="I31" s="67">
        <f>SUMIFS(Dane!$D$4:$D$2463,Dane!$A$4:$A$2463,'Trójkąty skumulowane'!$A$1,Dane!$H$4:$H$2463,'Trójkąty skumulowane'!$A27,Dane!$I$4:$I$2463,$A31+I$3)</f>
        <v>0</v>
      </c>
      <c r="J31" s="67">
        <f>SUMIFS(Dane!$D$4:$D$2463,Dane!$A$4:$A$2463,'Trójkąty skumulowane'!$A$1,Dane!$H$4:$H$2463,'Trójkąty skumulowane'!$A27,Dane!$I$4:$I$2463,$A31+J$3)</f>
        <v>0</v>
      </c>
      <c r="K31" s="68">
        <f>SUMIFS(Dane!$D$4:$D$2463,Dane!$A$4:$A$2463,'Trójkąty skumulowane'!$A$1,Dane!$H$4:$H$2463,'Trójkąty skumulowane'!$A27,Dane!$I$4:$I$2463,$A31+K$3)</f>
        <v>0</v>
      </c>
      <c r="L31" s="14"/>
      <c r="M31">
        <v>2020</v>
      </c>
      <c r="N31" s="66">
        <v>6735078.0685242079</v>
      </c>
      <c r="O31" s="66">
        <v>7976472.9698659219</v>
      </c>
      <c r="P31" s="67">
        <v>0</v>
      </c>
      <c r="Q31" s="67">
        <v>0</v>
      </c>
      <c r="R31" s="67">
        <v>0</v>
      </c>
      <c r="S31" s="67">
        <v>0</v>
      </c>
      <c r="T31" s="67">
        <v>0</v>
      </c>
      <c r="U31" s="67">
        <v>0</v>
      </c>
      <c r="V31" s="67">
        <v>0</v>
      </c>
      <c r="W31" s="68">
        <f>(1-O36)*$AB$7*5*N31+O31</f>
        <v>8179026.3592945011</v>
      </c>
      <c r="X31" s="14">
        <f>(1-O36)*$AB$7*5*N31</f>
        <v>202553.3894285791</v>
      </c>
    </row>
    <row r="32" spans="1:25" x14ac:dyDescent="0.25">
      <c r="A32">
        <v>2021</v>
      </c>
      <c r="B32" s="66">
        <f>SUMIFS(Dane!$D$4:$D$2463,Dane!$A$4:$A$2463,'Trójkąty skumulowane'!$A$16,Dane!$H$4:$H$2463,'Trójkąty skumulowane'!$A28,Dane!$I$4:$I$2463,$A32+B$22)</f>
        <v>6428313.2761970535</v>
      </c>
      <c r="C32" s="67">
        <f>SUMIFS(Dane!$D$4:$D$2463,Dane!$A$4:$A$2463,'Trójkąty skumulowane'!$A$1,Dane!$H$4:$H$2463,'Trójkąty skumulowane'!$A28,Dane!$I$4:$I$2463,$A32+C$3)</f>
        <v>0</v>
      </c>
      <c r="D32" s="67">
        <f>SUMIFS(Dane!$D$4:$D$2463,Dane!$A$4:$A$2463,'Trójkąty skumulowane'!$A$1,Dane!$H$4:$H$2463,'Trójkąty skumulowane'!$A28,Dane!$I$4:$I$2463,$A32+D$3)</f>
        <v>0</v>
      </c>
      <c r="E32" s="67">
        <f>SUMIFS(Dane!$D$4:$D$2463,Dane!$A$4:$A$2463,'Trójkąty skumulowane'!$A$1,Dane!$H$4:$H$2463,'Trójkąty skumulowane'!$A28,Dane!$I$4:$I$2463,$A32+E$3)</f>
        <v>0</v>
      </c>
      <c r="F32" s="67">
        <f>SUMIFS(Dane!$D$4:$D$2463,Dane!$A$4:$A$2463,'Trójkąty skumulowane'!$A$1,Dane!$H$4:$H$2463,'Trójkąty skumulowane'!$A28,Dane!$I$4:$I$2463,$A32+F$3)</f>
        <v>0</v>
      </c>
      <c r="G32" s="67">
        <f>SUMIFS(Dane!$D$4:$D$2463,Dane!$A$4:$A$2463,'Trójkąty skumulowane'!$A$1,Dane!$H$4:$H$2463,'Trójkąty skumulowane'!$A28,Dane!$I$4:$I$2463,$A32+G$3)</f>
        <v>0</v>
      </c>
      <c r="H32" s="67">
        <f>SUMIFS(Dane!$D$4:$D$2463,Dane!$A$4:$A$2463,'Trójkąty skumulowane'!$A$1,Dane!$H$4:$H$2463,'Trójkąty skumulowane'!$A28,Dane!$I$4:$I$2463,$A32+H$3)</f>
        <v>0</v>
      </c>
      <c r="I32" s="67">
        <f>SUMIFS(Dane!$D$4:$D$2463,Dane!$A$4:$A$2463,'Trójkąty skumulowane'!$A$1,Dane!$H$4:$H$2463,'Trójkąty skumulowane'!$A28,Dane!$I$4:$I$2463,$A32+I$3)</f>
        <v>0</v>
      </c>
      <c r="J32" s="67">
        <f>SUMIFS(Dane!$D$4:$D$2463,Dane!$A$4:$A$2463,'Trójkąty skumulowane'!$A$1,Dane!$H$4:$H$2463,'Trójkąty skumulowane'!$A28,Dane!$I$4:$I$2463,$A32+J$3)</f>
        <v>0</v>
      </c>
      <c r="K32" s="68">
        <f>SUMIFS(Dane!$D$4:$D$2463,Dane!$A$4:$A$2463,'Trójkąty skumulowane'!$A$1,Dane!$H$4:$H$2463,'Trójkąty skumulowane'!$A28,Dane!$I$4:$I$2463,$A32+K$3)</f>
        <v>0</v>
      </c>
      <c r="L32" s="14"/>
      <c r="M32">
        <v>2021</v>
      </c>
      <c r="N32" s="66">
        <v>6428313.2761970535</v>
      </c>
      <c r="O32" s="67">
        <v>0</v>
      </c>
      <c r="P32" s="67">
        <v>0</v>
      </c>
      <c r="Q32" s="67">
        <v>0</v>
      </c>
      <c r="R32" s="67">
        <v>0</v>
      </c>
      <c r="S32" s="67">
        <v>0</v>
      </c>
      <c r="T32" s="67">
        <v>0</v>
      </c>
      <c r="U32" s="67">
        <v>0</v>
      </c>
      <c r="V32" s="67">
        <v>0</v>
      </c>
      <c r="W32" s="68">
        <f>(1-N36)*$AB$7*5*N32+N32</f>
        <v>10856829.373021191</v>
      </c>
      <c r="X32" s="14">
        <f>(1-N36)*$AB$7*5*N32</f>
        <v>4428516.0968241375</v>
      </c>
      <c r="Y32" s="13"/>
    </row>
    <row r="33" spans="1:24" x14ac:dyDescent="0.25">
      <c r="L33" s="18"/>
      <c r="X33" s="18">
        <f>SUM(X24:X32)</f>
        <v>4596426.9090829315</v>
      </c>
    </row>
    <row r="35" spans="1:24" x14ac:dyDescent="0.25">
      <c r="A35" t="s">
        <v>51</v>
      </c>
      <c r="C35">
        <f>SUM(C23:C31)/SUM(B23:B31)</f>
        <v>1.2152282717922607</v>
      </c>
      <c r="D35">
        <f>SUM(D23:D30)/SUM(C23:C30)</f>
        <v>1.0073724031826814</v>
      </c>
      <c r="E35">
        <f>SUM(E23:E29)/SUM(D23:D29)</f>
        <v>1.0014914951879261</v>
      </c>
      <c r="F35">
        <f>SUM(F23:F28)/SUM(E23:E28)</f>
        <v>0.99990752909513281</v>
      </c>
      <c r="G35">
        <f>SUM(G23:G27)/SUM(F23:F27)</f>
        <v>0.9997967229758733</v>
      </c>
      <c r="H35">
        <f>SUM(H23:H26)/SUM(G23:G26)</f>
        <v>0.99988753204910041</v>
      </c>
      <c r="I35">
        <f>SUM(I23:I25)/SUM(H23:H25)</f>
        <v>0.9998343412954942</v>
      </c>
      <c r="J35">
        <f>SUM(J23:J24)/SUM(I23:I24)</f>
        <v>0.99987433930555802</v>
      </c>
      <c r="K35">
        <f>SUM(K23)/SUM(J23)</f>
        <v>0.99991601802525232</v>
      </c>
      <c r="M35" t="s">
        <v>51</v>
      </c>
      <c r="O35">
        <v>1.2152282717922607</v>
      </c>
      <c r="P35">
        <v>1.0073724031826814</v>
      </c>
      <c r="Q35">
        <v>1.0014914951879261</v>
      </c>
      <c r="R35">
        <v>0.99990752909513281</v>
      </c>
      <c r="S35">
        <v>0.9997967229758733</v>
      </c>
      <c r="T35">
        <v>0.99988753204910041</v>
      </c>
      <c r="U35">
        <v>0.9998343412954942</v>
      </c>
      <c r="V35">
        <v>0.99987433930555802</v>
      </c>
      <c r="W35">
        <v>0.99991601802525232</v>
      </c>
    </row>
    <row r="36" spans="1:24" x14ac:dyDescent="0.25">
      <c r="A36" t="s">
        <v>52</v>
      </c>
      <c r="B36">
        <f>1/PRODUCT(C35:K35)</f>
        <v>0.81629121433882501</v>
      </c>
      <c r="C36">
        <f>1/PRODUCT(D35:K35)</f>
        <v>0.99198016168017633</v>
      </c>
      <c r="D36">
        <f>1/PRODUCT(E35:K35)</f>
        <v>0.99929343938130388</v>
      </c>
      <c r="E36">
        <f>1/PRODUCT(F35:K35)</f>
        <v>1.0007838807374672</v>
      </c>
      <c r="F36">
        <f>1/PRODUCT(G35:K35)</f>
        <v>1.0006913373464388</v>
      </c>
      <c r="G36">
        <f>1/PRODUCT(H35:K35)</f>
        <v>1.0004879197893137</v>
      </c>
      <c r="H36">
        <f>1/PRODUCT(I35:K35)</f>
        <v>1.0003753969630751</v>
      </c>
      <c r="I36">
        <f>1/PRODUCT(J35:K35)</f>
        <v>1.0002096760707948</v>
      </c>
      <c r="J36">
        <f>1/PRODUCT(K35)</f>
        <v>1.0000839890283122</v>
      </c>
      <c r="K36">
        <v>1</v>
      </c>
      <c r="M36" t="s">
        <v>52</v>
      </c>
      <c r="N36">
        <v>0.81629121433882501</v>
      </c>
      <c r="O36">
        <v>0.99198016168017633</v>
      </c>
      <c r="P36">
        <v>0.99929343938130388</v>
      </c>
      <c r="Q36">
        <v>1.0007838807374672</v>
      </c>
      <c r="R36">
        <v>1.0006913373464388</v>
      </c>
      <c r="S36">
        <v>1.0004879197893137</v>
      </c>
      <c r="T36">
        <v>1.0003753969630751</v>
      </c>
      <c r="U36">
        <v>1.0002096760707948</v>
      </c>
      <c r="V36">
        <v>1.0000839890283122</v>
      </c>
      <c r="W36">
        <v>1</v>
      </c>
    </row>
    <row r="39" spans="1:24" x14ac:dyDescent="0.25">
      <c r="A39" s="3" t="s">
        <v>18</v>
      </c>
      <c r="M39" s="3" t="s">
        <v>18</v>
      </c>
    </row>
    <row r="40" spans="1:24" x14ac:dyDescent="0.25">
      <c r="B40" t="s">
        <v>21</v>
      </c>
      <c r="N40" t="s">
        <v>21</v>
      </c>
    </row>
    <row r="41" spans="1:24" x14ac:dyDescent="0.25">
      <c r="A41" t="s">
        <v>22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 t="s">
        <v>24</v>
      </c>
      <c r="M41" t="s">
        <v>22</v>
      </c>
      <c r="N41">
        <v>0</v>
      </c>
      <c r="O41">
        <v>1</v>
      </c>
      <c r="P41">
        <v>2</v>
      </c>
      <c r="Q41">
        <v>3</v>
      </c>
      <c r="R41">
        <v>4</v>
      </c>
      <c r="S41">
        <v>5</v>
      </c>
      <c r="T41">
        <v>6</v>
      </c>
      <c r="U41">
        <v>7</v>
      </c>
      <c r="V41">
        <v>8</v>
      </c>
      <c r="W41">
        <v>9</v>
      </c>
      <c r="X41" t="s">
        <v>24</v>
      </c>
    </row>
    <row r="42" spans="1:24" x14ac:dyDescent="0.25">
      <c r="A42">
        <v>2012</v>
      </c>
      <c r="B42" s="66">
        <f>SUMIFS(Dane!$D$4:$D$2463,Dane!$A$4:$A$2463,'Trójkąty skumulowane'!$A$31,Dane!$H$4:$H$2463,'Trójkąty skumulowane'!$A34,Dane!$I$4:$I$2463,$A42+B$41)</f>
        <v>5581442.6576523483</v>
      </c>
      <c r="C42" s="66">
        <f>SUMIFS(Dane!$D$4:$D$2463,Dane!$A$4:$A$2463,'Trójkąty skumulowane'!$A$31,Dane!$H$4:$H$2463,'Trójkąty skumulowane'!$A34,Dane!$I$4:$I$2463,$A42+C$41)+B42</f>
        <v>8206652.7707877923</v>
      </c>
      <c r="D42" s="66">
        <f>SUMIFS(Dane!$D$4:$D$2463,Dane!$A$4:$A$2463,'Trójkąty skumulowane'!$A$31,Dane!$H$4:$H$2463,'Trójkąty skumulowane'!$A34,Dane!$I$4:$I$2463,$A42+D$41)+C42</f>
        <v>8898201.9290283415</v>
      </c>
      <c r="E42" s="66">
        <f>SUMIFS(Dane!$D$4:$D$2463,Dane!$A$4:$A$2463,'Trójkąty skumulowane'!$A$31,Dane!$H$4:$H$2463,'Trójkąty skumulowane'!$A34,Dane!$I$4:$I$2463,$A42+E$41)+D42</f>
        <v>9220574.6486107409</v>
      </c>
      <c r="F42" s="66">
        <f>SUMIFS(Dane!$D$4:$D$2463,Dane!$A$4:$A$2463,'Trójkąty skumulowane'!$A$31,Dane!$H$4:$H$2463,'Trójkąty skumulowane'!$A34,Dane!$I$4:$I$2463,$A42+F$41)+E42</f>
        <v>9425853.7168494407</v>
      </c>
      <c r="G42" s="66">
        <f>SUMIFS(Dane!$D$4:$D$2463,Dane!$A$4:$A$2463,'Trójkąty skumulowane'!$A$31,Dane!$H$4:$H$2463,'Trójkąty skumulowane'!$A34,Dane!$I$4:$I$2463,$A42+G$41)+F42</f>
        <v>9531753.1374178734</v>
      </c>
      <c r="H42" s="66">
        <f>SUMIFS(Dane!$D$4:$D$2463,Dane!$A$4:$A$2463,'Trójkąty skumulowane'!$A$31,Dane!$H$4:$H$2463,'Trójkąty skumulowane'!$A34,Dane!$I$4:$I$2463,$A42+H$41)+G42</f>
        <v>9602550.5024997108</v>
      </c>
      <c r="I42" s="66">
        <f>SUMIFS(Dane!$D$4:$D$2463,Dane!$A$4:$A$2463,'Trójkąty skumulowane'!$A$31,Dane!$H$4:$H$2463,'Trójkąty skumulowane'!$A34,Dane!$I$4:$I$2463,$A42+I$41)+H42</f>
        <v>9664785.1807720531</v>
      </c>
      <c r="J42" s="66">
        <f>SUMIFS(Dane!$D$4:$D$2463,Dane!$A$4:$A$2463,'Trójkąty skumulowane'!$A$31,Dane!$H$4:$H$2463,'Trójkąty skumulowane'!$A34,Dane!$I$4:$I$2463,$A42+J$41)+I42</f>
        <v>9744191.1671111416</v>
      </c>
      <c r="K42" s="66">
        <f>SUMIFS(Dane!$D$4:$D$2463,Dane!$A$4:$A$2463,'Trójkąty skumulowane'!$A$31,Dane!$H$4:$H$2463,'Trójkąty skumulowane'!$A34,Dane!$I$4:$I$2463,$A42+K$41)+J42</f>
        <v>9836885.1721109133</v>
      </c>
      <c r="L42" s="14"/>
      <c r="M42">
        <v>2012</v>
      </c>
      <c r="N42" s="66">
        <v>5581442.6576523483</v>
      </c>
      <c r="O42" s="66">
        <v>8206652.7707877923</v>
      </c>
      <c r="P42" s="66">
        <v>8898201.9290283415</v>
      </c>
      <c r="Q42" s="66">
        <v>9220574.6486107409</v>
      </c>
      <c r="R42" s="66">
        <v>9425853.7168494407</v>
      </c>
      <c r="S42" s="66">
        <v>9531753.1374178734</v>
      </c>
      <c r="T42" s="66">
        <v>9602550.5024997108</v>
      </c>
      <c r="U42" s="66">
        <v>9664785.1807720531</v>
      </c>
      <c r="V42" s="66">
        <v>9744191.1671111416</v>
      </c>
      <c r="W42" s="66">
        <v>9836885.1721109133</v>
      </c>
      <c r="X42" s="14">
        <v>0</v>
      </c>
    </row>
    <row r="43" spans="1:24" x14ac:dyDescent="0.25">
      <c r="A43">
        <v>2013</v>
      </c>
      <c r="B43" s="66">
        <f>SUMIFS(Dane!$D$4:$D$2463,Dane!$A$4:$A$2463,'Trójkąty skumulowane'!$A$31,Dane!$H$4:$H$2463,'Trójkąty skumulowane'!$A35,Dane!$I$4:$I$2463,$A43+B$41)</f>
        <v>5411379.5550185256</v>
      </c>
      <c r="C43" s="66">
        <f>SUMIFS(Dane!$D$4:$D$2463,Dane!$A$4:$A$2463,'Trójkąty skumulowane'!$A$31,Dane!$H$4:$H$2463,'Trójkąty skumulowane'!$A35,Dane!$I$4:$I$2463,$A43+C$41)+B43</f>
        <v>7900593.8976593902</v>
      </c>
      <c r="D43" s="66">
        <f>SUMIFS(Dane!$D$4:$D$2463,Dane!$A$4:$A$2463,'Trójkąty skumulowane'!$A$31,Dane!$H$4:$H$2463,'Trójkąty skumulowane'!$A35,Dane!$I$4:$I$2463,$A43+D$41)+C43</f>
        <v>8452809.5298921596</v>
      </c>
      <c r="E43" s="66">
        <f>SUMIFS(Dane!$D$4:$D$2463,Dane!$A$4:$A$2463,'Trójkąty skumulowane'!$A$31,Dane!$H$4:$H$2463,'Trójkąty skumulowane'!$A35,Dane!$I$4:$I$2463,$A43+E$41)+D43</f>
        <v>8739590.737854803</v>
      </c>
      <c r="F43" s="66">
        <f>SUMIFS(Dane!$D$4:$D$2463,Dane!$A$4:$A$2463,'Trójkąty skumulowane'!$A$31,Dane!$H$4:$H$2463,'Trójkąty skumulowane'!$A35,Dane!$I$4:$I$2463,$A43+F$41)+E43</f>
        <v>8882281.6902518589</v>
      </c>
      <c r="G43" s="66">
        <f>SUMIFS(Dane!$D$4:$D$2463,Dane!$A$4:$A$2463,'Trójkąty skumulowane'!$A$31,Dane!$H$4:$H$2463,'Trójkąty skumulowane'!$A35,Dane!$I$4:$I$2463,$A43+G$41)+F43</f>
        <v>9021858.8460047543</v>
      </c>
      <c r="H43" s="66">
        <f>SUMIFS(Dane!$D$4:$D$2463,Dane!$A$4:$A$2463,'Trójkąty skumulowane'!$A$31,Dane!$H$4:$H$2463,'Trójkąty skumulowane'!$A35,Dane!$I$4:$I$2463,$A43+H$41)+G43</f>
        <v>9101997.1280943397</v>
      </c>
      <c r="I43" s="66">
        <f>SUMIFS(Dane!$D$4:$D$2463,Dane!$A$4:$A$2463,'Trójkąty skumulowane'!$A$31,Dane!$H$4:$H$2463,'Trójkąty skumulowane'!$A35,Dane!$I$4:$I$2463,$A43+I$41)+H43</f>
        <v>9177705.103366673</v>
      </c>
      <c r="J43" s="66">
        <f>SUMIFS(Dane!$D$4:$D$2463,Dane!$A$4:$A$2463,'Trójkąty skumulowane'!$A$31,Dane!$H$4:$H$2463,'Trójkąty skumulowane'!$A35,Dane!$I$4:$I$2463,$A43+J$41)+I43</f>
        <v>9232133.1671188306</v>
      </c>
      <c r="K43" s="68">
        <f>SUMIFS(Dane!$D$4:$D$2463,Dane!$A$4:$A$2463,'Trójkąty skumulowane'!$A$31,Dane!$H$4:$H$2463,'Trójkąty skumulowane'!$A35,Dane!$I$4:$I$2463,$A43+K$41)</f>
        <v>0</v>
      </c>
      <c r="L43" s="14"/>
      <c r="M43">
        <v>2013</v>
      </c>
      <c r="N43" s="66">
        <v>5411379.5550185256</v>
      </c>
      <c r="O43" s="66">
        <v>7900593.8976593902</v>
      </c>
      <c r="P43" s="66">
        <v>8452809.5298921596</v>
      </c>
      <c r="Q43" s="66">
        <v>8739590.737854803</v>
      </c>
      <c r="R43" s="66">
        <v>8882281.6902518589</v>
      </c>
      <c r="S43" s="66">
        <v>9021858.8460047543</v>
      </c>
      <c r="T43" s="66">
        <v>9101997.1280943397</v>
      </c>
      <c r="U43" s="66">
        <v>9177705.103366673</v>
      </c>
      <c r="V43" s="66">
        <v>9232133.1671188306</v>
      </c>
      <c r="W43" s="68">
        <f>(1-V55)*$AB$7*5*N43+V43</f>
        <v>9423353.1651487984</v>
      </c>
      <c r="X43" s="14">
        <f>(1-V55)*$AB$7*5*N43</f>
        <v>191219.99802996815</v>
      </c>
    </row>
    <row r="44" spans="1:24" x14ac:dyDescent="0.25">
      <c r="A44">
        <v>2014</v>
      </c>
      <c r="B44" s="66">
        <f>SUMIFS(Dane!$D$4:$D$2463,Dane!$A$4:$A$2463,'Trójkąty skumulowane'!$A$31,Dane!$H$4:$H$2463,'Trójkąty skumulowane'!$A36,Dane!$I$4:$I$2463,$A44+B$41)</f>
        <v>5125655.4854002073</v>
      </c>
      <c r="C44" s="66">
        <f>SUMIFS(Dane!$D$4:$D$2463,Dane!$A$4:$A$2463,'Trójkąty skumulowane'!$A$31,Dane!$H$4:$H$2463,'Trójkąty skumulowane'!$A36,Dane!$I$4:$I$2463,$A44+C$41)+B44</f>
        <v>7419675.5357578844</v>
      </c>
      <c r="D44" s="66">
        <f>SUMIFS(Dane!$D$4:$D$2463,Dane!$A$4:$A$2463,'Trójkąty skumulowane'!$A$31,Dane!$H$4:$H$2463,'Trójkąty skumulowane'!$A36,Dane!$I$4:$I$2463,$A44+D$41)+C44</f>
        <v>8035194.5474029956</v>
      </c>
      <c r="E44" s="66">
        <f>SUMIFS(Dane!$D$4:$D$2463,Dane!$A$4:$A$2463,'Trójkąty skumulowane'!$A$31,Dane!$H$4:$H$2463,'Trójkąty skumulowane'!$A36,Dane!$I$4:$I$2463,$A44+E$41)+D44</f>
        <v>8311293.5664852802</v>
      </c>
      <c r="F44" s="66">
        <f>SUMIFS(Dane!$D$4:$D$2463,Dane!$A$4:$A$2463,'Trójkąty skumulowane'!$A$31,Dane!$H$4:$H$2463,'Trójkąty skumulowane'!$A36,Dane!$I$4:$I$2463,$A44+F$41)+E44</f>
        <v>8485838.9932521638</v>
      </c>
      <c r="G44" s="66">
        <f>SUMIFS(Dane!$D$4:$D$2463,Dane!$A$4:$A$2463,'Trójkąty skumulowane'!$A$31,Dane!$H$4:$H$2463,'Trójkąty skumulowane'!$A36,Dane!$I$4:$I$2463,$A44+G$41)+F44</f>
        <v>8612753.2234232798</v>
      </c>
      <c r="H44" s="66">
        <f>SUMIFS(Dane!$D$4:$D$2463,Dane!$A$4:$A$2463,'Trójkąty skumulowane'!$A$31,Dane!$H$4:$H$2463,'Trójkąty skumulowane'!$A36,Dane!$I$4:$I$2463,$A44+H$41)+G44</f>
        <v>8705089.8472966179</v>
      </c>
      <c r="I44" s="66">
        <f>SUMIFS(Dane!$D$4:$D$2463,Dane!$A$4:$A$2463,'Trójkąty skumulowane'!$A$31,Dane!$H$4:$H$2463,'Trójkąty skumulowane'!$A36,Dane!$I$4:$I$2463,$A44+I$41)+H44</f>
        <v>8790192.0651726462</v>
      </c>
      <c r="J44" s="67">
        <f>SUMIFS(Dane!$D$4:$D$2463,Dane!$A$4:$A$2463,'Trójkąty skumulowane'!$A$31,Dane!$H$4:$H$2463,'Trójkąty skumulowane'!$A36,Dane!$I$4:$I$2463,$A44+J$41)</f>
        <v>0</v>
      </c>
      <c r="K44" s="68">
        <f>SUMIFS(Dane!$D$4:$D$2463,Dane!$A$4:$A$2463,'Trójkąty skumulowane'!$A$31,Dane!$H$4:$H$2463,'Trójkąty skumulowane'!$A36,Dane!$I$4:$I$2463,$A44+K$41)</f>
        <v>0</v>
      </c>
      <c r="L44" s="14"/>
      <c r="M44">
        <v>2014</v>
      </c>
      <c r="N44" s="66">
        <v>5125655.4854002073</v>
      </c>
      <c r="O44" s="66">
        <v>7419675.5357578844</v>
      </c>
      <c r="P44" s="66">
        <v>8035194.5474029956</v>
      </c>
      <c r="Q44" s="66">
        <v>8311293.5664852802</v>
      </c>
      <c r="R44" s="66">
        <v>8485838.9932521638</v>
      </c>
      <c r="S44" s="66">
        <v>8612753.2234232798</v>
      </c>
      <c r="T44" s="66">
        <v>8705089.8472966179</v>
      </c>
      <c r="U44" s="66">
        <v>8790192.0651726462</v>
      </c>
      <c r="V44" s="67">
        <v>0</v>
      </c>
      <c r="W44" s="68">
        <f>(1-U55)*$AB$8*5*N44+U44</f>
        <v>9105599.2644181885</v>
      </c>
      <c r="X44" s="14">
        <f>(1-U55)*$AB$7*5*N44</f>
        <v>315407.19924554141</v>
      </c>
    </row>
    <row r="45" spans="1:24" x14ac:dyDescent="0.25">
      <c r="A45">
        <v>2015</v>
      </c>
      <c r="B45" s="66">
        <f>SUMIFS(Dane!$D$4:$D$2463,Dane!$A$4:$A$2463,'Trójkąty skumulowane'!$A$31,Dane!$H$4:$H$2463,'Trójkąty skumulowane'!$A37,Dane!$I$4:$I$2463,$A45+B$41)</f>
        <v>4937863.1805621143</v>
      </c>
      <c r="C45" s="66">
        <f>SUMIFS(Dane!$D$4:$D$2463,Dane!$A$4:$A$2463,'Trójkąty skumulowane'!$A$31,Dane!$H$4:$H$2463,'Trójkąty skumulowane'!$A37,Dane!$I$4:$I$2463,$A45+C$41)+B45</f>
        <v>7280218.5328278262</v>
      </c>
      <c r="D45" s="66">
        <f>SUMIFS(Dane!$D$4:$D$2463,Dane!$A$4:$A$2463,'Trójkąty skumulowane'!$A$31,Dane!$H$4:$H$2463,'Trójkąty skumulowane'!$A37,Dane!$I$4:$I$2463,$A45+D$41)+C45</f>
        <v>7761059.11764865</v>
      </c>
      <c r="E45" s="66">
        <f>SUMIFS(Dane!$D$4:$D$2463,Dane!$A$4:$A$2463,'Trójkąty skumulowane'!$A$31,Dane!$H$4:$H$2463,'Trójkąty skumulowane'!$A37,Dane!$I$4:$I$2463,$A45+E$41)+D45</f>
        <v>8070594.5036562011</v>
      </c>
      <c r="F45" s="66">
        <f>SUMIFS(Dane!$D$4:$D$2463,Dane!$A$4:$A$2463,'Trójkąty skumulowane'!$A$31,Dane!$H$4:$H$2463,'Trójkąty skumulowane'!$A37,Dane!$I$4:$I$2463,$A45+F$41)+E45</f>
        <v>8357686.8388847765</v>
      </c>
      <c r="G45" s="66">
        <f>SUMIFS(Dane!$D$4:$D$2463,Dane!$A$4:$A$2463,'Trójkąty skumulowane'!$A$31,Dane!$H$4:$H$2463,'Trójkąty skumulowane'!$A37,Dane!$I$4:$I$2463,$A45+G$41)+F45</f>
        <v>8508734.3164296784</v>
      </c>
      <c r="H45" s="66">
        <f>SUMIFS(Dane!$D$4:$D$2463,Dane!$A$4:$A$2463,'Trójkąty skumulowane'!$A$31,Dane!$H$4:$H$2463,'Trójkąty skumulowane'!$A37,Dane!$I$4:$I$2463,$A45+H$41)+G45</f>
        <v>8597298.6686612889</v>
      </c>
      <c r="I45" s="67">
        <f>SUMIFS(Dane!$D$4:$D$2463,Dane!$A$4:$A$2463,'Trójkąty skumulowane'!$A$31,Dane!$H$4:$H$2463,'Trójkąty skumulowane'!$A37,Dane!$I$4:$I$2463,$A45+I$41)</f>
        <v>0</v>
      </c>
      <c r="J45" s="67">
        <f>SUMIFS(Dane!$D$4:$D$2463,Dane!$A$4:$A$2463,'Trójkąty skumulowane'!$A$31,Dane!$H$4:$H$2463,'Trójkąty skumulowane'!$A37,Dane!$I$4:$I$2463,$A45+J$41)</f>
        <v>0</v>
      </c>
      <c r="K45" s="68">
        <f>SUMIFS(Dane!$D$4:$D$2463,Dane!$A$4:$A$2463,'Trójkąty skumulowane'!$A$31,Dane!$H$4:$H$2463,'Trójkąty skumulowane'!$A37,Dane!$I$4:$I$2463,$A45+K$41)</f>
        <v>0</v>
      </c>
      <c r="L45" s="14"/>
      <c r="M45">
        <v>2015</v>
      </c>
      <c r="N45" s="66">
        <v>4937863.1805621143</v>
      </c>
      <c r="O45" s="66">
        <v>7280218.5328278262</v>
      </c>
      <c r="P45" s="66">
        <v>7761059.11764865</v>
      </c>
      <c r="Q45" s="66">
        <v>8070594.5036562011</v>
      </c>
      <c r="R45" s="66">
        <v>8357686.8388847765</v>
      </c>
      <c r="S45" s="66">
        <v>8508734.3164296784</v>
      </c>
      <c r="T45" s="66">
        <v>8597298.6686612889</v>
      </c>
      <c r="U45" s="67">
        <v>0</v>
      </c>
      <c r="V45" s="67">
        <v>0</v>
      </c>
      <c r="W45" s="68">
        <f>(1-T55)*$AB$9*5*N45+T45</f>
        <v>9048162.4515047744</v>
      </c>
      <c r="X45" s="14">
        <f>(1-T55)*$AB$7*5*N45</f>
        <v>450863.78284348565</v>
      </c>
    </row>
    <row r="46" spans="1:24" x14ac:dyDescent="0.25">
      <c r="A46">
        <v>2016</v>
      </c>
      <c r="B46" s="66">
        <f>SUMIFS(Dane!$D$4:$D$2463,Dane!$A$4:$A$2463,'Trójkąty skumulowane'!$A$31,Dane!$H$4:$H$2463,'Trójkąty skumulowane'!$A38,Dane!$I$4:$I$2463,$A46+B$41)</f>
        <v>4897019.6391870324</v>
      </c>
      <c r="C46" s="66">
        <f>SUMIFS(Dane!$D$4:$D$2463,Dane!$A$4:$A$2463,'Trójkąty skumulowane'!$A$31,Dane!$H$4:$H$2463,'Trójkąty skumulowane'!$A38,Dane!$I$4:$I$2463,$A46+C$41)+B46</f>
        <v>7246289.1684834082</v>
      </c>
      <c r="D46" s="66">
        <f>SUMIFS(Dane!$D$4:$D$2463,Dane!$A$4:$A$2463,'Trójkąty skumulowane'!$A$31,Dane!$H$4:$H$2463,'Trójkąty skumulowane'!$A38,Dane!$I$4:$I$2463,$A46+D$41)+C46</f>
        <v>7830052.6938192165</v>
      </c>
      <c r="E46" s="66">
        <f>SUMIFS(Dane!$D$4:$D$2463,Dane!$A$4:$A$2463,'Trójkąty skumulowane'!$A$31,Dane!$H$4:$H$2463,'Trójkąty skumulowane'!$A38,Dane!$I$4:$I$2463,$A46+E$41)+D46</f>
        <v>8169946.3043205123</v>
      </c>
      <c r="F46" s="66">
        <f>SUMIFS(Dane!$D$4:$D$2463,Dane!$A$4:$A$2463,'Trójkąty skumulowane'!$A$31,Dane!$H$4:$H$2463,'Trójkąty skumulowane'!$A38,Dane!$I$4:$I$2463,$A46+F$41)+E46</f>
        <v>8399470.4375268407</v>
      </c>
      <c r="G46" s="66">
        <f>SUMIFS(Dane!$D$4:$D$2463,Dane!$A$4:$A$2463,'Trójkąty skumulowane'!$A$31,Dane!$H$4:$H$2463,'Trójkąty skumulowane'!$A38,Dane!$I$4:$I$2463,$A46+G$41)+F46</f>
        <v>8553302.2388791312</v>
      </c>
      <c r="H46" s="67">
        <f>SUMIFS(Dane!$D$4:$D$2463,Dane!$A$4:$A$2463,'Trójkąty skumulowane'!$A$31,Dane!$H$4:$H$2463,'Trójkąty skumulowane'!$A38,Dane!$I$4:$I$2463,$A46+H$41)</f>
        <v>0</v>
      </c>
      <c r="I46" s="67">
        <f>SUMIFS(Dane!$D$4:$D$2463,Dane!$A$4:$A$2463,'Trójkąty skumulowane'!$A$31,Dane!$H$4:$H$2463,'Trójkąty skumulowane'!$A38,Dane!$I$4:$I$2463,$A46+I$41)</f>
        <v>0</v>
      </c>
      <c r="J46" s="67">
        <f>SUMIFS(Dane!$D$4:$D$2463,Dane!$A$4:$A$2463,'Trójkąty skumulowane'!$A$31,Dane!$H$4:$H$2463,'Trójkąty skumulowane'!$A38,Dane!$I$4:$I$2463,$A46+J$41)</f>
        <v>0</v>
      </c>
      <c r="K46" s="68">
        <f>SUMIFS(Dane!$D$4:$D$2463,Dane!$A$4:$A$2463,'Trójkąty skumulowane'!$A$31,Dane!$H$4:$H$2463,'Trójkąty skumulowane'!$A38,Dane!$I$4:$I$2463,$A46+K$41)</f>
        <v>0</v>
      </c>
      <c r="L46" s="14"/>
      <c r="M46">
        <v>2016</v>
      </c>
      <c r="N46" s="66">
        <v>4897019.6391870324</v>
      </c>
      <c r="O46" s="66">
        <v>7246289.1684834082</v>
      </c>
      <c r="P46" s="66">
        <v>7830052.6938192165</v>
      </c>
      <c r="Q46" s="66">
        <v>8169946.3043205123</v>
      </c>
      <c r="R46" s="66">
        <v>8399470.4375268407</v>
      </c>
      <c r="S46" s="66">
        <v>8553302.2388791312</v>
      </c>
      <c r="T46" s="67">
        <v>0</v>
      </c>
      <c r="U46" s="67">
        <v>0</v>
      </c>
      <c r="V46" s="67">
        <v>0</v>
      </c>
      <c r="W46" s="68">
        <f>(1-S55)*$AB$10*5*N46+S46</f>
        <v>9165555.2667404506</v>
      </c>
      <c r="X46" s="14">
        <f>(1-S55)*$AB$7*5*N46</f>
        <v>612253.02786131867</v>
      </c>
    </row>
    <row r="47" spans="1:24" x14ac:dyDescent="0.25">
      <c r="A47">
        <v>2017</v>
      </c>
      <c r="B47" s="66">
        <f>SUMIFS(Dane!$D$4:$D$2463,Dane!$A$4:$A$2463,'Trójkąty skumulowane'!$A$31,Dane!$H$4:$H$2463,'Trójkąty skumulowane'!$A39,Dane!$I$4:$I$2463,$A47+B$41)</f>
        <v>5014791.9572833572</v>
      </c>
      <c r="C47" s="66">
        <f>SUMIFS(Dane!$D$4:$D$2463,Dane!$A$4:$A$2463,'Trójkąty skumulowane'!$A$31,Dane!$H$4:$H$2463,'Trójkąty skumulowane'!$A39,Dane!$I$4:$I$2463,$A47+C$41)+B47</f>
        <v>7473356.4843088966</v>
      </c>
      <c r="D47" s="66">
        <f>SUMIFS(Dane!$D$4:$D$2463,Dane!$A$4:$A$2463,'Trójkąty skumulowane'!$A$31,Dane!$H$4:$H$2463,'Trójkąty skumulowane'!$A39,Dane!$I$4:$I$2463,$A47+D$41)+C47</f>
        <v>8051605.7443632847</v>
      </c>
      <c r="E47" s="66">
        <f>SUMIFS(Dane!$D$4:$D$2463,Dane!$A$4:$A$2463,'Trójkąty skumulowane'!$A$31,Dane!$H$4:$H$2463,'Trójkąty skumulowane'!$A39,Dane!$I$4:$I$2463,$A47+E$41)+D47</f>
        <v>8381433.7919791909</v>
      </c>
      <c r="F47" s="66">
        <f>SUMIFS(Dane!$D$4:$D$2463,Dane!$A$4:$A$2463,'Trójkąty skumulowane'!$A$31,Dane!$H$4:$H$2463,'Trójkąty skumulowane'!$A39,Dane!$I$4:$I$2463,$A47+F$41)+E47</f>
        <v>8539007.495220311</v>
      </c>
      <c r="G47" s="67">
        <f>SUMIFS(Dane!$D$4:$D$2463,Dane!$A$4:$A$2463,'Trójkąty skumulowane'!$A$31,Dane!$H$4:$H$2463,'Trójkąty skumulowane'!$A39,Dane!$I$4:$I$2463,$A47+G$41)</f>
        <v>0</v>
      </c>
      <c r="H47" s="67">
        <f>SUMIFS(Dane!$D$4:$D$2463,Dane!$A$4:$A$2463,'Trójkąty skumulowane'!$A$31,Dane!$H$4:$H$2463,'Trójkąty skumulowane'!$A39,Dane!$I$4:$I$2463,$A47+H$41)</f>
        <v>0</v>
      </c>
      <c r="I47" s="67">
        <f>SUMIFS(Dane!$D$4:$D$2463,Dane!$A$4:$A$2463,'Trójkąty skumulowane'!$A$31,Dane!$H$4:$H$2463,'Trójkąty skumulowane'!$A39,Dane!$I$4:$I$2463,$A47+I$41)</f>
        <v>0</v>
      </c>
      <c r="J47" s="67">
        <f>SUMIFS(Dane!$D$4:$D$2463,Dane!$A$4:$A$2463,'Trójkąty skumulowane'!$A$31,Dane!$H$4:$H$2463,'Trójkąty skumulowane'!$A39,Dane!$I$4:$I$2463,$A47+J$41)</f>
        <v>0</v>
      </c>
      <c r="K47" s="68">
        <f>SUMIFS(Dane!$D$4:$D$2463,Dane!$A$4:$A$2463,'Trójkąty skumulowane'!$A$31,Dane!$H$4:$H$2463,'Trójkąty skumulowane'!$A39,Dane!$I$4:$I$2463,$A47+K$41)</f>
        <v>0</v>
      </c>
      <c r="L47" s="14"/>
      <c r="M47">
        <v>2017</v>
      </c>
      <c r="N47" s="66">
        <v>5014791.9572833572</v>
      </c>
      <c r="O47" s="66">
        <v>7473356.4843088966</v>
      </c>
      <c r="P47" s="66">
        <v>8051605.7443632847</v>
      </c>
      <c r="Q47" s="66">
        <v>8381433.7919791909</v>
      </c>
      <c r="R47" s="66">
        <v>8539007.495220311</v>
      </c>
      <c r="S47" s="67">
        <v>0</v>
      </c>
      <c r="T47" s="67">
        <v>0</v>
      </c>
      <c r="U47" s="67">
        <v>0</v>
      </c>
      <c r="V47" s="67">
        <v>0</v>
      </c>
      <c r="W47" s="68">
        <f>(1-R55)*$AB$11*5*N47+R47</f>
        <v>9444352.5686569177</v>
      </c>
      <c r="X47" s="14">
        <f>(1-R55)*$AB$7*5*N47</f>
        <v>905345.07343660726</v>
      </c>
    </row>
    <row r="48" spans="1:24" x14ac:dyDescent="0.25">
      <c r="A48">
        <v>2018</v>
      </c>
      <c r="B48" s="66">
        <f>SUMIFS(Dane!$D$4:$D$2463,Dane!$A$4:$A$2463,'Trójkąty skumulowane'!$A$31,Dane!$H$4:$H$2463,'Trójkąty skumulowane'!$A40,Dane!$I$4:$I$2463,$A48+B$41)</f>
        <v>5289023.9552167226</v>
      </c>
      <c r="C48" s="66">
        <f>SUMIFS(Dane!$D$4:$D$2463,Dane!$A$4:$A$2463,'Trójkąty skumulowane'!$A$31,Dane!$H$4:$H$2463,'Trójkąty skumulowane'!$A40,Dane!$I$4:$I$2463,$A48+C$41)+B48</f>
        <v>7765443.9363761069</v>
      </c>
      <c r="D48" s="66">
        <f>SUMIFS(Dane!$D$4:$D$2463,Dane!$A$4:$A$2463,'Trójkąty skumulowane'!$A$31,Dane!$H$4:$H$2463,'Trójkąty skumulowane'!$A40,Dane!$I$4:$I$2463,$A48+D$41)+C48</f>
        <v>8242777.4404919678</v>
      </c>
      <c r="E48" s="66">
        <f>SUMIFS(Dane!$D$4:$D$2463,Dane!$A$4:$A$2463,'Trójkąty skumulowane'!$A$31,Dane!$H$4:$H$2463,'Trójkąty skumulowane'!$A40,Dane!$I$4:$I$2463,$A48+E$41)+D48</f>
        <v>8468153.0281122215</v>
      </c>
      <c r="F48" s="67">
        <f>SUMIFS(Dane!$D$4:$D$2463,Dane!$A$4:$A$2463,'Trójkąty skumulowane'!$A$31,Dane!$H$4:$H$2463,'Trójkąty skumulowane'!$A40,Dane!$I$4:$I$2463,$A48+F$41)</f>
        <v>0</v>
      </c>
      <c r="G48" s="67">
        <f>SUMIFS(Dane!$D$4:$D$2463,Dane!$A$4:$A$2463,'Trójkąty skumulowane'!$A$31,Dane!$H$4:$H$2463,'Trójkąty skumulowane'!$A40,Dane!$I$4:$I$2463,$A48+G$41)</f>
        <v>0</v>
      </c>
      <c r="H48" s="67">
        <f>SUMIFS(Dane!$D$4:$D$2463,Dane!$A$4:$A$2463,'Trójkąty skumulowane'!$A$31,Dane!$H$4:$H$2463,'Trójkąty skumulowane'!$A40,Dane!$I$4:$I$2463,$A48+H$41)</f>
        <v>0</v>
      </c>
      <c r="I48" s="67">
        <f>SUMIFS(Dane!$D$4:$D$2463,Dane!$A$4:$A$2463,'Trójkąty skumulowane'!$A$31,Dane!$H$4:$H$2463,'Trójkąty skumulowane'!$A40,Dane!$I$4:$I$2463,$A48+I$41)</f>
        <v>0</v>
      </c>
      <c r="J48" s="67">
        <f>SUMIFS(Dane!$D$4:$D$2463,Dane!$A$4:$A$2463,'Trójkąty skumulowane'!$A$31,Dane!$H$4:$H$2463,'Trójkąty skumulowane'!$A40,Dane!$I$4:$I$2463,$A48+J$41)</f>
        <v>0</v>
      </c>
      <c r="K48" s="68">
        <f>SUMIFS(Dane!$D$4:$D$2463,Dane!$A$4:$A$2463,'Trójkąty skumulowane'!$A$31,Dane!$H$4:$H$2463,'Trójkąty skumulowane'!$A40,Dane!$I$4:$I$2463,$A48+K$41)</f>
        <v>0</v>
      </c>
      <c r="L48" s="14"/>
      <c r="M48">
        <v>2018</v>
      </c>
      <c r="N48" s="66">
        <v>5289023.9552167226</v>
      </c>
      <c r="O48" s="66">
        <v>7765443.9363761069</v>
      </c>
      <c r="P48" s="66">
        <v>8242777.4404919678</v>
      </c>
      <c r="Q48" s="66">
        <v>8468153.0281122215</v>
      </c>
      <c r="R48" s="67">
        <v>0</v>
      </c>
      <c r="S48" s="67">
        <v>0</v>
      </c>
      <c r="T48" s="67">
        <v>0</v>
      </c>
      <c r="U48" s="67">
        <v>0</v>
      </c>
      <c r="V48" s="67">
        <v>0</v>
      </c>
      <c r="W48" s="68">
        <f>(1-Q55)*$AB$12*5*N48+Q48</f>
        <v>9856727.5872989651</v>
      </c>
      <c r="X48" s="14">
        <f>(1-Q55)*$AB$7*5*N48</f>
        <v>1388574.5591867433</v>
      </c>
    </row>
    <row r="49" spans="1:24" x14ac:dyDescent="0.25">
      <c r="A49">
        <v>2019</v>
      </c>
      <c r="B49" s="66">
        <f>SUMIFS(Dane!$D$4:$D$2463,Dane!$A$4:$A$2463,'Trójkąty skumulowane'!$A$31,Dane!$H$4:$H$2463,'Trójkąty skumulowane'!$A41,Dane!$I$4:$I$2463,$A49+B$41)</f>
        <v>5361675.0260812119</v>
      </c>
      <c r="C49" s="66">
        <f>SUMIFS(Dane!$D$4:$D$2463,Dane!$A$4:$A$2463,'Trójkąty skumulowane'!$A$31,Dane!$H$4:$H$2463,'Trójkąty skumulowane'!$A41,Dane!$I$4:$I$2463,$A49+C$41)+B49</f>
        <v>7552270.4508919688</v>
      </c>
      <c r="D49" s="66">
        <f>SUMIFS(Dane!$D$4:$D$2463,Dane!$A$4:$A$2463,'Trójkąty skumulowane'!$A$31,Dane!$H$4:$H$2463,'Trójkąty skumulowane'!$A41,Dane!$I$4:$I$2463,$A49+D$41)+C49</f>
        <v>8066188.6737497589</v>
      </c>
      <c r="E49" s="67">
        <f>SUMIFS(Dane!$D$4:$D$2463,Dane!$A$4:$A$2463,'Trójkąty skumulowane'!$A$31,Dane!$H$4:$H$2463,'Trójkąty skumulowane'!$A41,Dane!$I$4:$I$2463,$A49+E$41)</f>
        <v>0</v>
      </c>
      <c r="F49" s="67">
        <f>SUMIFS(Dane!$D$4:$D$2463,Dane!$A$4:$A$2463,'Trójkąty skumulowane'!$A$31,Dane!$H$4:$H$2463,'Trójkąty skumulowane'!$A41,Dane!$I$4:$I$2463,$A49+F$41)</f>
        <v>0</v>
      </c>
      <c r="G49" s="67">
        <f>SUMIFS(Dane!$D$4:$D$2463,Dane!$A$4:$A$2463,'Trójkąty skumulowane'!$A$31,Dane!$H$4:$H$2463,'Trójkąty skumulowane'!$A41,Dane!$I$4:$I$2463,$A49+G$41)</f>
        <v>0</v>
      </c>
      <c r="H49" s="67">
        <f>SUMIFS(Dane!$D$4:$D$2463,Dane!$A$4:$A$2463,'Trójkąty skumulowane'!$A$31,Dane!$H$4:$H$2463,'Trójkąty skumulowane'!$A41,Dane!$I$4:$I$2463,$A49+H$41)</f>
        <v>0</v>
      </c>
      <c r="I49" s="67">
        <f>SUMIFS(Dane!$D$4:$D$2463,Dane!$A$4:$A$2463,'Trójkąty skumulowane'!$A$31,Dane!$H$4:$H$2463,'Trójkąty skumulowane'!$A41,Dane!$I$4:$I$2463,$A49+I$41)</f>
        <v>0</v>
      </c>
      <c r="J49" s="67">
        <f>SUMIFS(Dane!$D$4:$D$2463,Dane!$A$4:$A$2463,'Trójkąty skumulowane'!$A$31,Dane!$H$4:$H$2463,'Trójkąty skumulowane'!$A41,Dane!$I$4:$I$2463,$A49+J$41)</f>
        <v>0</v>
      </c>
      <c r="K49" s="68">
        <f>SUMIFS(Dane!$D$4:$D$2463,Dane!$A$4:$A$2463,'Trójkąty skumulowane'!$A$31,Dane!$H$4:$H$2463,'Trójkąty skumulowane'!$A41,Dane!$I$4:$I$2463,$A49+K$41)</f>
        <v>0</v>
      </c>
      <c r="L49" s="14"/>
      <c r="M49">
        <v>2019</v>
      </c>
      <c r="N49" s="66">
        <v>5361675.0260812119</v>
      </c>
      <c r="O49" s="66">
        <v>7552270.4508919688</v>
      </c>
      <c r="P49" s="66">
        <v>8066188.6737497589</v>
      </c>
      <c r="Q49" s="67">
        <v>0</v>
      </c>
      <c r="R49" s="67">
        <v>0</v>
      </c>
      <c r="S49" s="67">
        <v>0</v>
      </c>
      <c r="T49" s="67">
        <v>0</v>
      </c>
      <c r="U49" s="67">
        <v>0</v>
      </c>
      <c r="V49" s="67">
        <v>0</v>
      </c>
      <c r="W49" s="68">
        <f>(1-P55)*$AB$7*5*N49+P49</f>
        <v>10132141.532689506</v>
      </c>
      <c r="X49" s="14">
        <f>(1-P55)*$AB$7*5*N49</f>
        <v>2065952.8589397478</v>
      </c>
    </row>
    <row r="50" spans="1:24" x14ac:dyDescent="0.25">
      <c r="A50">
        <v>2020</v>
      </c>
      <c r="B50" s="66">
        <f>SUMIFS(Dane!$D$4:$D$2463,Dane!$A$4:$A$2463,'Trójkąty skumulowane'!$A$31,Dane!$H$4:$H$2463,'Trójkąty skumulowane'!$A42,Dane!$I$4:$I$2463,$A50+B$41)</f>
        <v>5311015.510566188</v>
      </c>
      <c r="C50" s="66">
        <f>SUMIFS(Dane!$D$4:$D$2463,Dane!$A$4:$A$2463,'Trójkąty skumulowane'!$A$31,Dane!$H$4:$H$2463,'Trójkąty skumulowane'!$A42,Dane!$I$4:$I$2463,$A50+C$41)+B50</f>
        <v>7383876.934500345</v>
      </c>
      <c r="D50" s="67">
        <f>SUMIFS(Dane!$D$4:$D$2463,Dane!$A$4:$A$2463,'Trójkąty skumulowane'!$A$31,Dane!$H$4:$H$2463,'Trójkąty skumulowane'!$A42,Dane!$I$4:$I$2463,$A50+D$41)</f>
        <v>0</v>
      </c>
      <c r="E50" s="67">
        <f>SUMIFS(Dane!$D$4:$D$2463,Dane!$A$4:$A$2463,'Trójkąty skumulowane'!$A$31,Dane!$H$4:$H$2463,'Trójkąty skumulowane'!$A42,Dane!$I$4:$I$2463,$A50+E$41)</f>
        <v>0</v>
      </c>
      <c r="F50" s="67">
        <f>SUMIFS(Dane!$D$4:$D$2463,Dane!$A$4:$A$2463,'Trójkąty skumulowane'!$A$31,Dane!$H$4:$H$2463,'Trójkąty skumulowane'!$A42,Dane!$I$4:$I$2463,$A50+F$41)</f>
        <v>0</v>
      </c>
      <c r="G50" s="67">
        <f>SUMIFS(Dane!$D$4:$D$2463,Dane!$A$4:$A$2463,'Trójkąty skumulowane'!$A$31,Dane!$H$4:$H$2463,'Trójkąty skumulowane'!$A42,Dane!$I$4:$I$2463,$A50+G$41)</f>
        <v>0</v>
      </c>
      <c r="H50" s="67">
        <f>SUMIFS(Dane!$D$4:$D$2463,Dane!$A$4:$A$2463,'Trójkąty skumulowane'!$A$31,Dane!$H$4:$H$2463,'Trójkąty skumulowane'!$A42,Dane!$I$4:$I$2463,$A50+H$41)</f>
        <v>0</v>
      </c>
      <c r="I50" s="67">
        <f>SUMIFS(Dane!$D$4:$D$2463,Dane!$A$4:$A$2463,'Trójkąty skumulowane'!$A$31,Dane!$H$4:$H$2463,'Trójkąty skumulowane'!$A42,Dane!$I$4:$I$2463,$A50+I$41)</f>
        <v>0</v>
      </c>
      <c r="J50" s="67">
        <f>SUMIFS(Dane!$D$4:$D$2463,Dane!$A$4:$A$2463,'Trójkąty skumulowane'!$A$31,Dane!$H$4:$H$2463,'Trójkąty skumulowane'!$A42,Dane!$I$4:$I$2463,$A50+J$41)</f>
        <v>0</v>
      </c>
      <c r="K50" s="68">
        <f>SUMIFS(Dane!$D$4:$D$2463,Dane!$A$4:$A$2463,'Trójkąty skumulowane'!$A$31,Dane!$H$4:$H$2463,'Trójkąty skumulowane'!$A42,Dane!$I$4:$I$2463,$A50+K$41)</f>
        <v>0</v>
      </c>
      <c r="L50" s="14"/>
      <c r="M50">
        <v>2020</v>
      </c>
      <c r="N50" s="66">
        <v>5311015.510566188</v>
      </c>
      <c r="O50" s="66">
        <v>7383876.934500345</v>
      </c>
      <c r="P50" s="67">
        <v>0</v>
      </c>
      <c r="Q50" s="67">
        <v>0</v>
      </c>
      <c r="R50" s="67">
        <v>0</v>
      </c>
      <c r="S50" s="67">
        <v>0</v>
      </c>
      <c r="T50" s="67">
        <v>0</v>
      </c>
      <c r="U50" s="67">
        <v>0</v>
      </c>
      <c r="V50" s="67">
        <v>0</v>
      </c>
      <c r="W50" s="68">
        <f>(1-O55)*$AB$7*5*N50+O50</f>
        <v>10659249.029375892</v>
      </c>
      <c r="X50" s="14">
        <f>(1-O55)*$AB$7*5*N50</f>
        <v>3275372.0948755471</v>
      </c>
    </row>
    <row r="51" spans="1:24" x14ac:dyDescent="0.25">
      <c r="A51">
        <v>2021</v>
      </c>
      <c r="B51" s="66">
        <f>SUMIFS(Dane!$D$4:$D$2463,Dane!$A$4:$A$2463,'Trójkąty skumulowane'!$A$31,Dane!$H$4:$H$2463,'Trójkąty skumulowane'!$A43,Dane!$I$4:$I$2463,$A51+B$41)</f>
        <v>5299650.8412340274</v>
      </c>
      <c r="C51" s="67">
        <f>SUMIFS(Dane!$D$4:$D$2463,Dane!$A$4:$A$2463,'Trójkąty skumulowane'!$A$31,Dane!$H$4:$H$2463,'Trójkąty skumulowane'!$A43,Dane!$I$4:$I$2463,$A51+C$41)</f>
        <v>0</v>
      </c>
      <c r="D51" s="67">
        <f>SUMIFS(Dane!$D$4:$D$2463,Dane!$A$4:$A$2463,'Trójkąty skumulowane'!$A$31,Dane!$H$4:$H$2463,'Trójkąty skumulowane'!$A43,Dane!$I$4:$I$2463,$A51+D$41)</f>
        <v>0</v>
      </c>
      <c r="E51" s="67">
        <f>SUMIFS(Dane!$D$4:$D$2463,Dane!$A$4:$A$2463,'Trójkąty skumulowane'!$A$31,Dane!$H$4:$H$2463,'Trójkąty skumulowane'!$A43,Dane!$I$4:$I$2463,$A51+E$41)</f>
        <v>0</v>
      </c>
      <c r="F51" s="67">
        <f>SUMIFS(Dane!$D$4:$D$2463,Dane!$A$4:$A$2463,'Trójkąty skumulowane'!$A$31,Dane!$H$4:$H$2463,'Trójkąty skumulowane'!$A43,Dane!$I$4:$I$2463,$A51+F$41)</f>
        <v>0</v>
      </c>
      <c r="G51" s="67">
        <f>SUMIFS(Dane!$D$4:$D$2463,Dane!$A$4:$A$2463,'Trójkąty skumulowane'!$A$31,Dane!$H$4:$H$2463,'Trójkąty skumulowane'!$A43,Dane!$I$4:$I$2463,$A51+G$41)</f>
        <v>0</v>
      </c>
      <c r="H51" s="67">
        <f>SUMIFS(Dane!$D$4:$D$2463,Dane!$A$4:$A$2463,'Trójkąty skumulowane'!$A$31,Dane!$H$4:$H$2463,'Trójkąty skumulowane'!$A43,Dane!$I$4:$I$2463,$A51+H$41)</f>
        <v>0</v>
      </c>
      <c r="I51" s="67">
        <f>SUMIFS(Dane!$D$4:$D$2463,Dane!$A$4:$A$2463,'Trójkąty skumulowane'!$A$31,Dane!$H$4:$H$2463,'Trójkąty skumulowane'!$A43,Dane!$I$4:$I$2463,$A51+I$41)</f>
        <v>0</v>
      </c>
      <c r="J51" s="67">
        <f>SUMIFS(Dane!$D$4:$D$2463,Dane!$A$4:$A$2463,'Trójkąty skumulowane'!$A$31,Dane!$H$4:$H$2463,'Trójkąty skumulowane'!$A43,Dane!$I$4:$I$2463,$A51+J$41)</f>
        <v>0</v>
      </c>
      <c r="K51" s="68">
        <f>SUMIFS(Dane!$D$4:$D$2463,Dane!$A$4:$A$2463,'Trójkąty skumulowane'!$A$31,Dane!$H$4:$H$2463,'Trójkąty skumulowane'!$A43,Dane!$I$4:$I$2463,$A51+K$41)</f>
        <v>0</v>
      </c>
      <c r="L51" s="14"/>
      <c r="M51">
        <v>2021</v>
      </c>
      <c r="N51" s="66">
        <v>5299650.8412340274</v>
      </c>
      <c r="O51" s="67">
        <v>0</v>
      </c>
      <c r="P51" s="67">
        <v>0</v>
      </c>
      <c r="Q51" s="67">
        <v>0</v>
      </c>
      <c r="R51" s="67">
        <v>0</v>
      </c>
      <c r="S51" s="67">
        <v>0</v>
      </c>
      <c r="T51" s="67">
        <v>0</v>
      </c>
      <c r="U51" s="67">
        <v>0</v>
      </c>
      <c r="V51" s="67">
        <v>0</v>
      </c>
      <c r="W51" s="68">
        <f>(1-N55)*$AB$7*5*N51+N51</f>
        <v>13751616.002681263</v>
      </c>
      <c r="X51" s="14">
        <f>(1-N55)*$AB$7*5*N51</f>
        <v>8451965.1614472345</v>
      </c>
    </row>
    <row r="52" spans="1:24" x14ac:dyDescent="0.25">
      <c r="L52" s="18"/>
      <c r="X52" s="18">
        <f>SUM(X43:X51)</f>
        <v>17656953.755866192</v>
      </c>
    </row>
    <row r="54" spans="1:24" x14ac:dyDescent="0.25">
      <c r="A54" t="s">
        <v>51</v>
      </c>
      <c r="C54">
        <f>SUM(C42:C50)/SUM(B42:B50)</f>
        <v>1.4538370151276416</v>
      </c>
      <c r="D54">
        <f>SUM(D42:D49)/SUM(C42:C49)</f>
        <v>1.0738503700731286</v>
      </c>
      <c r="E54">
        <f>SUM(E42:E48)/SUM(D42:D48)</f>
        <v>1.0364907195313748</v>
      </c>
      <c r="F54">
        <f>SUM(F42:F47)/SUM(E42:E47)</f>
        <v>1.0235139493552665</v>
      </c>
      <c r="G54">
        <f>SUM(G42:G46)/SUM(F42:F46)</f>
        <v>1.0155511477960275</v>
      </c>
      <c r="H54">
        <f>SUM(H42:H45)/SUM(G42:G45)</f>
        <v>1.0093016313257899</v>
      </c>
      <c r="I54">
        <f>SUM(I42:I44)/SUM(H42:H44)</f>
        <v>1.0081374615625842</v>
      </c>
      <c r="J54">
        <f>SUM(J42:J43)/SUM(I42:I43)</f>
        <v>1.0071027793074627</v>
      </c>
      <c r="K54">
        <f>SUM(K42)/SUM(J42)</f>
        <v>1.0095127449174679</v>
      </c>
      <c r="M54" t="s">
        <v>51</v>
      </c>
      <c r="O54">
        <v>1.4538370151276416</v>
      </c>
      <c r="P54">
        <v>1.0738503700731286</v>
      </c>
      <c r="Q54">
        <v>1.0364907195313748</v>
      </c>
      <c r="R54">
        <v>1.0235139493552665</v>
      </c>
      <c r="S54">
        <v>1.0155511477960275</v>
      </c>
      <c r="T54">
        <v>1.0093016313257899</v>
      </c>
      <c r="U54">
        <v>1.0081374615625842</v>
      </c>
      <c r="V54">
        <v>1.0071027793074627</v>
      </c>
      <c r="W54">
        <v>1.0095127449174679</v>
      </c>
    </row>
    <row r="55" spans="1:24" x14ac:dyDescent="0.25">
      <c r="A55" t="s">
        <v>52</v>
      </c>
      <c r="B55">
        <f>1/PRODUCT(C54:K54)</f>
        <v>0.57471587394970403</v>
      </c>
      <c r="C55">
        <f>1/PRODUCT(D54:K54)</f>
        <v>0.83554321072951154</v>
      </c>
      <c r="D55">
        <f>1/PRODUCT(E54:K54)</f>
        <v>0.89724838605397639</v>
      </c>
      <c r="E55">
        <f>1/PRODUCT(F54:K54)</f>
        <v>0.92998962525945073</v>
      </c>
      <c r="F55">
        <f>1/PRODUCT(G54:K54)</f>
        <v>0.95185735420872475</v>
      </c>
      <c r="G55">
        <f>1/PRODUCT(H54:K54)</f>
        <v>0.96665982860476007</v>
      </c>
      <c r="H55">
        <f>1/PRODUCT(I54:K54)</f>
        <v>0.97565134194789305</v>
      </c>
      <c r="I55">
        <f>1/PRODUCT(J54:K54)</f>
        <v>0.98359066724147759</v>
      </c>
      <c r="J55">
        <f>1/PRODUCT(K54)</f>
        <v>0.99057689467977383</v>
      </c>
      <c r="K55">
        <v>1</v>
      </c>
      <c r="M55" t="s">
        <v>52</v>
      </c>
      <c r="N55">
        <v>0.57471587394970403</v>
      </c>
      <c r="O55">
        <v>0.83554321072951154</v>
      </c>
      <c r="P55">
        <v>0.89724838605397639</v>
      </c>
      <c r="Q55">
        <v>0.92998962525945073</v>
      </c>
      <c r="R55">
        <v>0.95185735420872475</v>
      </c>
      <c r="S55">
        <v>0.96665982860476007</v>
      </c>
      <c r="T55">
        <v>0.97565134194789305</v>
      </c>
      <c r="U55">
        <v>0.98359066724147759</v>
      </c>
      <c r="V55">
        <v>0.99057689467977383</v>
      </c>
      <c r="W55">
        <v>1</v>
      </c>
    </row>
  </sheetData>
  <mergeCells count="1">
    <mergeCell ref="Z5:AG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58EE4-1768-4823-B41E-0601751385FE}">
  <sheetPr codeName="Arkusz10"/>
  <dimension ref="A1:Z70"/>
  <sheetViews>
    <sheetView zoomScale="70" zoomScaleNormal="70" workbookViewId="0">
      <selection activeCell="Y5" sqref="Y5"/>
    </sheetView>
  </sheetViews>
  <sheetFormatPr defaultRowHeight="15" x14ac:dyDescent="0.25"/>
  <cols>
    <col min="1" max="1" width="16.5703125" bestFit="1" customWidth="1"/>
    <col min="2" max="2" width="29.28515625" bestFit="1" customWidth="1"/>
    <col min="3" max="11" width="12" bestFit="1" customWidth="1"/>
    <col min="12" max="12" width="12.85546875" bestFit="1" customWidth="1"/>
    <col min="13" max="13" width="11.140625" customWidth="1"/>
    <col min="14" max="14" width="12" bestFit="1" customWidth="1"/>
    <col min="15" max="15" width="15.85546875" bestFit="1" customWidth="1"/>
    <col min="16" max="18" width="16" bestFit="1" customWidth="1"/>
    <col min="19" max="23" width="17" bestFit="1" customWidth="1"/>
    <col min="24" max="25" width="16.140625" bestFit="1" customWidth="1"/>
    <col min="26" max="26" width="16" bestFit="1" customWidth="1"/>
  </cols>
  <sheetData>
    <row r="1" spans="1:26" x14ac:dyDescent="0.25">
      <c r="A1" s="3" t="s">
        <v>17</v>
      </c>
      <c r="O1" s="4" t="s">
        <v>17</v>
      </c>
      <c r="Y1" s="12"/>
    </row>
    <row r="2" spans="1:26" x14ac:dyDescent="0.25">
      <c r="B2" t="s">
        <v>21</v>
      </c>
      <c r="P2" t="s">
        <v>21</v>
      </c>
      <c r="Z2" t="s">
        <v>53</v>
      </c>
    </row>
    <row r="3" spans="1:26" x14ac:dyDescent="0.25">
      <c r="A3" t="s">
        <v>22</v>
      </c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N3" s="72" t="s">
        <v>54</v>
      </c>
      <c r="O3" t="s">
        <v>22</v>
      </c>
      <c r="P3">
        <v>0</v>
      </c>
      <c r="Q3">
        <v>1</v>
      </c>
      <c r="R3">
        <v>2</v>
      </c>
      <c r="S3">
        <v>3</v>
      </c>
      <c r="T3">
        <v>4</v>
      </c>
      <c r="U3">
        <v>5</v>
      </c>
      <c r="V3">
        <v>6</v>
      </c>
      <c r="W3">
        <v>7</v>
      </c>
      <c r="X3">
        <v>8</v>
      </c>
      <c r="Y3">
        <v>9</v>
      </c>
    </row>
    <row r="4" spans="1:26" x14ac:dyDescent="0.25">
      <c r="A4">
        <v>2012</v>
      </c>
      <c r="B4" s="66">
        <f>SUMIFS(Dane!$D$4:$D$2463,Dane!$A$4:$A$2463,'Cape-Cod'!$A$1,Dane!$H$4:$H$2463,'Cape-Cod'!$A4,Dane!$I$4:$I$2463,$A4+B$3)</f>
        <v>1088980.6210946122</v>
      </c>
      <c r="C4" s="66">
        <f>SUMIFS(Dane!$D$4:$D$2463,Dane!$A$4:$A$2463,'Cape-Cod'!$A$1,Dane!$H$4:$H$2463,'Cape-Cod'!$A4,Dane!$I$4:$I$2463,$A4+C$3)+B4</f>
        <v>2131667.1827891804</v>
      </c>
      <c r="D4" s="66">
        <f>SUMIFS(Dane!$D$4:$D$2463,Dane!$A$4:$A$2463,'Cape-Cod'!$A$1,Dane!$H$4:$H$2463,'Cape-Cod'!$A4,Dane!$I$4:$I$2463,$A4+D$3)+C4</f>
        <v>2574995.4197594547</v>
      </c>
      <c r="E4" s="66">
        <f>SUMIFS(Dane!$D$4:$D$2463,Dane!$A$4:$A$2463,'Cape-Cod'!$A$1,Dane!$H$4:$H$2463,'Cape-Cod'!$A4,Dane!$I$4:$I$2463,$A4+E$3)+D4</f>
        <v>2879586.2460659551</v>
      </c>
      <c r="F4" s="66">
        <f>SUMIFS(Dane!$D$4:$D$2463,Dane!$A$4:$A$2463,'Cape-Cod'!$A$1,Dane!$H$4:$H$2463,'Cape-Cod'!$A4,Dane!$I$4:$I$2463,$A4+F$3)+E4</f>
        <v>3145556.0155862393</v>
      </c>
      <c r="G4" s="66">
        <f>SUMIFS(Dane!$D$4:$D$2463,Dane!$A$4:$A$2463,'Cape-Cod'!$A$1,Dane!$H$4:$H$2463,'Cape-Cod'!$A4,Dane!$I$4:$I$2463,$A4+G$3)+F4</f>
        <v>3510642.3092168202</v>
      </c>
      <c r="H4" s="66">
        <f>SUMIFS(Dane!$D$4:$D$2463,Dane!$A$4:$A$2463,'Cape-Cod'!$A$1,Dane!$H$4:$H$2463,'Cape-Cod'!$A4,Dane!$I$4:$I$2463,$A4+H$3)+G4</f>
        <v>3735083.5657222392</v>
      </c>
      <c r="I4" s="66">
        <f>SUMIFS(Dane!$D$4:$D$2463,Dane!$A$4:$A$2463,'Cape-Cod'!$A$1,Dane!$H$4:$H$2463,'Cape-Cod'!$A4,Dane!$I$4:$I$2463,$A4+I$3)+H4</f>
        <v>3851623.8752911706</v>
      </c>
      <c r="J4" s="66">
        <f>SUMIFS(Dane!$D$4:$D$2463,Dane!$A$4:$A$2463,'Cape-Cod'!$A$1,Dane!$H$4:$H$2463,'Cape-Cod'!$A4,Dane!$I$4:$I$2463,$A4+J$3)+I4</f>
        <v>3919451.366290886</v>
      </c>
      <c r="K4" s="66">
        <f>SUMIFS(Dane!$D$4:$D$2463,Dane!$A$4:$A$2463,'Cape-Cod'!$A$1,Dane!$H$4:$H$2463,'Cape-Cod'!$A4,Dane!$I$4:$I$2463,$A4+K$3)+J4</f>
        <v>4047893.3726979974</v>
      </c>
      <c r="L4" s="14"/>
      <c r="N4" s="72">
        <f>SUM(K4,J5,I6,H7,G8,F9,E10,D11,C12,B13)/SUM(K15*5*B4,J15*B5*5,5*I15*B6,H15*B7*5,G15*B8*5,F15*B9*5,E15*B10*5,D15*B11*5,C15*B12*5,B15*B13*5)</f>
        <v>0.90913952329579506</v>
      </c>
      <c r="O4">
        <v>2012</v>
      </c>
      <c r="P4" s="66">
        <v>1088980.6210946122</v>
      </c>
      <c r="Q4" s="66">
        <v>2131667.1827891804</v>
      </c>
      <c r="R4" s="66">
        <v>2574995.4197594547</v>
      </c>
      <c r="S4" s="66">
        <v>2879586.2460659551</v>
      </c>
      <c r="T4" s="66">
        <v>3145556.0155862393</v>
      </c>
      <c r="U4" s="66">
        <v>3510642.3092168202</v>
      </c>
      <c r="V4" s="66">
        <v>3735083.5657222392</v>
      </c>
      <c r="W4" s="66">
        <v>3851623.8752911706</v>
      </c>
      <c r="X4" s="66">
        <v>3919451.366290886</v>
      </c>
      <c r="Y4" s="66">
        <v>4047893.3726979974</v>
      </c>
      <c r="Z4" s="14"/>
    </row>
    <row r="5" spans="1:26" x14ac:dyDescent="0.25">
      <c r="A5">
        <v>2013</v>
      </c>
      <c r="B5" s="66">
        <f>SUMIFS(Dane!$D$4:$D$2463,Dane!$A$4:$A$2463,'Cape-Cod'!$A$1,Dane!$H$4:$H$2463,'Cape-Cod'!$A5,Dane!$I$4:$I$2463,$A5+B$3)</f>
        <v>1306152.7922672718</v>
      </c>
      <c r="C5" s="66">
        <f>SUMIFS(Dane!$D$4:$D$2463,Dane!$A$4:$A$2463,'Cape-Cod'!$A$1,Dane!$H$4:$H$2463,'Cape-Cod'!$A5,Dane!$I$4:$I$2463,$A5+C$3)+B5</f>
        <v>2423098.0772959162</v>
      </c>
      <c r="D5" s="66">
        <f>SUMIFS(Dane!$D$4:$D$2463,Dane!$A$4:$A$2463,'Cape-Cod'!$A$1,Dane!$H$4:$H$2463,'Cape-Cod'!$A5,Dane!$I$4:$I$2463,$A5+D$3)+C5</f>
        <v>3075018.113358567</v>
      </c>
      <c r="E5" s="66">
        <f>SUMIFS(Dane!$D$4:$D$2463,Dane!$A$4:$A$2463,'Cape-Cod'!$A$1,Dane!$H$4:$H$2463,'Cape-Cod'!$A5,Dane!$I$4:$I$2463,$A5+E$3)+D5</f>
        <v>3476624.6799267773</v>
      </c>
      <c r="F5" s="66">
        <f>SUMIFS(Dane!$D$4:$D$2463,Dane!$A$4:$A$2463,'Cape-Cod'!$A$1,Dane!$H$4:$H$2463,'Cape-Cod'!$A5,Dane!$I$4:$I$2463,$A5+F$3)+E5</f>
        <v>3794890.9619714259</v>
      </c>
      <c r="G5" s="66">
        <f>SUMIFS(Dane!$D$4:$D$2463,Dane!$A$4:$A$2463,'Cape-Cod'!$A$1,Dane!$H$4:$H$2463,'Cape-Cod'!$A5,Dane!$I$4:$I$2463,$A5+G$3)+F5</f>
        <v>4284126.0679999879</v>
      </c>
      <c r="H5" s="66">
        <f>SUMIFS(Dane!$D$4:$D$2463,Dane!$A$4:$A$2463,'Cape-Cod'!$A$1,Dane!$H$4:$H$2463,'Cape-Cod'!$A5,Dane!$I$4:$I$2463,$A5+H$3)+G5</f>
        <v>4512725.01252825</v>
      </c>
      <c r="I5" s="66">
        <f>SUMIFS(Dane!$D$4:$D$2463,Dane!$A$4:$A$2463,'Cape-Cod'!$A$1,Dane!$H$4:$H$2463,'Cape-Cod'!$A5,Dane!$I$4:$I$2463,$A5+I$3)+H5</f>
        <v>4876312.2751422348</v>
      </c>
      <c r="J5" s="66">
        <f>SUMIFS(Dane!$D$4:$D$2463,Dane!$A$4:$A$2463,'Cape-Cod'!$A$1,Dane!$H$4:$H$2463,'Cape-Cod'!$A5,Dane!$I$4:$I$2463,$A5+J$3)+I5</f>
        <v>5197779.4737660503</v>
      </c>
      <c r="K5" s="68">
        <f>SUMIFS(Dane!$D$4:$D$2463,Dane!$A$4:$A$2463,'Cape-Cod'!$A$1,Dane!$H$4:$H$2463,'Cape-Cod'!$A5,Dane!$I$4:$I$2463,$A5+K$3)</f>
        <v>0</v>
      </c>
      <c r="L5" s="14"/>
      <c r="O5">
        <v>2013</v>
      </c>
      <c r="P5" s="66">
        <v>1306152.7922672718</v>
      </c>
      <c r="Q5" s="66">
        <v>2423098.0772959162</v>
      </c>
      <c r="R5" s="66">
        <v>3075018.113358567</v>
      </c>
      <c r="S5" s="66">
        <v>3476624.6799267773</v>
      </c>
      <c r="T5" s="66">
        <v>3794890.9619714259</v>
      </c>
      <c r="U5" s="66">
        <v>4284126.0679999879</v>
      </c>
      <c r="V5" s="66">
        <v>4512725.01252825</v>
      </c>
      <c r="W5" s="66">
        <v>4876312.2751422348</v>
      </c>
      <c r="X5" s="66">
        <v>5197779.4737660503</v>
      </c>
      <c r="Y5" s="68">
        <f>X5+P5*$N$4*(Y$15-X$15)*5</f>
        <v>5386175.8491350356</v>
      </c>
      <c r="Z5" s="14">
        <f>Y5-X5</f>
        <v>188396.37536898535</v>
      </c>
    </row>
    <row r="6" spans="1:26" x14ac:dyDescent="0.25">
      <c r="A6">
        <v>2014</v>
      </c>
      <c r="B6" s="66">
        <f>SUMIFS(Dane!$D$4:$D$2463,Dane!$A$4:$A$2463,'Cape-Cod'!$A$1,Dane!$H$4:$H$2463,'Cape-Cod'!$A6,Dane!$I$4:$I$2463,$A6+B$3)</f>
        <v>1249812.5880425794</v>
      </c>
      <c r="C6" s="66">
        <f>SUMIFS(Dane!$D$4:$D$2463,Dane!$A$4:$A$2463,'Cape-Cod'!$A$1,Dane!$H$4:$H$2463,'Cape-Cod'!$A6,Dane!$I$4:$I$2463,$A6+C$3)+B6</f>
        <v>2496387.4909922341</v>
      </c>
      <c r="D6" s="66">
        <f>SUMIFS(Dane!$D$4:$D$2463,Dane!$A$4:$A$2463,'Cape-Cod'!$A$1,Dane!$H$4:$H$2463,'Cape-Cod'!$A6,Dane!$I$4:$I$2463,$A6+D$3)+C6</f>
        <v>3107175.4555642856</v>
      </c>
      <c r="E6" s="66">
        <f>SUMIFS(Dane!$D$4:$D$2463,Dane!$A$4:$A$2463,'Cape-Cod'!$A$1,Dane!$H$4:$H$2463,'Cape-Cod'!$A6,Dane!$I$4:$I$2463,$A6+E$3)+D6</f>
        <v>3687301.6275404561</v>
      </c>
      <c r="F6" s="66">
        <f>SUMIFS(Dane!$D$4:$D$2463,Dane!$A$4:$A$2463,'Cape-Cod'!$A$1,Dane!$H$4:$H$2463,'Cape-Cod'!$A6,Dane!$I$4:$I$2463,$A6+F$3)+E6</f>
        <v>4140844.1681218585</v>
      </c>
      <c r="G6" s="66">
        <f>SUMIFS(Dane!$D$4:$D$2463,Dane!$A$4:$A$2463,'Cape-Cod'!$A$1,Dane!$H$4:$H$2463,'Cape-Cod'!$A6,Dane!$I$4:$I$2463,$A6+G$3)+F6</f>
        <v>4360722.1576600038</v>
      </c>
      <c r="H6" s="66">
        <f>SUMIFS(Dane!$D$4:$D$2463,Dane!$A$4:$A$2463,'Cape-Cod'!$A$1,Dane!$H$4:$H$2463,'Cape-Cod'!$A6,Dane!$I$4:$I$2463,$A6+H$3)+G6</f>
        <v>4533709.2103520939</v>
      </c>
      <c r="I6" s="66">
        <f>SUMIFS(Dane!$D$4:$D$2463,Dane!$A$4:$A$2463,'Cape-Cod'!$A$1,Dane!$H$4:$H$2463,'Cape-Cod'!$A6,Dane!$I$4:$I$2463,$A6+I$3)+H6</f>
        <v>4808102.5173431104</v>
      </c>
      <c r="J6" s="67">
        <f>SUMIFS(Dane!$D$4:$D$2463,Dane!$A$4:$A$2463,'Cape-Cod'!$A$1,Dane!$H$4:$H$2463,'Cape-Cod'!$A6,Dane!$I$4:$I$2463,$A6+J$3)</f>
        <v>0</v>
      </c>
      <c r="K6" s="68">
        <f>SUMIFS(Dane!$D$4:$D$2463,Dane!$A$4:$A$2463,'Cape-Cod'!$A$1,Dane!$H$4:$H$2463,'Cape-Cod'!$A6,Dane!$I$4:$I$2463,$A6+K$3)</f>
        <v>0</v>
      </c>
      <c r="L6" s="14"/>
      <c r="O6">
        <v>2014</v>
      </c>
      <c r="P6" s="66">
        <v>1249812.5880425794</v>
      </c>
      <c r="Q6" s="66">
        <v>2496387.4909922341</v>
      </c>
      <c r="R6" s="66">
        <v>3107175.4555642856</v>
      </c>
      <c r="S6" s="66">
        <v>3687301.6275404561</v>
      </c>
      <c r="T6" s="66">
        <v>4140844.1681218585</v>
      </c>
      <c r="U6" s="66">
        <v>4360722.1576600038</v>
      </c>
      <c r="V6" s="66">
        <v>4533709.2103520939</v>
      </c>
      <c r="W6" s="66">
        <v>4808102.5173431104</v>
      </c>
      <c r="X6" s="67">
        <f>$W$6+$P$6*$N$4*(X15-$W$15)*5</f>
        <v>5042988.5442305375</v>
      </c>
      <c r="Y6" s="68">
        <f>$W$6+$P$6*$N$4*(Y15-$W$15)*5</f>
        <v>5223258.5424051248</v>
      </c>
      <c r="Z6" s="14">
        <f>Y6-W6</f>
        <v>415156.02506201435</v>
      </c>
    </row>
    <row r="7" spans="1:26" x14ac:dyDescent="0.25">
      <c r="A7">
        <v>2015</v>
      </c>
      <c r="B7" s="66">
        <f>SUMIFS(Dane!$D$4:$D$2463,Dane!$A$4:$A$2463,'Cape-Cod'!$A$1,Dane!$H$4:$H$2463,'Cape-Cod'!$A7,Dane!$I$4:$I$2463,$A7+B$3)</f>
        <v>1189810.0064459562</v>
      </c>
      <c r="C7" s="66">
        <f>SUMIFS(Dane!$D$4:$D$2463,Dane!$A$4:$A$2463,'Cape-Cod'!$A$1,Dane!$H$4:$H$2463,'Cape-Cod'!$A7,Dane!$I$4:$I$2463,$A7+C$3)+B7</f>
        <v>2530869.5952481655</v>
      </c>
      <c r="D7" s="66">
        <f>SUMIFS(Dane!$D$4:$D$2463,Dane!$A$4:$A$2463,'Cape-Cod'!$A$1,Dane!$H$4:$H$2463,'Cape-Cod'!$A7,Dane!$I$4:$I$2463,$A7+D$3)+C7</f>
        <v>3096984.4536133888</v>
      </c>
      <c r="E7" s="66">
        <f>SUMIFS(Dane!$D$4:$D$2463,Dane!$A$4:$A$2463,'Cape-Cod'!$A$1,Dane!$H$4:$H$2463,'Cape-Cod'!$A7,Dane!$I$4:$I$2463,$A7+E$3)+D7</f>
        <v>3877846.3341324432</v>
      </c>
      <c r="F7" s="66">
        <f>SUMIFS(Dane!$D$4:$D$2463,Dane!$A$4:$A$2463,'Cape-Cod'!$A$1,Dane!$H$4:$H$2463,'Cape-Cod'!$A7,Dane!$I$4:$I$2463,$A7+F$3)+E7</f>
        <v>4804008.5771144684</v>
      </c>
      <c r="G7" s="66">
        <f>SUMIFS(Dane!$D$4:$D$2463,Dane!$A$4:$A$2463,'Cape-Cod'!$A$1,Dane!$H$4:$H$2463,'Cape-Cod'!$A7,Dane!$I$4:$I$2463,$A7+G$3)+F7</f>
        <v>5254496.0051183002</v>
      </c>
      <c r="H7" s="66">
        <f>SUMIFS(Dane!$D$4:$D$2463,Dane!$A$4:$A$2463,'Cape-Cod'!$A$1,Dane!$H$4:$H$2463,'Cape-Cod'!$A7,Dane!$I$4:$I$2463,$A7+H$3)+G7</f>
        <v>5569311.1871171584</v>
      </c>
      <c r="I7" s="67">
        <f>SUMIFS(Dane!$D$4:$D$2463,Dane!$A$4:$A$2463,'Cape-Cod'!$A$1,Dane!$H$4:$H$2463,'Cape-Cod'!$A7,Dane!$I$4:$I$2463,$A7+I$3)</f>
        <v>0</v>
      </c>
      <c r="J7" s="67">
        <f>SUMIFS(Dane!$D$4:$D$2463,Dane!$A$4:$A$2463,'Cape-Cod'!$A$1,Dane!$H$4:$H$2463,'Cape-Cod'!$A7,Dane!$I$4:$I$2463,$A7+J$3)</f>
        <v>0</v>
      </c>
      <c r="K7" s="68">
        <f>SUMIFS(Dane!$D$4:$D$2463,Dane!$A$4:$A$2463,'Cape-Cod'!$A$1,Dane!$H$4:$H$2463,'Cape-Cod'!$A7,Dane!$I$4:$I$2463,$A7+K$3)</f>
        <v>0</v>
      </c>
      <c r="L7" s="14"/>
      <c r="O7">
        <v>2015</v>
      </c>
      <c r="P7" s="66">
        <v>1189810.0064459562</v>
      </c>
      <c r="Q7" s="66">
        <v>2530869.5952481655</v>
      </c>
      <c r="R7" s="66">
        <v>3096984.4536133888</v>
      </c>
      <c r="S7" s="66">
        <v>3877846.3341324432</v>
      </c>
      <c r="T7" s="66">
        <v>4804008.5771144684</v>
      </c>
      <c r="U7" s="66">
        <v>5254496.0051183002</v>
      </c>
      <c r="V7" s="66">
        <v>5569311.1871171584</v>
      </c>
      <c r="W7" s="67">
        <f>$V$7+$P$7*$N$4*(W15-$V$15)*5</f>
        <v>5848760.2522818511</v>
      </c>
      <c r="X7" s="67">
        <f>$V$7+$P$7*$N$4*(X15-$V$15)*5</f>
        <v>6072369.5740624005</v>
      </c>
      <c r="Y7" s="68">
        <f>$V$7+$P$7*$N$4*(Y15-$V$15)*5</f>
        <v>6243984.9424321828</v>
      </c>
      <c r="Z7" s="14">
        <f>Y7-V7</f>
        <v>674673.75531502441</v>
      </c>
    </row>
    <row r="8" spans="1:26" x14ac:dyDescent="0.25">
      <c r="A8">
        <v>2016</v>
      </c>
      <c r="B8" s="66">
        <f>SUMIFS(Dane!$D$4:$D$2463,Dane!$A$4:$A$2463,'Cape-Cod'!$A$1,Dane!$H$4:$H$2463,'Cape-Cod'!$A8,Dane!$I$4:$I$2463,$A8+B$3)</f>
        <v>1306513.6047854258</v>
      </c>
      <c r="C8" s="66">
        <f>SUMIFS(Dane!$D$4:$D$2463,Dane!$A$4:$A$2463,'Cape-Cod'!$A$1,Dane!$H$4:$H$2463,'Cape-Cod'!$A8,Dane!$I$4:$I$2463,$A8+C$3)+B8</f>
        <v>2773697.3594055078</v>
      </c>
      <c r="D8" s="66">
        <f>SUMIFS(Dane!$D$4:$D$2463,Dane!$A$4:$A$2463,'Cape-Cod'!$A$1,Dane!$H$4:$H$2463,'Cape-Cod'!$A8,Dane!$I$4:$I$2463,$A8+D$3)+C8</f>
        <v>3527548.34662739</v>
      </c>
      <c r="E8" s="66">
        <f>SUMIFS(Dane!$D$4:$D$2463,Dane!$A$4:$A$2463,'Cape-Cod'!$A$1,Dane!$H$4:$H$2463,'Cape-Cod'!$A8,Dane!$I$4:$I$2463,$A8+E$3)+D8</f>
        <v>4125343.1103807935</v>
      </c>
      <c r="F8" s="66">
        <f>SUMIFS(Dane!$D$4:$D$2463,Dane!$A$4:$A$2463,'Cape-Cod'!$A$1,Dane!$H$4:$H$2463,'Cape-Cod'!$A8,Dane!$I$4:$I$2463,$A8+F$3)+E8</f>
        <v>4521858.2407059222</v>
      </c>
      <c r="G8" s="66">
        <f>SUMIFS(Dane!$D$4:$D$2463,Dane!$A$4:$A$2463,'Cape-Cod'!$A$1,Dane!$H$4:$H$2463,'Cape-Cod'!$A8,Dane!$I$4:$I$2463,$A8+G$3)+F8</f>
        <v>4942201.9018943151</v>
      </c>
      <c r="H8" s="67">
        <f>SUMIFS(Dane!$D$4:$D$2463,Dane!$A$4:$A$2463,'Cape-Cod'!$A$1,Dane!$H$4:$H$2463,'Cape-Cod'!$A8,Dane!$I$4:$I$2463,$A8+H$3)</f>
        <v>0</v>
      </c>
      <c r="I8" s="67">
        <f>SUMIFS(Dane!$D$4:$D$2463,Dane!$A$4:$A$2463,'Cape-Cod'!$A$1,Dane!$H$4:$H$2463,'Cape-Cod'!$A8,Dane!$I$4:$I$2463,$A8+I$3)</f>
        <v>0</v>
      </c>
      <c r="J8" s="67">
        <f>SUMIFS(Dane!$D$4:$D$2463,Dane!$A$4:$A$2463,'Cape-Cod'!$A$1,Dane!$H$4:$H$2463,'Cape-Cod'!$A8,Dane!$I$4:$I$2463,$A8+J$3)</f>
        <v>0</v>
      </c>
      <c r="K8" s="68">
        <f>SUMIFS(Dane!$D$4:$D$2463,Dane!$A$4:$A$2463,'Cape-Cod'!$A$1,Dane!$H$4:$H$2463,'Cape-Cod'!$A8,Dane!$I$4:$I$2463,$A8+K$3)</f>
        <v>0</v>
      </c>
      <c r="L8" s="14"/>
      <c r="O8">
        <v>2016</v>
      </c>
      <c r="P8" s="66">
        <v>1306513.6047854258</v>
      </c>
      <c r="Q8" s="66">
        <v>2773697.3594055078</v>
      </c>
      <c r="R8" s="66">
        <v>3527548.34662739</v>
      </c>
      <c r="S8" s="66">
        <v>4125343.1103807935</v>
      </c>
      <c r="T8" s="66">
        <v>4521858.2407059222</v>
      </c>
      <c r="U8" s="66">
        <v>4942201.9018943151</v>
      </c>
      <c r="V8" s="67">
        <f>$U$8+$P$8*$N$4*(V15-$U$15)*5</f>
        <v>5208710.5811029542</v>
      </c>
      <c r="W8" s="67">
        <f>$U$8+$P$8*$N$4*(W15-$U$15)*5</f>
        <v>5515569.6623884039</v>
      </c>
      <c r="X8" s="67">
        <f>$U$8+$P$8*$N$4*(X15-$U$15)*5</f>
        <v>5761111.9081926709</v>
      </c>
      <c r="Y8" s="68">
        <f>$U$8+$P$8*$N$4*(Y15-$U$15)*5</f>
        <v>5949560.3263019929</v>
      </c>
      <c r="Z8" s="14">
        <f>Y8-U8</f>
        <v>1007358.4244076777</v>
      </c>
    </row>
    <row r="9" spans="1:26" x14ac:dyDescent="0.25">
      <c r="A9">
        <v>2017</v>
      </c>
      <c r="B9" s="66">
        <f>SUMIFS(Dane!$D$4:$D$2463,Dane!$A$4:$A$2463,'Cape-Cod'!$A$1,Dane!$H$4:$H$2463,'Cape-Cod'!$A9,Dane!$I$4:$I$2463,$A9+B$3)</f>
        <v>1300441.1763369546</v>
      </c>
      <c r="C9" s="66">
        <f>SUMIFS(Dane!$D$4:$D$2463,Dane!$A$4:$A$2463,'Cape-Cod'!$A$1,Dane!$H$4:$H$2463,'Cape-Cod'!$A9,Dane!$I$4:$I$2463,$A9+C$3)+B9</f>
        <v>2920987.7803644901</v>
      </c>
      <c r="D9" s="66">
        <f>SUMIFS(Dane!$D$4:$D$2463,Dane!$A$4:$A$2463,'Cape-Cod'!$A$1,Dane!$H$4:$H$2463,'Cape-Cod'!$A9,Dane!$I$4:$I$2463,$A9+D$3)+C9</f>
        <v>3700349.6056891792</v>
      </c>
      <c r="E9" s="66">
        <f>SUMIFS(Dane!$D$4:$D$2463,Dane!$A$4:$A$2463,'Cape-Cod'!$A$1,Dane!$H$4:$H$2463,'Cape-Cod'!$A9,Dane!$I$4:$I$2463,$A9+E$3)+D9</f>
        <v>4442914.2707381379</v>
      </c>
      <c r="F9" s="66">
        <f>SUMIFS(Dane!$D$4:$D$2463,Dane!$A$4:$A$2463,'Cape-Cod'!$A$1,Dane!$H$4:$H$2463,'Cape-Cod'!$A9,Dane!$I$4:$I$2463,$A9+F$3)+E9</f>
        <v>4813322.7351754596</v>
      </c>
      <c r="G9" s="67">
        <f>SUMIFS(Dane!$D$4:$D$2463,Dane!$A$4:$A$2463,'Cape-Cod'!$A$1,Dane!$H$4:$H$2463,'Cape-Cod'!$A9,Dane!$I$4:$I$2463,$A9+G$3)</f>
        <v>0</v>
      </c>
      <c r="H9" s="67">
        <f>SUMIFS(Dane!$D$4:$D$2463,Dane!$A$4:$A$2463,'Cape-Cod'!$A$1,Dane!$H$4:$H$2463,'Cape-Cod'!$A9,Dane!$I$4:$I$2463,$A9+H$3)</f>
        <v>0</v>
      </c>
      <c r="I9" s="67">
        <f>SUMIFS(Dane!$D$4:$D$2463,Dane!$A$4:$A$2463,'Cape-Cod'!$A$1,Dane!$H$4:$H$2463,'Cape-Cod'!$A9,Dane!$I$4:$I$2463,$A9+I$3)</f>
        <v>0</v>
      </c>
      <c r="J9" s="67">
        <f>SUMIFS(Dane!$D$4:$D$2463,Dane!$A$4:$A$2463,'Cape-Cod'!$A$1,Dane!$H$4:$H$2463,'Cape-Cod'!$A9,Dane!$I$4:$I$2463,$A9+J$3)</f>
        <v>0</v>
      </c>
      <c r="K9" s="68">
        <f>SUMIFS(Dane!$D$4:$D$2463,Dane!$A$4:$A$2463,'Cape-Cod'!$A$1,Dane!$H$4:$H$2463,'Cape-Cod'!$A9,Dane!$I$4:$I$2463,$A9+K$3)</f>
        <v>0</v>
      </c>
      <c r="L9" s="14"/>
      <c r="O9">
        <v>2017</v>
      </c>
      <c r="P9" s="66">
        <v>1300441.1763369546</v>
      </c>
      <c r="Q9" s="66">
        <v>2920987.7803644901</v>
      </c>
      <c r="R9" s="66">
        <v>3700349.6056891792</v>
      </c>
      <c r="S9" s="66">
        <v>4442914.2707381379</v>
      </c>
      <c r="T9" s="66">
        <v>4813322.7351754596</v>
      </c>
      <c r="U9" s="67">
        <f>$T$9+$P$9*$N$4*(U15-$T$15)*5</f>
        <v>5240468.4280528603</v>
      </c>
      <c r="V9" s="67">
        <f>$T$9+$P$9*$N$4*(V15-$T$15)*5</f>
        <v>5505738.4252612023</v>
      </c>
      <c r="W9" s="67">
        <f>$T$9+$P$9*$N$4*(W15-$T$15)*5</f>
        <v>5811171.2834992642</v>
      </c>
      <c r="X9" s="67">
        <f>$T$9+$P$9*$N$4*(X15-$T$15)*5</f>
        <v>6055572.2953253612</v>
      </c>
      <c r="Y9" s="68">
        <f>$T$9+$P$9*$N$4*(Y15-$T$15)*5</f>
        <v>6243144.8407832198</v>
      </c>
      <c r="Z9" s="14">
        <f>Y9-T9</f>
        <v>1429822.1056077601</v>
      </c>
    </row>
    <row r="10" spans="1:26" x14ac:dyDescent="0.25">
      <c r="A10">
        <v>2018</v>
      </c>
      <c r="B10" s="66">
        <f>SUMIFS(Dane!$D$4:$D$2463,Dane!$A$4:$A$2463,'Cape-Cod'!$A$1,Dane!$H$4:$H$2463,'Cape-Cod'!$A10,Dane!$I$4:$I$2463,$A10+B$3)</f>
        <v>1397368.0926729222</v>
      </c>
      <c r="C10" s="66">
        <f>SUMIFS(Dane!$D$4:$D$2463,Dane!$A$4:$A$2463,'Cape-Cod'!$A$1,Dane!$H$4:$H$2463,'Cape-Cod'!$A10,Dane!$I$4:$I$2463,$A10+C$3)+B10</f>
        <v>3243490.0729121687</v>
      </c>
      <c r="D10" s="66">
        <f>SUMIFS(Dane!$D$4:$D$2463,Dane!$A$4:$A$2463,'Cape-Cod'!$A$1,Dane!$H$4:$H$2463,'Cape-Cod'!$A10,Dane!$I$4:$I$2463,$A10+D$3)+C10</f>
        <v>3964518.8150557899</v>
      </c>
      <c r="E10" s="66">
        <f>SUMIFS(Dane!$D$4:$D$2463,Dane!$A$4:$A$2463,'Cape-Cod'!$A$1,Dane!$H$4:$H$2463,'Cape-Cod'!$A10,Dane!$I$4:$I$2463,$A10+E$3)+D10</f>
        <v>4661705.3347352361</v>
      </c>
      <c r="F10" s="67">
        <f>SUMIFS(Dane!$D$4:$D$2463,Dane!$A$4:$A$2463,'Cape-Cod'!$A$1,Dane!$H$4:$H$2463,'Cape-Cod'!$A10,Dane!$I$4:$I$2463,$A10+F$3)</f>
        <v>0</v>
      </c>
      <c r="G10" s="67">
        <f>SUMIFS(Dane!$D$4:$D$2463,Dane!$A$4:$A$2463,'Cape-Cod'!$A$1,Dane!$H$4:$H$2463,'Cape-Cod'!$A10,Dane!$I$4:$I$2463,$A10+G$3)</f>
        <v>0</v>
      </c>
      <c r="H10" s="67">
        <f>SUMIFS(Dane!$D$4:$D$2463,Dane!$A$4:$A$2463,'Cape-Cod'!$A$1,Dane!$H$4:$H$2463,'Cape-Cod'!$A10,Dane!$I$4:$I$2463,$A10+H$3)</f>
        <v>0</v>
      </c>
      <c r="I10" s="67">
        <f>SUMIFS(Dane!$D$4:$D$2463,Dane!$A$4:$A$2463,'Cape-Cod'!$A$1,Dane!$H$4:$H$2463,'Cape-Cod'!$A10,Dane!$I$4:$I$2463,$A10+I$3)</f>
        <v>0</v>
      </c>
      <c r="J10" s="67">
        <f>SUMIFS(Dane!$D$4:$D$2463,Dane!$A$4:$A$2463,'Cape-Cod'!$A$1,Dane!$H$4:$H$2463,'Cape-Cod'!$A10,Dane!$I$4:$I$2463,$A10+J$3)</f>
        <v>0</v>
      </c>
      <c r="K10" s="68">
        <f>SUMIFS(Dane!$D$4:$D$2463,Dane!$A$4:$A$2463,'Cape-Cod'!$A$1,Dane!$H$4:$H$2463,'Cape-Cod'!$A10,Dane!$I$4:$I$2463,$A10+K$3)</f>
        <v>0</v>
      </c>
      <c r="L10" s="14"/>
      <c r="O10">
        <v>2018</v>
      </c>
      <c r="P10" s="66">
        <v>1397368.0926729222</v>
      </c>
      <c r="Q10" s="66">
        <v>3243490.0729121687</v>
      </c>
      <c r="R10" s="66">
        <v>3964518.8150557899</v>
      </c>
      <c r="S10" s="66">
        <v>4661705.3347352361</v>
      </c>
      <c r="T10" s="67">
        <f>$S$10+$P$10*$N$4*(T15-$S$15)</f>
        <v>4765992.0607154034</v>
      </c>
      <c r="U10" s="67">
        <f>$S$10+$P$10*$N$4*(U15-$S$15)</f>
        <v>4857788.5637807436</v>
      </c>
      <c r="V10" s="67">
        <f>$S$10+$P$10*$N$4*(V15-$S$15)</f>
        <v>4914796.8832322229</v>
      </c>
      <c r="W10" s="67">
        <f>$S$10+$P$10*$N$4*(W15-$S$15)</f>
        <v>4980436.4735992337</v>
      </c>
      <c r="X10" s="67">
        <f>$S$10+$P$10*$N$4*(X15-$S$15)</f>
        <v>5032959.9067167155</v>
      </c>
      <c r="Y10" s="68">
        <f>$S$10+$P$10*$N$4*(Y15-$S$15)*5</f>
        <v>6719531.2482167669</v>
      </c>
      <c r="Z10" s="14">
        <f>Y10-S10</f>
        <v>2057825.9134815307</v>
      </c>
    </row>
    <row r="11" spans="1:26" x14ac:dyDescent="0.25">
      <c r="A11">
        <v>2019</v>
      </c>
      <c r="B11" s="66">
        <f>SUMIFS(Dane!$D$4:$D$2463,Dane!$A$4:$A$2463,'Cape-Cod'!$A$1,Dane!$H$4:$H$2463,'Cape-Cod'!$A11,Dane!$I$4:$I$2463,$A11+B$3)</f>
        <v>1570945.7683077177</v>
      </c>
      <c r="C11" s="66">
        <f>SUMIFS(Dane!$D$4:$D$2463,Dane!$A$4:$A$2463,'Cape-Cod'!$A$1,Dane!$H$4:$H$2463,'Cape-Cod'!$A11,Dane!$I$4:$I$2463,$A11+C$3)+B11</f>
        <v>3239675.6456166534</v>
      </c>
      <c r="D11" s="66">
        <f>SUMIFS(Dane!$D$4:$D$2463,Dane!$A$4:$A$2463,'Cape-Cod'!$A$1,Dane!$H$4:$H$2463,'Cape-Cod'!$A11,Dane!$I$4:$I$2463,$A11+D$3)+C11</f>
        <v>4285166.062277033</v>
      </c>
      <c r="E11" s="67">
        <f>SUMIFS(Dane!$D$4:$D$2463,Dane!$A$4:$A$2463,'Cape-Cod'!$A$1,Dane!$H$4:$H$2463,'Cape-Cod'!$A11,Dane!$I$4:$I$2463,$A11+E$3)</f>
        <v>0</v>
      </c>
      <c r="F11" s="67">
        <f>SUMIFS(Dane!$D$4:$D$2463,Dane!$A$4:$A$2463,'Cape-Cod'!$A$1,Dane!$H$4:$H$2463,'Cape-Cod'!$A11,Dane!$I$4:$I$2463,$A11+F$3)</f>
        <v>0</v>
      </c>
      <c r="G11" s="67">
        <f>SUMIFS(Dane!$D$4:$D$2463,Dane!$A$4:$A$2463,'Cape-Cod'!$A$1,Dane!$H$4:$H$2463,'Cape-Cod'!$A11,Dane!$I$4:$I$2463,$A11+G$3)</f>
        <v>0</v>
      </c>
      <c r="H11" s="67">
        <f>SUMIFS(Dane!$D$4:$D$2463,Dane!$A$4:$A$2463,'Cape-Cod'!$A$1,Dane!$H$4:$H$2463,'Cape-Cod'!$A11,Dane!$I$4:$I$2463,$A11+H$3)</f>
        <v>0</v>
      </c>
      <c r="I11" s="67">
        <f>SUMIFS(Dane!$D$4:$D$2463,Dane!$A$4:$A$2463,'Cape-Cod'!$A$1,Dane!$H$4:$H$2463,'Cape-Cod'!$A11,Dane!$I$4:$I$2463,$A11+I$3)</f>
        <v>0</v>
      </c>
      <c r="J11" s="67">
        <f>SUMIFS(Dane!$D$4:$D$2463,Dane!$A$4:$A$2463,'Cape-Cod'!$A$1,Dane!$H$4:$H$2463,'Cape-Cod'!$A11,Dane!$I$4:$I$2463,$A11+J$3)</f>
        <v>0</v>
      </c>
      <c r="K11" s="68">
        <f>SUMIFS(Dane!$D$4:$D$2463,Dane!$A$4:$A$2463,'Cape-Cod'!$A$1,Dane!$H$4:$H$2463,'Cape-Cod'!$A11,Dane!$I$4:$I$2463,$A11+K$3)</f>
        <v>0</v>
      </c>
      <c r="L11" s="14"/>
      <c r="O11">
        <v>2019</v>
      </c>
      <c r="P11" s="66">
        <v>1570945.7683077177</v>
      </c>
      <c r="Q11" s="66">
        <v>3239675.6456166534</v>
      </c>
      <c r="R11" s="66">
        <v>4285166.062277033</v>
      </c>
      <c r="S11" s="67">
        <f t="shared" ref="S11:X11" si="0">$R$11+$P$11*$N$4*(S15-$R$15)</f>
        <v>4431133.1950201169</v>
      </c>
      <c r="T11" s="67">
        <f t="shared" si="0"/>
        <v>4548374.1651898548</v>
      </c>
      <c r="U11" s="67">
        <f t="shared" si="0"/>
        <v>4651573.4072450371</v>
      </c>
      <c r="V11" s="67">
        <f t="shared" si="0"/>
        <v>4715663.1618846534</v>
      </c>
      <c r="W11" s="67">
        <f t="shared" si="0"/>
        <v>4789456.3429807415</v>
      </c>
      <c r="X11" s="67">
        <f t="shared" si="0"/>
        <v>4848504.1095825043</v>
      </c>
      <c r="Y11" s="68">
        <f>$R$11+$P$11*$N$4*(Y15-$R$15)*5</f>
        <v>7328445.783895703</v>
      </c>
      <c r="Z11" s="14">
        <f>Y11-R11</f>
        <v>3043279.72161867</v>
      </c>
    </row>
    <row r="12" spans="1:26" x14ac:dyDescent="0.25">
      <c r="A12">
        <v>2020</v>
      </c>
      <c r="B12" s="66">
        <f>SUMIFS(Dane!$D$4:$D$2463,Dane!$A$4:$A$2463,'Cape-Cod'!$A$1,Dane!$H$4:$H$2463,'Cape-Cod'!$A12,Dane!$I$4:$I$2463,$A12+B$3)</f>
        <v>1381532.6675622216</v>
      </c>
      <c r="C12" s="66">
        <f>SUMIFS(Dane!$D$4:$D$2463,Dane!$A$4:$A$2463,'Cape-Cod'!$A$1,Dane!$H$4:$H$2463,'Cape-Cod'!$A12,Dane!$I$4:$I$2463,$A12+C$3)+B12</f>
        <v>3031367.3134870529</v>
      </c>
      <c r="D12" s="67">
        <f>SUMIFS(Dane!$D$4:$D$2463,Dane!$A$4:$A$2463,'Cape-Cod'!$A$1,Dane!$H$4:$H$2463,'Cape-Cod'!$A12,Dane!$I$4:$I$2463,$A12+D$3)</f>
        <v>0</v>
      </c>
      <c r="E12" s="67">
        <f>SUMIFS(Dane!$D$4:$D$2463,Dane!$A$4:$A$2463,'Cape-Cod'!$A$1,Dane!$H$4:$H$2463,'Cape-Cod'!$A12,Dane!$I$4:$I$2463,$A12+E$3)</f>
        <v>0</v>
      </c>
      <c r="F12" s="67">
        <f>SUMIFS(Dane!$D$4:$D$2463,Dane!$A$4:$A$2463,'Cape-Cod'!$A$1,Dane!$H$4:$H$2463,'Cape-Cod'!$A12,Dane!$I$4:$I$2463,$A12+F$3)</f>
        <v>0</v>
      </c>
      <c r="G12" s="67">
        <f>SUMIFS(Dane!$D$4:$D$2463,Dane!$A$4:$A$2463,'Cape-Cod'!$A$1,Dane!$H$4:$H$2463,'Cape-Cod'!$A12,Dane!$I$4:$I$2463,$A12+G$3)</f>
        <v>0</v>
      </c>
      <c r="H12" s="67">
        <f>SUMIFS(Dane!$D$4:$D$2463,Dane!$A$4:$A$2463,'Cape-Cod'!$A$1,Dane!$H$4:$H$2463,'Cape-Cod'!$A12,Dane!$I$4:$I$2463,$A12+H$3)</f>
        <v>0</v>
      </c>
      <c r="I12" s="67">
        <f>SUMIFS(Dane!$D$4:$D$2463,Dane!$A$4:$A$2463,'Cape-Cod'!$A$1,Dane!$H$4:$H$2463,'Cape-Cod'!$A12,Dane!$I$4:$I$2463,$A12+I$3)</f>
        <v>0</v>
      </c>
      <c r="J12" s="67">
        <f>SUMIFS(Dane!$D$4:$D$2463,Dane!$A$4:$A$2463,'Cape-Cod'!$A$1,Dane!$H$4:$H$2463,'Cape-Cod'!$A12,Dane!$I$4:$I$2463,$A12+J$3)</f>
        <v>0</v>
      </c>
      <c r="K12" s="68">
        <f>SUMIFS(Dane!$D$4:$D$2463,Dane!$A$4:$A$2463,'Cape-Cod'!$A$1,Dane!$H$4:$H$2463,'Cape-Cod'!$A12,Dane!$I$4:$I$2463,$A12+K$3)</f>
        <v>0</v>
      </c>
      <c r="L12" s="14"/>
      <c r="O12">
        <v>2020</v>
      </c>
      <c r="P12" s="66">
        <v>1381532.6675622216</v>
      </c>
      <c r="Q12" s="66">
        <v>3031367.3134870529</v>
      </c>
      <c r="R12" s="67">
        <f t="shared" ref="R12:X12" si="1">$Q$12+$P$12*$N$4*(R15-$Q$15)</f>
        <v>3178297.6368033132</v>
      </c>
      <c r="S12" s="67">
        <f t="shared" si="1"/>
        <v>3306665.1249389444</v>
      </c>
      <c r="T12" s="67">
        <f t="shared" si="1"/>
        <v>3409770.0401650532</v>
      </c>
      <c r="U12" s="67">
        <f t="shared" si="1"/>
        <v>3500526.2757036495</v>
      </c>
      <c r="V12" s="67">
        <f t="shared" si="1"/>
        <v>3556888.5585251995</v>
      </c>
      <c r="W12" s="67">
        <f t="shared" si="1"/>
        <v>3621784.2999214176</v>
      </c>
      <c r="X12" s="67">
        <f t="shared" si="1"/>
        <v>3673712.5205848222</v>
      </c>
      <c r="Y12" s="68">
        <f>$Q$12+$P$12*5*$N$4*(Y15-$Q$15)</f>
        <v>6442362.3384566568</v>
      </c>
      <c r="Z12" s="14">
        <f>Y12-Q12</f>
        <v>3410995.0249696039</v>
      </c>
    </row>
    <row r="13" spans="1:26" x14ac:dyDescent="0.25">
      <c r="A13">
        <v>2021</v>
      </c>
      <c r="B13" s="66">
        <f>SUMIFS(Dane!$D$4:$D$2463,Dane!$A$4:$A$2463,'Cape-Cod'!$A$1,Dane!$H$4:$H$2463,'Cape-Cod'!$A13,Dane!$I$4:$I$2463,$A13+B$3)</f>
        <v>1346802.3542128429</v>
      </c>
      <c r="C13" s="67">
        <f>SUMIFS(Dane!$D$4:$D$2463,Dane!$A$4:$A$2463,'Cape-Cod'!$A$1,Dane!$H$4:$H$2463,'Cape-Cod'!$A13,Dane!$I$4:$I$2463,$A13+C$3)</f>
        <v>0</v>
      </c>
      <c r="D13" s="67">
        <f>SUMIFS(Dane!$D$4:$D$2463,Dane!$A$4:$A$2463,'Cape-Cod'!$A$1,Dane!$H$4:$H$2463,'Cape-Cod'!$A13,Dane!$I$4:$I$2463,$A13+D$3)</f>
        <v>0</v>
      </c>
      <c r="E13" s="67">
        <f>SUMIFS(Dane!$D$4:$D$2463,Dane!$A$4:$A$2463,'Cape-Cod'!$A$1,Dane!$H$4:$H$2463,'Cape-Cod'!$A13,Dane!$I$4:$I$2463,$A13+E$3)</f>
        <v>0</v>
      </c>
      <c r="F13" s="67">
        <f>SUMIFS(Dane!$D$4:$D$2463,Dane!$A$4:$A$2463,'Cape-Cod'!$A$1,Dane!$H$4:$H$2463,'Cape-Cod'!$A13,Dane!$I$4:$I$2463,$A13+F$3)</f>
        <v>0</v>
      </c>
      <c r="G13" s="67">
        <f>SUMIFS(Dane!$D$4:$D$2463,Dane!$A$4:$A$2463,'Cape-Cod'!$A$1,Dane!$H$4:$H$2463,'Cape-Cod'!$A13,Dane!$I$4:$I$2463,$A13+G$3)</f>
        <v>0</v>
      </c>
      <c r="H13" s="67">
        <f>SUMIFS(Dane!$D$4:$D$2463,Dane!$A$4:$A$2463,'Cape-Cod'!$A$1,Dane!$H$4:$H$2463,'Cape-Cod'!$A13,Dane!$I$4:$I$2463,$A13+H$3)</f>
        <v>0</v>
      </c>
      <c r="I13" s="67">
        <f>SUMIFS(Dane!$D$4:$D$2463,Dane!$A$4:$A$2463,'Cape-Cod'!$A$1,Dane!$H$4:$H$2463,'Cape-Cod'!$A13,Dane!$I$4:$I$2463,$A13+I$3)</f>
        <v>0</v>
      </c>
      <c r="J13" s="67">
        <f>SUMIFS(Dane!$D$4:$D$2463,Dane!$A$4:$A$2463,'Cape-Cod'!$A$1,Dane!$H$4:$H$2463,'Cape-Cod'!$A13,Dane!$I$4:$I$2463,$A13+J$3)</f>
        <v>0</v>
      </c>
      <c r="K13" s="68">
        <f>SUMIFS(Dane!$D$4:$D$2463,Dane!$A$4:$A$2463,'Cape-Cod'!$A$1,Dane!$H$4:$H$2463,'Cape-Cod'!$A13,Dane!$I$4:$I$2463,$A13+K$3)</f>
        <v>0</v>
      </c>
      <c r="L13" s="14"/>
      <c r="O13">
        <v>2021</v>
      </c>
      <c r="P13" s="66">
        <v>1346802.3542128429</v>
      </c>
      <c r="Q13" s="67">
        <f t="shared" ref="Q13:X13" si="2">$P$13+$P$13*$N$4*(Q15-$P$15)</f>
        <v>1640123.2611772825</v>
      </c>
      <c r="R13" s="67">
        <f t="shared" si="2"/>
        <v>1783359.906964872</v>
      </c>
      <c r="S13" s="67">
        <f t="shared" si="2"/>
        <v>1908500.3681966155</v>
      </c>
      <c r="T13" s="67">
        <f t="shared" si="2"/>
        <v>2009013.3316739593</v>
      </c>
      <c r="U13" s="67">
        <f t="shared" si="2"/>
        <v>2097488.048597272</v>
      </c>
      <c r="V13" s="67">
        <f t="shared" si="2"/>
        <v>2152433.4414751823</v>
      </c>
      <c r="W13" s="67">
        <f t="shared" si="2"/>
        <v>2215697.7705373671</v>
      </c>
      <c r="X13" s="67">
        <f t="shared" si="2"/>
        <v>2266320.5690289615</v>
      </c>
      <c r="Y13" s="68">
        <f>$P$13+$P$13*5*$N$4*(Y15-$P$15)</f>
        <v>6138652.9998950679</v>
      </c>
      <c r="Z13" s="14">
        <f>Y13-P13</f>
        <v>4791850.645682225</v>
      </c>
    </row>
    <row r="14" spans="1:26" x14ac:dyDescent="0.25">
      <c r="A14" t="s">
        <v>55</v>
      </c>
      <c r="C14">
        <f>SUM(C4:C12)/SUM(B4:B12)</f>
        <v>2.1024568554049639</v>
      </c>
      <c r="D14">
        <f>SUM(D4:D11)/SUM(C4:C11)</f>
        <v>1.256062294799432</v>
      </c>
      <c r="E14">
        <f>SUM(E4:E10)/SUM(D4:D10)</f>
        <v>1.1781058003161704</v>
      </c>
      <c r="F14">
        <f>SUM(F4:F9)/SUM(E4:E9)</f>
        <v>1.1214277912638833</v>
      </c>
      <c r="G14">
        <f>SUM(G4:G8)/SUM(F4:F8)</f>
        <v>1.0953111884500715</v>
      </c>
      <c r="H14">
        <f>SUM(H4:H7)/SUM(G4:G7)</f>
        <v>1.0540403884611445</v>
      </c>
      <c r="I14">
        <f>SUM(I4:I6)/SUM(H4:H6)</f>
        <v>1.0590321815963633</v>
      </c>
      <c r="J14">
        <f>SUM(J4:J5)/SUM(I4:I5)</f>
        <v>1.0446032925669604</v>
      </c>
      <c r="K14">
        <f>SUM(K4)/SUM(J4)</f>
        <v>1.0327704044274595</v>
      </c>
      <c r="L14" s="18"/>
      <c r="O14" t="s">
        <v>55</v>
      </c>
      <c r="Q14">
        <v>2.1024568554049639</v>
      </c>
      <c r="R14">
        <v>1.256062294799432</v>
      </c>
      <c r="S14">
        <v>1.1781058003161704</v>
      </c>
      <c r="T14">
        <v>1.1214277912638833</v>
      </c>
      <c r="U14">
        <v>1.0953111884500715</v>
      </c>
      <c r="V14">
        <v>1.0540403884611445</v>
      </c>
      <c r="W14">
        <v>1.0590321815963633</v>
      </c>
      <c r="X14">
        <v>1.0446032925669604</v>
      </c>
      <c r="Y14">
        <v>1.0327704044274595</v>
      </c>
      <c r="Z14" s="18">
        <f>SUM(Z5:Z13)</f>
        <v>17019357.991513491</v>
      </c>
    </row>
    <row r="15" spans="1:26" x14ac:dyDescent="0.25">
      <c r="A15" t="s">
        <v>56</v>
      </c>
      <c r="B15">
        <f>1/PRODUCT(C14:K14)</f>
        <v>0.21729363823803124</v>
      </c>
      <c r="C15">
        <f>1/PRODUCT(D14:K14)</f>
        <v>0.45685049934943506</v>
      </c>
      <c r="D15">
        <f>1/PRODUCT(E14:K14)</f>
        <v>0.57383268659311781</v>
      </c>
      <c r="E15">
        <f>1/PRODUCT(F14:K14)</f>
        <v>0.67603561648636312</v>
      </c>
      <c r="F15">
        <f>1/PRODUCT(G14:K14)</f>
        <v>0.75812512821201983</v>
      </c>
      <c r="G15">
        <f>1/PRODUCT(H14:K14)</f>
        <v>0.83038293517577055</v>
      </c>
      <c r="H15">
        <f>1/PRODUCT(I14:K14)</f>
        <v>0.87525715156417427</v>
      </c>
      <c r="I15">
        <f>1/PRODUCT(J14:K14)</f>
        <v>0.92692549067882635</v>
      </c>
      <c r="J15">
        <f>1/PRODUCT(K14)</f>
        <v>0.96826941952734735</v>
      </c>
      <c r="K15">
        <v>1</v>
      </c>
      <c r="O15" t="s">
        <v>56</v>
      </c>
      <c r="P15">
        <v>0.21729363823803124</v>
      </c>
      <c r="Q15">
        <v>0.45685049934943506</v>
      </c>
      <c r="R15">
        <v>0.57383268659311781</v>
      </c>
      <c r="S15">
        <v>0.67603561648636312</v>
      </c>
      <c r="T15">
        <v>0.75812512821201983</v>
      </c>
      <c r="U15">
        <v>0.83038293517577055</v>
      </c>
      <c r="V15">
        <v>0.87525715156417427</v>
      </c>
      <c r="W15">
        <v>0.92692549067882635</v>
      </c>
      <c r="X15">
        <v>0.96826941952734735</v>
      </c>
      <c r="Y15">
        <v>1</v>
      </c>
    </row>
    <row r="16" spans="1:26" x14ac:dyDescent="0.25">
      <c r="A16" s="3" t="s">
        <v>19</v>
      </c>
      <c r="N16" s="7"/>
      <c r="O16" t="s">
        <v>19</v>
      </c>
    </row>
    <row r="17" spans="1:26" x14ac:dyDescent="0.25">
      <c r="B17" t="s">
        <v>21</v>
      </c>
      <c r="P17" t="s">
        <v>21</v>
      </c>
    </row>
    <row r="18" spans="1:26" x14ac:dyDescent="0.25">
      <c r="A18" t="s">
        <v>22</v>
      </c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  <c r="J18">
        <v>8</v>
      </c>
      <c r="K18">
        <v>9</v>
      </c>
      <c r="O18" t="s">
        <v>22</v>
      </c>
      <c r="P18">
        <v>0</v>
      </c>
      <c r="Q18">
        <v>1</v>
      </c>
      <c r="R18">
        <v>2</v>
      </c>
      <c r="S18">
        <v>3</v>
      </c>
      <c r="T18">
        <v>4</v>
      </c>
      <c r="U18">
        <v>5</v>
      </c>
      <c r="V18">
        <v>6</v>
      </c>
      <c r="W18">
        <v>7</v>
      </c>
      <c r="X18">
        <v>8</v>
      </c>
      <c r="Y18">
        <v>9</v>
      </c>
    </row>
    <row r="19" spans="1:26" x14ac:dyDescent="0.25">
      <c r="A19">
        <v>2012</v>
      </c>
      <c r="B19" s="66">
        <f>SUMIFS(Dane!$D$4:$D$2463,Dane!$A$4:$A$2463,'Cape-Cod'!$A$16,Dane!$H$4:$H$2463,'Cape-Cod'!$A19,Dane!$I$4:$I$2463,$A19+B$18)</f>
        <v>4262147.3800735464</v>
      </c>
      <c r="C19" s="66">
        <f>SUMIFS(Dane!$D$4:$D$2463,Dane!$A$4:$A$2463,'Cape-Cod'!$A$16,Dane!$H$4:$H$2463,'Cape-Cod'!$A19,Dane!$I$4:$I$2463,$A19+C$18)+B19</f>
        <v>5171040.557632775</v>
      </c>
      <c r="D19" s="66">
        <f>SUMIFS(Dane!$D$4:$D$2463,Dane!$A$4:$A$2463,'Cape-Cod'!$A$16,Dane!$H$4:$H$2463,'Cape-Cod'!$A19,Dane!$I$4:$I$2463,$A19+D$18)+C19</f>
        <v>5206528.1608655713</v>
      </c>
      <c r="E19" s="66">
        <f>SUMIFS(Dane!$D$4:$D$2463,Dane!$A$4:$A$2463,'Cape-Cod'!$A$16,Dane!$H$4:$H$2463,'Cape-Cod'!$A19,Dane!$I$4:$I$2463,$A19+E$18)+D19</f>
        <v>5217735.2787153367</v>
      </c>
      <c r="F19" s="66">
        <f>SUMIFS(Dane!$D$4:$D$2463,Dane!$A$4:$A$2463,'Cape-Cod'!$A$16,Dane!$H$4:$H$2463,'Cape-Cod'!$A19,Dane!$I$4:$I$2463,$A19+F$18)+E19</f>
        <v>5216421.5403902102</v>
      </c>
      <c r="G19" s="66">
        <f>SUMIFS(Dane!$D$4:$D$2463,Dane!$A$4:$A$2463,'Cape-Cod'!$A$16,Dane!$H$4:$H$2463,'Cape-Cod'!$A19,Dane!$I$4:$I$2463,$A19+G$18)+F19</f>
        <v>5213475.3922777912</v>
      </c>
      <c r="H19" s="66">
        <f>SUMIFS(Dane!$D$4:$D$2463,Dane!$A$4:$A$2463,'Cape-Cod'!$A$16,Dane!$H$4:$H$2463,'Cape-Cod'!$A19,Dane!$I$4:$I$2463,$A19+H$18)+G19</f>
        <v>5212026.8016393669</v>
      </c>
      <c r="I19" s="66">
        <f>SUMIFS(Dane!$D$4:$D$2463,Dane!$A$4:$A$2463,'Cape-Cod'!$A$16,Dane!$H$4:$H$2463,'Cape-Cod'!$A19,Dane!$I$4:$I$2463,$A19+I$18)+H19</f>
        <v>5211044.3549634609</v>
      </c>
      <c r="J19" s="66">
        <f>SUMIFS(Dane!$D$4:$D$2463,Dane!$A$4:$A$2463,'Cape-Cod'!$A$16,Dane!$H$4:$H$2463,'Cape-Cod'!$A19,Dane!$I$4:$I$2463,$A19+J$18)+I19</f>
        <v>5210425.7469317596</v>
      </c>
      <c r="K19" s="66">
        <f>SUMIFS(Dane!$D$4:$D$2463,Dane!$A$4:$A$2463,'Cape-Cod'!$A$16,Dane!$H$4:$H$2463,'Cape-Cod'!$A19,Dane!$I$4:$I$2463,$A19+K$18)+J19</f>
        <v>5209988.1650882559</v>
      </c>
      <c r="L19" s="14"/>
      <c r="N19" s="72">
        <f>SUM(K19,J20,I21,H22,G23,F24,E25,D26,C27,B28)/SUM(K30*5*B19,J30*B20*5,5*I30*B21,H30*B22*5,G30*B23*5,F30*B24*5,E30*B25*5,D30*B26*5,C30*B27*5,B30*B28*5)</f>
        <v>0.2450184578735945</v>
      </c>
      <c r="O19" s="6">
        <v>2012</v>
      </c>
      <c r="P19" s="66">
        <v>4262147.3800735464</v>
      </c>
      <c r="Q19" s="66">
        <v>5171040.557632775</v>
      </c>
      <c r="R19" s="66">
        <v>5206528.1608655713</v>
      </c>
      <c r="S19" s="66">
        <v>5217735.2787153367</v>
      </c>
      <c r="T19" s="66">
        <v>5216421.5403902102</v>
      </c>
      <c r="U19" s="66">
        <v>5213475.3922777912</v>
      </c>
      <c r="V19" s="66">
        <v>5212026.8016393669</v>
      </c>
      <c r="W19" s="66">
        <v>5211044.3549634609</v>
      </c>
      <c r="X19" s="66">
        <v>5210425.7469317596</v>
      </c>
      <c r="Y19" s="66">
        <v>5209988.1650882559</v>
      </c>
      <c r="Z19" s="14"/>
    </row>
    <row r="20" spans="1:26" x14ac:dyDescent="0.25">
      <c r="A20">
        <v>2013</v>
      </c>
      <c r="B20" s="66">
        <f>SUMIFS(Dane!$D$4:$D$2463,Dane!$A$4:$A$2463,'Cape-Cod'!$A$16,Dane!$H$4:$H$2463,'Cape-Cod'!$A20,Dane!$I$4:$I$2463,$A20+B$18)</f>
        <v>4103976.8489649151</v>
      </c>
      <c r="C20" s="66">
        <f>SUMIFS(Dane!$D$4:$D$2463,Dane!$A$4:$A$2463,'Cape-Cod'!$A$16,Dane!$H$4:$H$2463,'Cape-Cod'!$A20,Dane!$I$4:$I$2463,$A20+C$18)+B20</f>
        <v>5000492.7767952532</v>
      </c>
      <c r="D20" s="66">
        <f>SUMIFS(Dane!$D$4:$D$2463,Dane!$A$4:$A$2463,'Cape-Cod'!$A$16,Dane!$H$4:$H$2463,'Cape-Cod'!$A20,Dane!$I$4:$I$2463,$A20+D$18)+C20</f>
        <v>5029836.3739904091</v>
      </c>
      <c r="E20" s="66">
        <f>SUMIFS(Dane!$D$4:$D$2463,Dane!$A$4:$A$2463,'Cape-Cod'!$A$16,Dane!$H$4:$H$2463,'Cape-Cod'!$A20,Dane!$I$4:$I$2463,$A20+E$18)+D20</f>
        <v>5040327.4160874067</v>
      </c>
      <c r="F20" s="66">
        <f>SUMIFS(Dane!$D$4:$D$2463,Dane!$A$4:$A$2463,'Cape-Cod'!$A$16,Dane!$H$4:$H$2463,'Cape-Cod'!$A20,Dane!$I$4:$I$2463,$A20+F$18)+E20</f>
        <v>5040098.8196115727</v>
      </c>
      <c r="G20" s="66">
        <f>SUMIFS(Dane!$D$4:$D$2463,Dane!$A$4:$A$2463,'Cape-Cod'!$A$16,Dane!$H$4:$H$2463,'Cape-Cod'!$A20,Dane!$I$4:$I$2463,$A20+G$18)+F20</f>
        <v>5038647.3542407844</v>
      </c>
      <c r="H20" s="66">
        <f>SUMIFS(Dane!$D$4:$D$2463,Dane!$A$4:$A$2463,'Cape-Cod'!$A$16,Dane!$H$4:$H$2463,'Cape-Cod'!$A20,Dane!$I$4:$I$2463,$A20+H$18)+G20</f>
        <v>5038526.2604642119</v>
      </c>
      <c r="I20" s="66">
        <f>SUMIFS(Dane!$D$4:$D$2463,Dane!$A$4:$A$2463,'Cape-Cod'!$A$16,Dane!$H$4:$H$2463,'Cape-Cod'!$A20,Dane!$I$4:$I$2463,$A20+I$18)+H20</f>
        <v>5038187.2178986128</v>
      </c>
      <c r="J20" s="66">
        <f>SUMIFS(Dane!$D$4:$D$2463,Dane!$A$4:$A$2463,'Cape-Cod'!$A$16,Dane!$H$4:$H$2463,'Cape-Cod'!$A20,Dane!$I$4:$I$2463,$A20+J$18)+I20</f>
        <v>5037517.9003733704</v>
      </c>
      <c r="K20" s="68">
        <f>SUMIFS(Dane!$D$4:$D$2463,Dane!$A$4:$A$2463,'Cape-Cod'!$A$1,Dane!$H$4:$H$2463,'Cape-Cod'!$A20,Dane!$I$4:$I$2463,$A20+K$3)</f>
        <v>0</v>
      </c>
      <c r="L20" s="14"/>
      <c r="O20">
        <v>2013</v>
      </c>
      <c r="P20" s="66">
        <v>4103976.8489649151</v>
      </c>
      <c r="Q20" s="66">
        <v>5000492.7767952532</v>
      </c>
      <c r="R20" s="66">
        <v>5029836.3739904091</v>
      </c>
      <c r="S20" s="66">
        <v>5040327.4160874067</v>
      </c>
      <c r="T20" s="66">
        <v>5040098.8196115727</v>
      </c>
      <c r="U20" s="66">
        <v>5038647.3542407844</v>
      </c>
      <c r="V20" s="66">
        <v>5038526.2604642119</v>
      </c>
      <c r="W20" s="66">
        <v>5038187.2178986128</v>
      </c>
      <c r="X20" s="66">
        <v>5037517.9003733704</v>
      </c>
      <c r="Y20" s="68">
        <f>X20+P20*$N$19*(Y$30-X$30)*5</f>
        <v>5037095.6245032316</v>
      </c>
      <c r="Z20" s="14">
        <f>Y20-X20</f>
        <v>-422.27587013877928</v>
      </c>
    </row>
    <row r="21" spans="1:26" x14ac:dyDescent="0.25">
      <c r="A21">
        <v>2014</v>
      </c>
      <c r="B21" s="66">
        <f>SUMIFS(Dane!$D$4:$D$2463,Dane!$A$4:$A$2463,'Cape-Cod'!$A$16,Dane!$H$4:$H$2463,'Cape-Cod'!$A21,Dane!$I$4:$I$2463,$A21+B$18)</f>
        <v>4144525.2888819813</v>
      </c>
      <c r="C21" s="66">
        <f>SUMIFS(Dane!$D$4:$D$2463,Dane!$A$4:$A$2463,'Cape-Cod'!$A$16,Dane!$H$4:$H$2463,'Cape-Cod'!$A21,Dane!$I$4:$I$2463,$A21+C$18)+B21</f>
        <v>5009318.3483073814</v>
      </c>
      <c r="D21" s="66">
        <f>SUMIFS(Dane!$D$4:$D$2463,Dane!$A$4:$A$2463,'Cape-Cod'!$A$16,Dane!$H$4:$H$2463,'Cape-Cod'!$A21,Dane!$I$4:$I$2463,$A21+D$18)+C21</f>
        <v>5047660.9800198637</v>
      </c>
      <c r="E21" s="66">
        <f>SUMIFS(Dane!$D$4:$D$2463,Dane!$A$4:$A$2463,'Cape-Cod'!$A$16,Dane!$H$4:$H$2463,'Cape-Cod'!$A21,Dane!$I$4:$I$2463,$A21+E$18)+D21</f>
        <v>5052630.6482328633</v>
      </c>
      <c r="F21" s="66">
        <f>SUMIFS(Dane!$D$4:$D$2463,Dane!$A$4:$A$2463,'Cape-Cod'!$A$16,Dane!$H$4:$H$2463,'Cape-Cod'!$A21,Dane!$I$4:$I$2463,$A21+F$18)+E21</f>
        <v>5050444.2348935511</v>
      </c>
      <c r="G21" s="66">
        <f>SUMIFS(Dane!$D$4:$D$2463,Dane!$A$4:$A$2463,'Cape-Cod'!$A$16,Dane!$H$4:$H$2463,'Cape-Cod'!$A21,Dane!$I$4:$I$2463,$A21+G$18)+F21</f>
        <v>5048337.6698905034</v>
      </c>
      <c r="H21" s="66">
        <f>SUMIFS(Dane!$D$4:$D$2463,Dane!$A$4:$A$2463,'Cape-Cod'!$A$16,Dane!$H$4:$H$2463,'Cape-Cod'!$A21,Dane!$I$4:$I$2463,$A21+H$18)+G21</f>
        <v>5048060.8737261798</v>
      </c>
      <c r="I21" s="66">
        <f>SUMIFS(Dane!$D$4:$D$2463,Dane!$A$4:$A$2463,'Cape-Cod'!$A$16,Dane!$H$4:$H$2463,'Cape-Cod'!$A21,Dane!$I$4:$I$2463,$A21+I$18)+H21</f>
        <v>5046848.0144023411</v>
      </c>
      <c r="J21" s="67">
        <f>SUMIFS(Dane!$D$4:$D$2463,Dane!$A$4:$A$2463,'Cape-Cod'!$A$1,Dane!$H$4:$H$2463,'Cape-Cod'!$A21,Dane!$I$4:$I$2463,$A21+J$3)</f>
        <v>0</v>
      </c>
      <c r="K21" s="68">
        <f>SUMIFS(Dane!$D$4:$D$2463,Dane!$A$4:$A$2463,'Cape-Cod'!$A$1,Dane!$H$4:$H$2463,'Cape-Cod'!$A21,Dane!$I$4:$I$2463,$A21+K$3)</f>
        <v>0</v>
      </c>
      <c r="L21" s="14"/>
      <c r="O21">
        <v>2014</v>
      </c>
      <c r="P21" s="66">
        <v>4144525.2888819813</v>
      </c>
      <c r="Q21" s="66">
        <v>5009318.3483073814</v>
      </c>
      <c r="R21" s="66">
        <v>5047660.9800198637</v>
      </c>
      <c r="S21" s="66">
        <v>5052630.6482328633</v>
      </c>
      <c r="T21" s="66">
        <v>5050444.2348935511</v>
      </c>
      <c r="U21" s="66">
        <v>5048337.6698905034</v>
      </c>
      <c r="V21" s="66">
        <v>5048060.8737261798</v>
      </c>
      <c r="W21" s="66">
        <v>5046848.0144023411</v>
      </c>
      <c r="X21" s="67">
        <v>0</v>
      </c>
      <c r="Y21" s="68">
        <f>$W$21+$P$21*$N$19*(Y30-$W$30)*5</f>
        <v>5045783.3996742563</v>
      </c>
      <c r="Z21" s="14">
        <f>Y21-W21</f>
        <v>-1064.6147280847654</v>
      </c>
    </row>
    <row r="22" spans="1:26" x14ac:dyDescent="0.25">
      <c r="A22">
        <v>2015</v>
      </c>
      <c r="B22" s="66">
        <f>SUMIFS(Dane!$D$4:$D$2463,Dane!$A$4:$A$2463,'Cape-Cod'!$A$16,Dane!$H$4:$H$2463,'Cape-Cod'!$A22,Dane!$I$4:$I$2463,$A22+B$18)</f>
        <v>4297632.8479463691</v>
      </c>
      <c r="C22" s="66">
        <f>SUMIFS(Dane!$D$4:$D$2463,Dane!$A$4:$A$2463,'Cape-Cod'!$A$16,Dane!$H$4:$H$2463,'Cape-Cod'!$A22,Dane!$I$4:$I$2463,$A22+C$18)+B22</f>
        <v>5191642.9096287154</v>
      </c>
      <c r="D22" s="66">
        <f>SUMIFS(Dane!$D$4:$D$2463,Dane!$A$4:$A$2463,'Cape-Cod'!$A$16,Dane!$H$4:$H$2463,'Cape-Cod'!$A22,Dane!$I$4:$I$2463,$A22+D$18)+C22</f>
        <v>5228063.4834473031</v>
      </c>
      <c r="E22" s="66">
        <f>SUMIFS(Dane!$D$4:$D$2463,Dane!$A$4:$A$2463,'Cape-Cod'!$A$16,Dane!$H$4:$H$2463,'Cape-Cod'!$A22,Dane!$I$4:$I$2463,$A22+E$18)+D22</f>
        <v>5234464.7453851644</v>
      </c>
      <c r="F22" s="66">
        <f>SUMIFS(Dane!$D$4:$D$2463,Dane!$A$4:$A$2463,'Cape-Cod'!$A$16,Dane!$H$4:$H$2463,'Cape-Cod'!$A22,Dane!$I$4:$I$2463,$A22+F$18)+E22</f>
        <v>5234678.3120978428</v>
      </c>
      <c r="G22" s="66">
        <f>SUMIFS(Dane!$D$4:$D$2463,Dane!$A$4:$A$2463,'Cape-Cod'!$A$16,Dane!$H$4:$H$2463,'Cape-Cod'!$A22,Dane!$I$4:$I$2463,$A22+G$18)+F22</f>
        <v>5233855.6558879539</v>
      </c>
      <c r="H22" s="66">
        <f>SUMIFS(Dane!$D$4:$D$2463,Dane!$A$4:$A$2463,'Cape-Cod'!$A$16,Dane!$H$4:$H$2463,'Cape-Cod'!$A22,Dane!$I$4:$I$2463,$A22+H$18)+G22</f>
        <v>5233392.6840154994</v>
      </c>
      <c r="I22" s="67">
        <f>SUMIFS(Dane!$D$4:$D$2463,Dane!$A$4:$A$2463,'Cape-Cod'!$A$1,Dane!$H$4:$H$2463,'Cape-Cod'!$A22,Dane!$I$4:$I$2463,$A22+I$3)</f>
        <v>0</v>
      </c>
      <c r="J22" s="67">
        <f>SUMIFS(Dane!$D$4:$D$2463,Dane!$A$4:$A$2463,'Cape-Cod'!$A$1,Dane!$H$4:$H$2463,'Cape-Cod'!$A22,Dane!$I$4:$I$2463,$A22+J$3)</f>
        <v>0</v>
      </c>
      <c r="K22" s="68">
        <f>SUMIFS(Dane!$D$4:$D$2463,Dane!$A$4:$A$2463,'Cape-Cod'!$A$1,Dane!$H$4:$H$2463,'Cape-Cod'!$A22,Dane!$I$4:$I$2463,$A22+K$3)</f>
        <v>0</v>
      </c>
      <c r="L22" s="14"/>
      <c r="O22">
        <v>2015</v>
      </c>
      <c r="P22" s="66">
        <v>4297632.8479463691</v>
      </c>
      <c r="Q22" s="66">
        <v>5191642.9096287154</v>
      </c>
      <c r="R22" s="66">
        <v>5228063.4834473031</v>
      </c>
      <c r="S22" s="66">
        <v>5234464.7453851644</v>
      </c>
      <c r="T22" s="66">
        <v>5234678.3120978428</v>
      </c>
      <c r="U22" s="66">
        <v>5233855.6558879539</v>
      </c>
      <c r="V22" s="66">
        <v>5233392.6840154994</v>
      </c>
      <c r="W22" s="67">
        <v>0</v>
      </c>
      <c r="X22" s="67">
        <v>0</v>
      </c>
      <c r="Y22" s="68">
        <f>$V$22+$P$22*$N$19*(Y30-$V$30)*5</f>
        <v>5231416.2201819457</v>
      </c>
      <c r="Z22" s="14">
        <f>Y22-V22</f>
        <v>-1976.4638335537165</v>
      </c>
    </row>
    <row r="23" spans="1:26" x14ac:dyDescent="0.25">
      <c r="A23">
        <v>2016</v>
      </c>
      <c r="B23" s="66">
        <f>SUMIFS(Dane!$D$4:$D$2463,Dane!$A$4:$A$2463,'Cape-Cod'!$A$16,Dane!$H$4:$H$2463,'Cape-Cod'!$A23,Dane!$I$4:$I$2463,$A23+B$18)</f>
        <v>4725123.086187331</v>
      </c>
      <c r="C23" s="66">
        <f>SUMIFS(Dane!$D$4:$D$2463,Dane!$A$4:$A$2463,'Cape-Cod'!$A$16,Dane!$H$4:$H$2463,'Cape-Cod'!$A23,Dane!$I$4:$I$2463,$A23+C$18)+B23</f>
        <v>5836983.4985665362</v>
      </c>
      <c r="D23" s="66">
        <f>SUMIFS(Dane!$D$4:$D$2463,Dane!$A$4:$A$2463,'Cape-Cod'!$A$16,Dane!$H$4:$H$2463,'Cape-Cod'!$A23,Dane!$I$4:$I$2463,$A23+D$18)+C23</f>
        <v>5873044.3820574498</v>
      </c>
      <c r="E23" s="66">
        <f>SUMIFS(Dane!$D$4:$D$2463,Dane!$A$4:$A$2463,'Cape-Cod'!$A$16,Dane!$H$4:$H$2463,'Cape-Cod'!$A23,Dane!$I$4:$I$2463,$A23+E$18)+D23</f>
        <v>5883070.9820741508</v>
      </c>
      <c r="F23" s="66">
        <f>SUMIFS(Dane!$D$4:$D$2463,Dane!$A$4:$A$2463,'Cape-Cod'!$A$16,Dane!$H$4:$H$2463,'Cape-Cod'!$A23,Dane!$I$4:$I$2463,$A23+F$18)+E23</f>
        <v>5884627.4040972013</v>
      </c>
      <c r="G23" s="66">
        <f>SUMIFS(Dane!$D$4:$D$2463,Dane!$A$4:$A$2463,'Cape-Cod'!$A$16,Dane!$H$4:$H$2463,'Cape-Cod'!$A23,Dane!$I$4:$I$2463,$A23+G$18)+F23</f>
        <v>5886582.385205742</v>
      </c>
      <c r="H23" s="67">
        <f>SUMIFS(Dane!$D$4:$D$2463,Dane!$A$4:$A$2463,'Cape-Cod'!$A$1,Dane!$H$4:$H$2463,'Cape-Cod'!$A23,Dane!$I$4:$I$2463,$A23+H$3)</f>
        <v>0</v>
      </c>
      <c r="I23" s="67">
        <f>SUMIFS(Dane!$D$4:$D$2463,Dane!$A$4:$A$2463,'Cape-Cod'!$A$1,Dane!$H$4:$H$2463,'Cape-Cod'!$A23,Dane!$I$4:$I$2463,$A23+I$3)</f>
        <v>0</v>
      </c>
      <c r="J23" s="67">
        <f>SUMIFS(Dane!$D$4:$D$2463,Dane!$A$4:$A$2463,'Cape-Cod'!$A$1,Dane!$H$4:$H$2463,'Cape-Cod'!$A23,Dane!$I$4:$I$2463,$A23+J$3)</f>
        <v>0</v>
      </c>
      <c r="K23" s="68">
        <f>SUMIFS(Dane!$D$4:$D$2463,Dane!$A$4:$A$2463,'Cape-Cod'!$A$1,Dane!$H$4:$H$2463,'Cape-Cod'!$A23,Dane!$I$4:$I$2463,$A23+K$3)</f>
        <v>0</v>
      </c>
      <c r="L23" s="14"/>
      <c r="O23">
        <v>2016</v>
      </c>
      <c r="P23" s="66">
        <v>4725123.086187331</v>
      </c>
      <c r="Q23" s="66">
        <v>5836983.4985665362</v>
      </c>
      <c r="R23" s="66">
        <v>5873044.3820574498</v>
      </c>
      <c r="S23" s="66">
        <v>5883070.9820741508</v>
      </c>
      <c r="T23" s="66">
        <v>5884627.4040972013</v>
      </c>
      <c r="U23" s="66">
        <v>5886582.385205742</v>
      </c>
      <c r="V23" s="67">
        <v>0</v>
      </c>
      <c r="W23" s="67">
        <v>0</v>
      </c>
      <c r="X23" s="67">
        <v>0</v>
      </c>
      <c r="Y23" s="68">
        <f>$U$23+$P$23*$N$19*(Y30-$U$30)*5</f>
        <v>5883757.9581350023</v>
      </c>
      <c r="Z23" s="14">
        <f>Y23-U23</f>
        <v>-2824.427070739679</v>
      </c>
    </row>
    <row r="24" spans="1:26" x14ac:dyDescent="0.25">
      <c r="A24">
        <v>2017</v>
      </c>
      <c r="B24" s="66">
        <f>SUMIFS(Dane!$D$4:$D$2463,Dane!$A$4:$A$2463,'Cape-Cod'!$A$16,Dane!$H$4:$H$2463,'Cape-Cod'!$A24,Dane!$I$4:$I$2463,$A24+B$18)</f>
        <v>5597984.1078659333</v>
      </c>
      <c r="C24" s="66">
        <f>SUMIFS(Dane!$D$4:$D$2463,Dane!$A$4:$A$2463,'Cape-Cod'!$A$16,Dane!$H$4:$H$2463,'Cape-Cod'!$A24,Dane!$I$4:$I$2463,$A24+C$18)+B24</f>
        <v>6970614.1899836697</v>
      </c>
      <c r="D24" s="66">
        <f>SUMIFS(Dane!$D$4:$D$2463,Dane!$A$4:$A$2463,'Cape-Cod'!$A$16,Dane!$H$4:$H$2463,'Cape-Cod'!$A24,Dane!$I$4:$I$2463,$A24+D$18)+C24</f>
        <v>7066845.8532527769</v>
      </c>
      <c r="E24" s="66">
        <f>SUMIFS(Dane!$D$4:$D$2463,Dane!$A$4:$A$2463,'Cape-Cod'!$A$16,Dane!$H$4:$H$2463,'Cape-Cod'!$A24,Dane!$I$4:$I$2463,$A24+E$18)+D24</f>
        <v>7068831.0134302946</v>
      </c>
      <c r="F24" s="66">
        <f>SUMIFS(Dane!$D$4:$D$2463,Dane!$A$4:$A$2463,'Cape-Cod'!$A$16,Dane!$H$4:$H$2463,'Cape-Cod'!$A24,Dane!$I$4:$I$2463,$A24+F$18)+E24</f>
        <v>7067692.2693784814</v>
      </c>
      <c r="G24" s="67">
        <f>SUMIFS(Dane!$D$4:$D$2463,Dane!$A$4:$A$2463,'Cape-Cod'!$A$1,Dane!$H$4:$H$2463,'Cape-Cod'!$A24,Dane!$I$4:$I$2463,$A24+G$3)</f>
        <v>0</v>
      </c>
      <c r="H24" s="67">
        <f>SUMIFS(Dane!$D$4:$D$2463,Dane!$A$4:$A$2463,'Cape-Cod'!$A$1,Dane!$H$4:$H$2463,'Cape-Cod'!$A24,Dane!$I$4:$I$2463,$A24+H$3)</f>
        <v>0</v>
      </c>
      <c r="I24" s="67">
        <f>SUMIFS(Dane!$D$4:$D$2463,Dane!$A$4:$A$2463,'Cape-Cod'!$A$1,Dane!$H$4:$H$2463,'Cape-Cod'!$A24,Dane!$I$4:$I$2463,$A24+I$3)</f>
        <v>0</v>
      </c>
      <c r="J24" s="67">
        <f>SUMIFS(Dane!$D$4:$D$2463,Dane!$A$4:$A$2463,'Cape-Cod'!$A$1,Dane!$H$4:$H$2463,'Cape-Cod'!$A24,Dane!$I$4:$I$2463,$A24+J$3)</f>
        <v>0</v>
      </c>
      <c r="K24" s="68">
        <f>SUMIFS(Dane!$D$4:$D$2463,Dane!$A$4:$A$2463,'Cape-Cod'!$A$1,Dane!$H$4:$H$2463,'Cape-Cod'!$A24,Dane!$I$4:$I$2463,$A24+K$3)</f>
        <v>0</v>
      </c>
      <c r="L24" s="14"/>
      <c r="O24">
        <v>2017</v>
      </c>
      <c r="P24" s="66">
        <v>5597984.1078659333</v>
      </c>
      <c r="Q24" s="66">
        <v>6970614.1899836697</v>
      </c>
      <c r="R24" s="66">
        <v>7066845.8532527769</v>
      </c>
      <c r="S24" s="66">
        <v>7068831.0134302946</v>
      </c>
      <c r="T24" s="66">
        <v>7067692.2693784814</v>
      </c>
      <c r="U24" s="67">
        <v>0</v>
      </c>
      <c r="V24" s="67">
        <v>0</v>
      </c>
      <c r="W24" s="67">
        <v>0</v>
      </c>
      <c r="X24" s="67">
        <v>0</v>
      </c>
      <c r="Y24" s="68">
        <f>$T$24+$P$24*$N$19*(Y30-$T$30)*5</f>
        <v>7062951.0452486062</v>
      </c>
      <c r="Z24" s="14">
        <f>Y24-T24</f>
        <v>-4741.2241298751906</v>
      </c>
    </row>
    <row r="25" spans="1:26" x14ac:dyDescent="0.25">
      <c r="A25">
        <v>2018</v>
      </c>
      <c r="B25" s="66">
        <f>SUMIFS(Dane!$D$4:$D$2463,Dane!$A$4:$A$2463,'Cape-Cod'!$A$16,Dane!$H$4:$H$2463,'Cape-Cod'!$A25,Dane!$I$4:$I$2463,$A25+B$18)</f>
        <v>5550939.8858195748</v>
      </c>
      <c r="C25" s="66">
        <f>SUMIFS(Dane!$D$4:$D$2463,Dane!$A$4:$A$2463,'Cape-Cod'!$A$16,Dane!$H$4:$H$2463,'Cape-Cod'!$A25,Dane!$I$4:$I$2463,$A25+C$18)+B25</f>
        <v>6821264.010295298</v>
      </c>
      <c r="D25" s="66">
        <f>SUMIFS(Dane!$D$4:$D$2463,Dane!$A$4:$A$2463,'Cape-Cod'!$A$16,Dane!$H$4:$H$2463,'Cape-Cod'!$A25,Dane!$I$4:$I$2463,$A25+D$18)+C25</f>
        <v>6865981.0625902554</v>
      </c>
      <c r="E25" s="66">
        <f>SUMIFS(Dane!$D$4:$D$2463,Dane!$A$4:$A$2463,'Cape-Cod'!$A$16,Dane!$H$4:$H$2463,'Cape-Cod'!$A25,Dane!$I$4:$I$2463,$A25+E$18)+D25</f>
        <v>6881034.2560672257</v>
      </c>
      <c r="F25" s="67">
        <f>SUMIFS(Dane!$D$4:$D$2463,Dane!$A$4:$A$2463,'Cape-Cod'!$A$1,Dane!$H$4:$H$2463,'Cape-Cod'!$A25,Dane!$I$4:$I$2463,$A25+F$3)</f>
        <v>0</v>
      </c>
      <c r="G25" s="67">
        <f>SUMIFS(Dane!$D$4:$D$2463,Dane!$A$4:$A$2463,'Cape-Cod'!$A$1,Dane!$H$4:$H$2463,'Cape-Cod'!$A25,Dane!$I$4:$I$2463,$A25+G$3)</f>
        <v>0</v>
      </c>
      <c r="H25" s="67">
        <f>SUMIFS(Dane!$D$4:$D$2463,Dane!$A$4:$A$2463,'Cape-Cod'!$A$1,Dane!$H$4:$H$2463,'Cape-Cod'!$A25,Dane!$I$4:$I$2463,$A25+H$3)</f>
        <v>0</v>
      </c>
      <c r="I25" s="67">
        <f>SUMIFS(Dane!$D$4:$D$2463,Dane!$A$4:$A$2463,'Cape-Cod'!$A$1,Dane!$H$4:$H$2463,'Cape-Cod'!$A25,Dane!$I$4:$I$2463,$A25+I$3)</f>
        <v>0</v>
      </c>
      <c r="J25" s="67">
        <f>SUMIFS(Dane!$D$4:$D$2463,Dane!$A$4:$A$2463,'Cape-Cod'!$A$1,Dane!$H$4:$H$2463,'Cape-Cod'!$A25,Dane!$I$4:$I$2463,$A25+J$3)</f>
        <v>0</v>
      </c>
      <c r="K25" s="68">
        <f>SUMIFS(Dane!$D$4:$D$2463,Dane!$A$4:$A$2463,'Cape-Cod'!$A$1,Dane!$H$4:$H$2463,'Cape-Cod'!$A25,Dane!$I$4:$I$2463,$A25+K$3)</f>
        <v>0</v>
      </c>
      <c r="L25" s="14"/>
      <c r="O25">
        <v>2018</v>
      </c>
      <c r="P25" s="66">
        <v>5550939.8858195748</v>
      </c>
      <c r="Q25" s="66">
        <v>6821264.010295298</v>
      </c>
      <c r="R25" s="66">
        <v>6865981.0625902554</v>
      </c>
      <c r="S25" s="66">
        <v>6881034.2560672257</v>
      </c>
      <c r="T25" s="67">
        <v>0</v>
      </c>
      <c r="U25" s="67">
        <v>0</v>
      </c>
      <c r="V25" s="67">
        <v>0</v>
      </c>
      <c r="W25" s="67">
        <v>0</v>
      </c>
      <c r="X25" s="67">
        <v>0</v>
      </c>
      <c r="Y25" s="68">
        <f>$S$25+$P$25*$N$19*(Y30-$S$30)*5</f>
        <v>6875703.542797938</v>
      </c>
      <c r="Z25" s="14">
        <f>Y25-S25</f>
        <v>-5330.7132692877203</v>
      </c>
    </row>
    <row r="26" spans="1:26" x14ac:dyDescent="0.25">
      <c r="A26">
        <v>2019</v>
      </c>
      <c r="B26" s="66">
        <f>SUMIFS(Dane!$D$4:$D$2463,Dane!$A$4:$A$2463,'Cape-Cod'!$A$16,Dane!$H$4:$H$2463,'Cape-Cod'!$A26,Dane!$I$4:$I$2463,$A26+B$18)</f>
        <v>5825184.4614891456</v>
      </c>
      <c r="C26" s="66">
        <f>SUMIFS(Dane!$D$4:$D$2463,Dane!$A$4:$A$2463,'Cape-Cod'!$A$16,Dane!$H$4:$H$2463,'Cape-Cod'!$A26,Dane!$I$4:$I$2463,$A26+C$18)+B26</f>
        <v>7002247.597021183</v>
      </c>
      <c r="D26" s="66">
        <f>SUMIFS(Dane!$D$4:$D$2463,Dane!$A$4:$A$2463,'Cape-Cod'!$A$16,Dane!$H$4:$H$2463,'Cape-Cod'!$A26,Dane!$I$4:$I$2463,$A26+D$18)+C26</f>
        <v>7032173.1109102778</v>
      </c>
      <c r="E26" s="67">
        <f>SUMIFS(Dane!$D$4:$D$2463,Dane!$A$4:$A$2463,'Cape-Cod'!$A$1,Dane!$H$4:$H$2463,'Cape-Cod'!$A26,Dane!$I$4:$I$2463,$A26+E$3)</f>
        <v>0</v>
      </c>
      <c r="F26" s="67">
        <f>SUMIFS(Dane!$D$4:$D$2463,Dane!$A$4:$A$2463,'Cape-Cod'!$A$1,Dane!$H$4:$H$2463,'Cape-Cod'!$A26,Dane!$I$4:$I$2463,$A26+F$3)</f>
        <v>0</v>
      </c>
      <c r="G26" s="67">
        <f>SUMIFS(Dane!$D$4:$D$2463,Dane!$A$4:$A$2463,'Cape-Cod'!$A$1,Dane!$H$4:$H$2463,'Cape-Cod'!$A26,Dane!$I$4:$I$2463,$A26+G$3)</f>
        <v>0</v>
      </c>
      <c r="H26" s="67">
        <f>SUMIFS(Dane!$D$4:$D$2463,Dane!$A$4:$A$2463,'Cape-Cod'!$A$1,Dane!$H$4:$H$2463,'Cape-Cod'!$A26,Dane!$I$4:$I$2463,$A26+H$3)</f>
        <v>0</v>
      </c>
      <c r="I26" s="67">
        <f>SUMIFS(Dane!$D$4:$D$2463,Dane!$A$4:$A$2463,'Cape-Cod'!$A$1,Dane!$H$4:$H$2463,'Cape-Cod'!$A26,Dane!$I$4:$I$2463,$A26+I$3)</f>
        <v>0</v>
      </c>
      <c r="J26" s="67">
        <f>SUMIFS(Dane!$D$4:$D$2463,Dane!$A$4:$A$2463,'Cape-Cod'!$A$1,Dane!$H$4:$H$2463,'Cape-Cod'!$A26,Dane!$I$4:$I$2463,$A26+J$3)</f>
        <v>0</v>
      </c>
      <c r="K26" s="68">
        <f>SUMIFS(Dane!$D$4:$D$2463,Dane!$A$4:$A$2463,'Cape-Cod'!$A$1,Dane!$H$4:$H$2463,'Cape-Cod'!$A26,Dane!$I$4:$I$2463,$A26+K$3)</f>
        <v>0</v>
      </c>
      <c r="L26" s="14"/>
      <c r="O26">
        <v>2019</v>
      </c>
      <c r="P26" s="66">
        <v>5825184.4614891456</v>
      </c>
      <c r="Q26" s="66">
        <v>7002247.597021183</v>
      </c>
      <c r="R26" s="66">
        <v>7032173.1109102778</v>
      </c>
      <c r="S26" s="67">
        <v>0</v>
      </c>
      <c r="T26" s="67">
        <v>0</v>
      </c>
      <c r="U26" s="67">
        <v>0</v>
      </c>
      <c r="V26" s="67">
        <v>0</v>
      </c>
      <c r="W26" s="67">
        <v>0</v>
      </c>
      <c r="X26" s="67">
        <v>0</v>
      </c>
      <c r="Y26" s="68">
        <f>$R$26+$P$26*$N$19*(Y30-$R$30)*5</f>
        <v>7037215.402032081</v>
      </c>
      <c r="Z26" s="14">
        <f>Y26-R26</f>
        <v>5042.2911218032241</v>
      </c>
    </row>
    <row r="27" spans="1:26" x14ac:dyDescent="0.25">
      <c r="A27">
        <v>2020</v>
      </c>
      <c r="B27" s="66">
        <f>SUMIFS(Dane!$D$4:$D$2463,Dane!$A$4:$A$2463,'Cape-Cod'!$A$16,Dane!$H$4:$H$2463,'Cape-Cod'!$A27,Dane!$I$4:$I$2463,$A27+B$18)</f>
        <v>6735078.0685242079</v>
      </c>
      <c r="C27" s="66">
        <f>SUMIFS(Dane!$D$4:$D$2463,Dane!$A$4:$A$2463,'Cape-Cod'!$A$16,Dane!$H$4:$H$2463,'Cape-Cod'!$A27,Dane!$I$4:$I$2463,$A27+C$18)+B27</f>
        <v>7976472.9698659219</v>
      </c>
      <c r="D27" s="67">
        <f>SUMIFS(Dane!$D$4:$D$2463,Dane!$A$4:$A$2463,'Cape-Cod'!$A$1,Dane!$H$4:$H$2463,'Cape-Cod'!$A27,Dane!$I$4:$I$2463,$A27+D$3)</f>
        <v>0</v>
      </c>
      <c r="E27" s="67">
        <f>SUMIFS(Dane!$D$4:$D$2463,Dane!$A$4:$A$2463,'Cape-Cod'!$A$1,Dane!$H$4:$H$2463,'Cape-Cod'!$A27,Dane!$I$4:$I$2463,$A27+E$3)</f>
        <v>0</v>
      </c>
      <c r="F27" s="67">
        <f>SUMIFS(Dane!$D$4:$D$2463,Dane!$A$4:$A$2463,'Cape-Cod'!$A$1,Dane!$H$4:$H$2463,'Cape-Cod'!$A27,Dane!$I$4:$I$2463,$A27+F$3)</f>
        <v>0</v>
      </c>
      <c r="G27" s="67">
        <f>SUMIFS(Dane!$D$4:$D$2463,Dane!$A$4:$A$2463,'Cape-Cod'!$A$1,Dane!$H$4:$H$2463,'Cape-Cod'!$A27,Dane!$I$4:$I$2463,$A27+G$3)</f>
        <v>0</v>
      </c>
      <c r="H27" s="67">
        <f>SUMIFS(Dane!$D$4:$D$2463,Dane!$A$4:$A$2463,'Cape-Cod'!$A$1,Dane!$H$4:$H$2463,'Cape-Cod'!$A27,Dane!$I$4:$I$2463,$A27+H$3)</f>
        <v>0</v>
      </c>
      <c r="I27" s="67">
        <f>SUMIFS(Dane!$D$4:$D$2463,Dane!$A$4:$A$2463,'Cape-Cod'!$A$1,Dane!$H$4:$H$2463,'Cape-Cod'!$A27,Dane!$I$4:$I$2463,$A27+I$3)</f>
        <v>0</v>
      </c>
      <c r="J27" s="67">
        <f>SUMIFS(Dane!$D$4:$D$2463,Dane!$A$4:$A$2463,'Cape-Cod'!$A$1,Dane!$H$4:$H$2463,'Cape-Cod'!$A27,Dane!$I$4:$I$2463,$A27+J$3)</f>
        <v>0</v>
      </c>
      <c r="K27" s="68">
        <f>SUMIFS(Dane!$D$4:$D$2463,Dane!$A$4:$A$2463,'Cape-Cod'!$A$1,Dane!$H$4:$H$2463,'Cape-Cod'!$A27,Dane!$I$4:$I$2463,$A27+K$3)</f>
        <v>0</v>
      </c>
      <c r="L27" s="14"/>
      <c r="O27">
        <v>2020</v>
      </c>
      <c r="P27" s="66">
        <v>6735078.0685242079</v>
      </c>
      <c r="Q27" s="66">
        <v>7976472.9698659219</v>
      </c>
      <c r="R27" s="67">
        <v>0</v>
      </c>
      <c r="S27" s="67">
        <v>0</v>
      </c>
      <c r="T27" s="67">
        <v>0</v>
      </c>
      <c r="U27" s="67">
        <v>0</v>
      </c>
      <c r="V27" s="67">
        <v>0</v>
      </c>
      <c r="W27" s="67">
        <v>0</v>
      </c>
      <c r="X27" s="67">
        <v>0</v>
      </c>
      <c r="Y27" s="68">
        <f>$Q$27+$P$27*5*$N$19*(Y30-$Q$30)</f>
        <v>8042645.3953524018</v>
      </c>
      <c r="Z27" s="14">
        <f>Y27-Q27</f>
        <v>66172.425486479886</v>
      </c>
    </row>
    <row r="28" spans="1:26" x14ac:dyDescent="0.25">
      <c r="A28">
        <v>2021</v>
      </c>
      <c r="B28" s="66">
        <f>SUMIFS(Dane!$D$4:$D$2463,Dane!$A$4:$A$2463,'Cape-Cod'!$A$16,Dane!$H$4:$H$2463,'Cape-Cod'!$A28,Dane!$I$4:$I$2463,$A28+B$18)</f>
        <v>6428313.2761970535</v>
      </c>
      <c r="C28" s="67">
        <f>SUMIFS(Dane!$D$4:$D$2463,Dane!$A$4:$A$2463,'Cape-Cod'!$A$1,Dane!$H$4:$H$2463,'Cape-Cod'!$A28,Dane!$I$4:$I$2463,$A28+C$3)</f>
        <v>0</v>
      </c>
      <c r="D28" s="67">
        <f>SUMIFS(Dane!$D$4:$D$2463,Dane!$A$4:$A$2463,'Cape-Cod'!$A$1,Dane!$H$4:$H$2463,'Cape-Cod'!$A28,Dane!$I$4:$I$2463,$A28+D$3)</f>
        <v>0</v>
      </c>
      <c r="E28" s="67">
        <f>SUMIFS(Dane!$D$4:$D$2463,Dane!$A$4:$A$2463,'Cape-Cod'!$A$1,Dane!$H$4:$H$2463,'Cape-Cod'!$A28,Dane!$I$4:$I$2463,$A28+E$3)</f>
        <v>0</v>
      </c>
      <c r="F28" s="67">
        <f>SUMIFS(Dane!$D$4:$D$2463,Dane!$A$4:$A$2463,'Cape-Cod'!$A$1,Dane!$H$4:$H$2463,'Cape-Cod'!$A28,Dane!$I$4:$I$2463,$A28+F$3)</f>
        <v>0</v>
      </c>
      <c r="G28" s="67">
        <f>SUMIFS(Dane!$D$4:$D$2463,Dane!$A$4:$A$2463,'Cape-Cod'!$A$1,Dane!$H$4:$H$2463,'Cape-Cod'!$A28,Dane!$I$4:$I$2463,$A28+G$3)</f>
        <v>0</v>
      </c>
      <c r="H28" s="67">
        <f>SUMIFS(Dane!$D$4:$D$2463,Dane!$A$4:$A$2463,'Cape-Cod'!$A$1,Dane!$H$4:$H$2463,'Cape-Cod'!$A28,Dane!$I$4:$I$2463,$A28+H$3)</f>
        <v>0</v>
      </c>
      <c r="I28" s="67">
        <f>SUMIFS(Dane!$D$4:$D$2463,Dane!$A$4:$A$2463,'Cape-Cod'!$A$1,Dane!$H$4:$H$2463,'Cape-Cod'!$A28,Dane!$I$4:$I$2463,$A28+I$3)</f>
        <v>0</v>
      </c>
      <c r="J28" s="67">
        <f>SUMIFS(Dane!$D$4:$D$2463,Dane!$A$4:$A$2463,'Cape-Cod'!$A$1,Dane!$H$4:$H$2463,'Cape-Cod'!$A28,Dane!$I$4:$I$2463,$A28+J$3)</f>
        <v>0</v>
      </c>
      <c r="K28" s="68">
        <f>SUMIFS(Dane!$D$4:$D$2463,Dane!$A$4:$A$2463,'Cape-Cod'!$A$1,Dane!$H$4:$H$2463,'Cape-Cod'!$A28,Dane!$I$4:$I$2463,$A28+K$3)</f>
        <v>0</v>
      </c>
      <c r="L28" s="14"/>
      <c r="O28">
        <v>2021</v>
      </c>
      <c r="P28" s="66">
        <v>6428313.2761970535</v>
      </c>
      <c r="Q28" s="67">
        <v>0</v>
      </c>
      <c r="R28" s="67">
        <v>0</v>
      </c>
      <c r="S28" s="67">
        <v>0</v>
      </c>
      <c r="T28" s="67">
        <v>0</v>
      </c>
      <c r="U28" s="67">
        <v>0</v>
      </c>
      <c r="V28" s="67">
        <v>0</v>
      </c>
      <c r="W28" s="67">
        <v>0</v>
      </c>
      <c r="X28" s="67">
        <v>0</v>
      </c>
      <c r="Y28" s="68">
        <f>$P$28+$P$28*5*$N$19*(Y30-$P$30)</f>
        <v>7875070.8558133738</v>
      </c>
      <c r="Z28" s="14">
        <f>Y28-P28</f>
        <v>1446757.5796163203</v>
      </c>
    </row>
    <row r="29" spans="1:26" x14ac:dyDescent="0.25">
      <c r="A29" t="s">
        <v>55</v>
      </c>
      <c r="C29">
        <f>SUM(C19:C27)/SUM(B19:B27)</f>
        <v>1.2152282717922607</v>
      </c>
      <c r="D29">
        <f>SUM(D19:D26)/SUM(C19:C26)</f>
        <v>1.0073724031826814</v>
      </c>
      <c r="E29">
        <f>SUM(E19:E25)/SUM(D19:D25)</f>
        <v>1.0014914951879261</v>
      </c>
      <c r="F29">
        <f>SUM(F19:F24)/SUM(E19:E24)</f>
        <v>0.99990752909513281</v>
      </c>
      <c r="G29">
        <f>SUM(G19:G23)/SUM(F19:F23)</f>
        <v>0.9997967229758733</v>
      </c>
      <c r="H29">
        <f>SUM(H19:H22)/SUM(G19:G22)</f>
        <v>0.99988753204910041</v>
      </c>
      <c r="I29">
        <f>SUM(I19:I21)/SUM(H19:H21)</f>
        <v>0.9998343412954942</v>
      </c>
      <c r="J29">
        <f>SUM(J19:J20)/SUM(I19:I20)</f>
        <v>0.99987433930555802</v>
      </c>
      <c r="K29">
        <f>SUM(K19)/SUM(J19)</f>
        <v>0.99991601802525232</v>
      </c>
      <c r="L29" s="18"/>
      <c r="O29" t="s">
        <v>55</v>
      </c>
      <c r="Q29">
        <v>1.2152282717922607</v>
      </c>
      <c r="R29">
        <v>1.0073724031826814</v>
      </c>
      <c r="S29">
        <v>1.0014914951879261</v>
      </c>
      <c r="T29">
        <v>0.99990752909513281</v>
      </c>
      <c r="U29">
        <v>0.9997967229758733</v>
      </c>
      <c r="V29">
        <v>0.99988753204910041</v>
      </c>
      <c r="W29">
        <v>0.9998343412954942</v>
      </c>
      <c r="X29">
        <v>0.99987433930555802</v>
      </c>
      <c r="Y29">
        <v>0.99991601802525232</v>
      </c>
      <c r="Z29" s="18">
        <f>SUM(Z20:Z28)</f>
        <v>1501612.5773229236</v>
      </c>
    </row>
    <row r="30" spans="1:26" x14ac:dyDescent="0.25">
      <c r="A30" t="s">
        <v>56</v>
      </c>
      <c r="B30">
        <f>1/PRODUCT(C29:K29)</f>
        <v>0.81629121433882501</v>
      </c>
      <c r="C30">
        <f>1/PRODUCT(D29:K29)</f>
        <v>0.99198016168017633</v>
      </c>
      <c r="D30">
        <f>1/PRODUCT(E29:K29)</f>
        <v>0.99929343938130388</v>
      </c>
      <c r="E30">
        <f>1/PRODUCT(F29:K29)</f>
        <v>1.0007838807374672</v>
      </c>
      <c r="F30">
        <f>1/PRODUCT(G29:K29)</f>
        <v>1.0006913373464388</v>
      </c>
      <c r="G30">
        <f>1/PRODUCT(H29:K29)</f>
        <v>1.0004879197893137</v>
      </c>
      <c r="H30">
        <f>1/PRODUCT(I29:K29)</f>
        <v>1.0003753969630751</v>
      </c>
      <c r="I30">
        <f>1/PRODUCT(J29:K29)</f>
        <v>1.0002096760707948</v>
      </c>
      <c r="J30">
        <f>1/PRODUCT(K29)</f>
        <v>1.0000839890283122</v>
      </c>
      <c r="K30">
        <v>1</v>
      </c>
      <c r="O30" t="s">
        <v>56</v>
      </c>
      <c r="P30">
        <v>0.81629121433882501</v>
      </c>
      <c r="Q30">
        <v>0.99198016168017633</v>
      </c>
      <c r="R30">
        <v>0.99929343938130388</v>
      </c>
      <c r="S30">
        <v>1.0007838807374672</v>
      </c>
      <c r="T30">
        <v>1.0006913373464388</v>
      </c>
      <c r="U30">
        <v>1.0004879197893137</v>
      </c>
      <c r="V30">
        <v>1.0003753969630751</v>
      </c>
      <c r="W30">
        <v>1.0002096760707948</v>
      </c>
      <c r="X30">
        <v>1.0000839890283122</v>
      </c>
      <c r="Y30">
        <v>1</v>
      </c>
    </row>
    <row r="31" spans="1:26" x14ac:dyDescent="0.25">
      <c r="A31" s="3" t="s">
        <v>18</v>
      </c>
      <c r="O31" t="s">
        <v>18</v>
      </c>
    </row>
    <row r="32" spans="1:26" x14ac:dyDescent="0.25">
      <c r="B32" t="s">
        <v>21</v>
      </c>
      <c r="P32" t="s">
        <v>21</v>
      </c>
    </row>
    <row r="33" spans="1:26" x14ac:dyDescent="0.25">
      <c r="A33" t="s">
        <v>22</v>
      </c>
      <c r="B33">
        <v>0</v>
      </c>
      <c r="C33">
        <v>1</v>
      </c>
      <c r="D33">
        <v>2</v>
      </c>
      <c r="E33">
        <v>3</v>
      </c>
      <c r="F33">
        <v>4</v>
      </c>
      <c r="G33">
        <v>5</v>
      </c>
      <c r="H33">
        <v>6</v>
      </c>
      <c r="I33">
        <v>7</v>
      </c>
      <c r="J33">
        <v>8</v>
      </c>
      <c r="K33">
        <v>9</v>
      </c>
      <c r="O33" t="s">
        <v>22</v>
      </c>
      <c r="P33">
        <v>0</v>
      </c>
      <c r="Q33">
        <v>1</v>
      </c>
      <c r="R33">
        <v>2</v>
      </c>
      <c r="S33">
        <v>3</v>
      </c>
      <c r="T33">
        <v>4</v>
      </c>
      <c r="U33">
        <v>5</v>
      </c>
      <c r="V33">
        <v>6</v>
      </c>
      <c r="W33">
        <v>7</v>
      </c>
      <c r="X33">
        <v>8</v>
      </c>
      <c r="Y33">
        <v>9</v>
      </c>
    </row>
    <row r="34" spans="1:26" x14ac:dyDescent="0.25">
      <c r="A34">
        <v>2012</v>
      </c>
      <c r="B34" s="66">
        <f>SUMIFS(Dane!$D$4:$D$2463,Dane!$A$4:$A$2463,'Cape-Cod'!$A$31,Dane!$H$4:$H$2463,'Cape-Cod'!$A34,Dane!$I$4:$I$2463,$A34+B$33)</f>
        <v>5581442.6576523483</v>
      </c>
      <c r="C34" s="66">
        <f>SUMIFS(Dane!$D$4:$D$2463,Dane!$A$4:$A$2463,'Cape-Cod'!$A$31,Dane!$H$4:$H$2463,'Cape-Cod'!$A34,Dane!$I$4:$I$2463,$A34+C$33)+B34</f>
        <v>8206652.7707877923</v>
      </c>
      <c r="D34" s="66">
        <f>SUMIFS(Dane!$D$4:$D$2463,Dane!$A$4:$A$2463,'Cape-Cod'!$A$31,Dane!$H$4:$H$2463,'Cape-Cod'!$A34,Dane!$I$4:$I$2463,$A34+D$33)+C34</f>
        <v>8898201.9290283415</v>
      </c>
      <c r="E34" s="66">
        <f>SUMIFS(Dane!$D$4:$D$2463,Dane!$A$4:$A$2463,'Cape-Cod'!$A$31,Dane!$H$4:$H$2463,'Cape-Cod'!$A34,Dane!$I$4:$I$2463,$A34+E$33)+D34</f>
        <v>9220574.6486107409</v>
      </c>
      <c r="F34" s="66">
        <f>SUMIFS(Dane!$D$4:$D$2463,Dane!$A$4:$A$2463,'Cape-Cod'!$A$31,Dane!$H$4:$H$2463,'Cape-Cod'!$A34,Dane!$I$4:$I$2463,$A34+F$33)+E34</f>
        <v>9425853.7168494407</v>
      </c>
      <c r="G34" s="66">
        <f>SUMIFS(Dane!$D$4:$D$2463,Dane!$A$4:$A$2463,'Cape-Cod'!$A$31,Dane!$H$4:$H$2463,'Cape-Cod'!$A34,Dane!$I$4:$I$2463,$A34+G$33)+F34</f>
        <v>9531753.1374178734</v>
      </c>
      <c r="H34" s="66">
        <f>SUMIFS(Dane!$D$4:$D$2463,Dane!$A$4:$A$2463,'Cape-Cod'!$A$31,Dane!$H$4:$H$2463,'Cape-Cod'!$A34,Dane!$I$4:$I$2463,$A34+H$33)+G34</f>
        <v>9602550.5024997108</v>
      </c>
      <c r="I34" s="66">
        <f>SUMIFS(Dane!$D$4:$D$2463,Dane!$A$4:$A$2463,'Cape-Cod'!$A$31,Dane!$H$4:$H$2463,'Cape-Cod'!$A34,Dane!$I$4:$I$2463,$A34+I$33)+H34</f>
        <v>9664785.1807720531</v>
      </c>
      <c r="J34" s="66">
        <f>SUMIFS(Dane!$D$4:$D$2463,Dane!$A$4:$A$2463,'Cape-Cod'!$A$31,Dane!$H$4:$H$2463,'Cape-Cod'!$A34,Dane!$I$4:$I$2463,$A34+J$33)+I34</f>
        <v>9744191.1671111416</v>
      </c>
      <c r="K34" s="66">
        <f>SUMIFS(Dane!$D$4:$D$2463,Dane!$A$4:$A$2463,'Cape-Cod'!$A$31,Dane!$H$4:$H$2463,'Cape-Cod'!$A34,Dane!$I$4:$I$2463,$A34+K$33)+J34</f>
        <v>9836885.1721109133</v>
      </c>
      <c r="L34" s="14"/>
      <c r="N34" s="72">
        <f>SUM(K34,J35,I36,H37,G38,F39,E40,D41,C42,B43)/SUM(K45*5*B34,J45*B35*5,5*I45*B36,H45*B37*5,G45*B38*5,F45*B39*5,E45*B40*5,D45*B41*5,C45*B42*5,B45*B43*5)</f>
        <v>0.3483373407402901</v>
      </c>
      <c r="O34">
        <v>2012</v>
      </c>
      <c r="P34" s="66">
        <v>5581442.6576523483</v>
      </c>
      <c r="Q34" s="66">
        <v>8206652.7707877923</v>
      </c>
      <c r="R34" s="66">
        <v>8898201.9290283415</v>
      </c>
      <c r="S34" s="66">
        <v>9220574.6486107409</v>
      </c>
      <c r="T34" s="66">
        <v>9425853.7168494407</v>
      </c>
      <c r="U34" s="66">
        <v>9531753.1374178734</v>
      </c>
      <c r="V34" s="66">
        <v>9602550.5024997108</v>
      </c>
      <c r="W34" s="66">
        <v>9664785.1807720531</v>
      </c>
      <c r="X34" s="66">
        <v>9744191.1671111416</v>
      </c>
      <c r="Y34" s="66">
        <v>9836885.1721109133</v>
      </c>
      <c r="Z34" s="14"/>
    </row>
    <row r="35" spans="1:26" x14ac:dyDescent="0.25">
      <c r="A35">
        <v>2013</v>
      </c>
      <c r="B35" s="66">
        <f>SUMIFS(Dane!$D$4:$D$2463,Dane!$A$4:$A$2463,'Cape-Cod'!$A$31,Dane!$H$4:$H$2463,'Cape-Cod'!$A35,Dane!$I$4:$I$2463,$A35+B$33)</f>
        <v>5411379.5550185256</v>
      </c>
      <c r="C35" s="66">
        <f>SUMIFS(Dane!$D$4:$D$2463,Dane!$A$4:$A$2463,'Cape-Cod'!$A$31,Dane!$H$4:$H$2463,'Cape-Cod'!$A35,Dane!$I$4:$I$2463,$A35+C$33)+B35</f>
        <v>7900593.8976593902</v>
      </c>
      <c r="D35" s="66">
        <f>SUMIFS(Dane!$D$4:$D$2463,Dane!$A$4:$A$2463,'Cape-Cod'!$A$31,Dane!$H$4:$H$2463,'Cape-Cod'!$A35,Dane!$I$4:$I$2463,$A35+D$33)+C35</f>
        <v>8452809.5298921596</v>
      </c>
      <c r="E35" s="66">
        <f>SUMIFS(Dane!$D$4:$D$2463,Dane!$A$4:$A$2463,'Cape-Cod'!$A$31,Dane!$H$4:$H$2463,'Cape-Cod'!$A35,Dane!$I$4:$I$2463,$A35+E$33)+D35</f>
        <v>8739590.737854803</v>
      </c>
      <c r="F35" s="66">
        <f>SUMIFS(Dane!$D$4:$D$2463,Dane!$A$4:$A$2463,'Cape-Cod'!$A$31,Dane!$H$4:$H$2463,'Cape-Cod'!$A35,Dane!$I$4:$I$2463,$A35+F$33)+E35</f>
        <v>8882281.6902518589</v>
      </c>
      <c r="G35" s="66">
        <f>SUMIFS(Dane!$D$4:$D$2463,Dane!$A$4:$A$2463,'Cape-Cod'!$A$31,Dane!$H$4:$H$2463,'Cape-Cod'!$A35,Dane!$I$4:$I$2463,$A35+G$33)+F35</f>
        <v>9021858.8460047543</v>
      </c>
      <c r="H35" s="66">
        <f>SUMIFS(Dane!$D$4:$D$2463,Dane!$A$4:$A$2463,'Cape-Cod'!$A$31,Dane!$H$4:$H$2463,'Cape-Cod'!$A35,Dane!$I$4:$I$2463,$A35+H$33)+G35</f>
        <v>9101997.1280943397</v>
      </c>
      <c r="I35" s="66">
        <f>SUMIFS(Dane!$D$4:$D$2463,Dane!$A$4:$A$2463,'Cape-Cod'!$A$31,Dane!$H$4:$H$2463,'Cape-Cod'!$A35,Dane!$I$4:$I$2463,$A35+I$33)+H35</f>
        <v>9177705.103366673</v>
      </c>
      <c r="J35" s="66">
        <f>SUMIFS(Dane!$D$4:$D$2463,Dane!$A$4:$A$2463,'Cape-Cod'!$A$31,Dane!$H$4:$H$2463,'Cape-Cod'!$A35,Dane!$I$4:$I$2463,$A35+J$33)+I35</f>
        <v>9232133.1671188306</v>
      </c>
      <c r="K35" s="68">
        <f>SUMIFS(Dane!$D$4:$D$2463,Dane!$A$4:$A$2463,'Cape-Cod'!$A$31,Dane!$H$4:$H$2463,'Cape-Cod'!$A35,Dane!$I$4:$I$2463,$A35+K$33)</f>
        <v>0</v>
      </c>
      <c r="L35" s="14"/>
      <c r="O35">
        <v>2013</v>
      </c>
      <c r="P35" s="66">
        <v>5411379.5550185256</v>
      </c>
      <c r="Q35" s="66">
        <v>7900593.8976593902</v>
      </c>
      <c r="R35" s="66">
        <v>8452809.5298921596</v>
      </c>
      <c r="S35" s="66">
        <v>8739590.737854803</v>
      </c>
      <c r="T35" s="66">
        <v>8882281.6902518589</v>
      </c>
      <c r="U35" s="66">
        <v>9021858.8460047543</v>
      </c>
      <c r="V35" s="66">
        <v>9101997.1280943397</v>
      </c>
      <c r="W35" s="66">
        <v>9177705.103366673</v>
      </c>
      <c r="X35" s="66">
        <v>9232133.1671188306</v>
      </c>
      <c r="Y35" s="68">
        <f>X35+P35*$N$34*(Y$45-X$45)*5</f>
        <v>9320945.2545989938</v>
      </c>
      <c r="Z35" s="14">
        <f>Y35-X35</f>
        <v>88812.087480163202</v>
      </c>
    </row>
    <row r="36" spans="1:26" x14ac:dyDescent="0.25">
      <c r="A36">
        <v>2014</v>
      </c>
      <c r="B36" s="66">
        <f>SUMIFS(Dane!$D$4:$D$2463,Dane!$A$4:$A$2463,'Cape-Cod'!$A$31,Dane!$H$4:$H$2463,'Cape-Cod'!$A36,Dane!$I$4:$I$2463,$A36+B$33)</f>
        <v>5125655.4854002073</v>
      </c>
      <c r="C36" s="66">
        <f>SUMIFS(Dane!$D$4:$D$2463,Dane!$A$4:$A$2463,'Cape-Cod'!$A$31,Dane!$H$4:$H$2463,'Cape-Cod'!$A36,Dane!$I$4:$I$2463,$A36+C$33)+B36</f>
        <v>7419675.5357578844</v>
      </c>
      <c r="D36" s="66">
        <f>SUMIFS(Dane!$D$4:$D$2463,Dane!$A$4:$A$2463,'Cape-Cod'!$A$31,Dane!$H$4:$H$2463,'Cape-Cod'!$A36,Dane!$I$4:$I$2463,$A36+D$33)+C36</f>
        <v>8035194.5474029956</v>
      </c>
      <c r="E36" s="66">
        <f>SUMIFS(Dane!$D$4:$D$2463,Dane!$A$4:$A$2463,'Cape-Cod'!$A$31,Dane!$H$4:$H$2463,'Cape-Cod'!$A36,Dane!$I$4:$I$2463,$A36+E$33)+D36</f>
        <v>8311293.5664852802</v>
      </c>
      <c r="F36" s="66">
        <f>SUMIFS(Dane!$D$4:$D$2463,Dane!$A$4:$A$2463,'Cape-Cod'!$A$31,Dane!$H$4:$H$2463,'Cape-Cod'!$A36,Dane!$I$4:$I$2463,$A36+F$33)+E36</f>
        <v>8485838.9932521638</v>
      </c>
      <c r="G36" s="66">
        <f>SUMIFS(Dane!$D$4:$D$2463,Dane!$A$4:$A$2463,'Cape-Cod'!$A$31,Dane!$H$4:$H$2463,'Cape-Cod'!$A36,Dane!$I$4:$I$2463,$A36+G$33)+F36</f>
        <v>8612753.2234232798</v>
      </c>
      <c r="H36" s="66">
        <f>SUMIFS(Dane!$D$4:$D$2463,Dane!$A$4:$A$2463,'Cape-Cod'!$A$31,Dane!$H$4:$H$2463,'Cape-Cod'!$A36,Dane!$I$4:$I$2463,$A36+H$33)+G36</f>
        <v>8705089.8472966179</v>
      </c>
      <c r="I36" s="66">
        <f>SUMIFS(Dane!$D$4:$D$2463,Dane!$A$4:$A$2463,'Cape-Cod'!$A$31,Dane!$H$4:$H$2463,'Cape-Cod'!$A36,Dane!$I$4:$I$2463,$A36+I$33)+H36</f>
        <v>8790192.0651726462</v>
      </c>
      <c r="J36" s="67">
        <f>SUMIFS(Dane!$D$4:$D$2463,Dane!$A$4:$A$2463,'Cape-Cod'!$A$31,Dane!$H$4:$H$2463,'Cape-Cod'!$A36,Dane!$I$4:$I$2463,$A36+J$33)</f>
        <v>0</v>
      </c>
      <c r="K36" s="68">
        <f>SUMIFS(Dane!$D$4:$D$2463,Dane!$A$4:$A$2463,'Cape-Cod'!$A$31,Dane!$H$4:$H$2463,'Cape-Cod'!$A36,Dane!$I$4:$I$2463,$A36+K$33)</f>
        <v>0</v>
      </c>
      <c r="L36" s="14"/>
      <c r="O36">
        <v>2014</v>
      </c>
      <c r="P36" s="66">
        <v>5125655.4854002073</v>
      </c>
      <c r="Q36" s="66">
        <v>7419675.5357578844</v>
      </c>
      <c r="R36" s="66">
        <v>8035194.5474029956</v>
      </c>
      <c r="S36" s="66">
        <v>8311293.5664852802</v>
      </c>
      <c r="T36" s="66">
        <v>8485838.9932521638</v>
      </c>
      <c r="U36" s="66">
        <v>8612753.2234232798</v>
      </c>
      <c r="V36" s="66">
        <v>8705089.8472966179</v>
      </c>
      <c r="W36" s="66">
        <v>8790192.0651726462</v>
      </c>
      <c r="X36" s="67">
        <v>0</v>
      </c>
      <c r="Y36" s="68">
        <f>$W$36+$P$36*$N$34*(Y45-$W$45)*5</f>
        <v>8936682.8718866929</v>
      </c>
      <c r="Z36" s="14">
        <f>Y36-W36</f>
        <v>146490.80671404675</v>
      </c>
    </row>
    <row r="37" spans="1:26" x14ac:dyDescent="0.25">
      <c r="A37">
        <v>2015</v>
      </c>
      <c r="B37" s="66">
        <f>SUMIFS(Dane!$D$4:$D$2463,Dane!$A$4:$A$2463,'Cape-Cod'!$A$31,Dane!$H$4:$H$2463,'Cape-Cod'!$A37,Dane!$I$4:$I$2463,$A37+B$33)</f>
        <v>4937863.1805621143</v>
      </c>
      <c r="C37" s="66">
        <f>SUMIFS(Dane!$D$4:$D$2463,Dane!$A$4:$A$2463,'Cape-Cod'!$A$31,Dane!$H$4:$H$2463,'Cape-Cod'!$A37,Dane!$I$4:$I$2463,$A37+C$33)+B37</f>
        <v>7280218.5328278262</v>
      </c>
      <c r="D37" s="66">
        <f>SUMIFS(Dane!$D$4:$D$2463,Dane!$A$4:$A$2463,'Cape-Cod'!$A$31,Dane!$H$4:$H$2463,'Cape-Cod'!$A37,Dane!$I$4:$I$2463,$A37+D$33)+C37</f>
        <v>7761059.11764865</v>
      </c>
      <c r="E37" s="66">
        <f>SUMIFS(Dane!$D$4:$D$2463,Dane!$A$4:$A$2463,'Cape-Cod'!$A$31,Dane!$H$4:$H$2463,'Cape-Cod'!$A37,Dane!$I$4:$I$2463,$A37+E$33)+D37</f>
        <v>8070594.5036562011</v>
      </c>
      <c r="F37" s="66">
        <f>SUMIFS(Dane!$D$4:$D$2463,Dane!$A$4:$A$2463,'Cape-Cod'!$A$31,Dane!$H$4:$H$2463,'Cape-Cod'!$A37,Dane!$I$4:$I$2463,$A37+F$33)+E37</f>
        <v>8357686.8388847765</v>
      </c>
      <c r="G37" s="66">
        <f>SUMIFS(Dane!$D$4:$D$2463,Dane!$A$4:$A$2463,'Cape-Cod'!$A$31,Dane!$H$4:$H$2463,'Cape-Cod'!$A37,Dane!$I$4:$I$2463,$A37+G$33)+F37</f>
        <v>8508734.3164296784</v>
      </c>
      <c r="H37" s="66">
        <f>SUMIFS(Dane!$D$4:$D$2463,Dane!$A$4:$A$2463,'Cape-Cod'!$A$31,Dane!$H$4:$H$2463,'Cape-Cod'!$A37,Dane!$I$4:$I$2463,$A37+H$33)+G37</f>
        <v>8597298.6686612889</v>
      </c>
      <c r="I37" s="67">
        <f>SUMIFS(Dane!$D$4:$D$2463,Dane!$A$4:$A$2463,'Cape-Cod'!$A$31,Dane!$H$4:$H$2463,'Cape-Cod'!$A37,Dane!$I$4:$I$2463,$A37+I$33)</f>
        <v>0</v>
      </c>
      <c r="J37" s="67">
        <f>SUMIFS(Dane!$D$4:$D$2463,Dane!$A$4:$A$2463,'Cape-Cod'!$A$31,Dane!$H$4:$H$2463,'Cape-Cod'!$A37,Dane!$I$4:$I$2463,$A37+J$33)</f>
        <v>0</v>
      </c>
      <c r="K37" s="68">
        <f>SUMIFS(Dane!$D$4:$D$2463,Dane!$A$4:$A$2463,'Cape-Cod'!$A$31,Dane!$H$4:$H$2463,'Cape-Cod'!$A37,Dane!$I$4:$I$2463,$A37+K$33)</f>
        <v>0</v>
      </c>
      <c r="L37" s="14"/>
      <c r="O37">
        <v>2015</v>
      </c>
      <c r="P37" s="66">
        <v>4937863.1805621143</v>
      </c>
      <c r="Q37" s="66">
        <v>7280218.5328278262</v>
      </c>
      <c r="R37" s="66">
        <v>7761059.11764865</v>
      </c>
      <c r="S37" s="66">
        <v>8070594.5036562011</v>
      </c>
      <c r="T37" s="66">
        <v>8357686.8388847765</v>
      </c>
      <c r="U37" s="66">
        <v>8508734.3164296784</v>
      </c>
      <c r="V37" s="66">
        <v>8597298.6686612889</v>
      </c>
      <c r="W37" s="67">
        <v>0</v>
      </c>
      <c r="X37" s="67">
        <v>0</v>
      </c>
      <c r="Y37" s="68">
        <f>$V$37+$P$37*$N$34*(Y45-$V$45)*5</f>
        <v>8806702.2568636984</v>
      </c>
      <c r="Z37" s="14">
        <f>Y37-V37</f>
        <v>209403.58820240945</v>
      </c>
    </row>
    <row r="38" spans="1:26" x14ac:dyDescent="0.25">
      <c r="A38">
        <v>2016</v>
      </c>
      <c r="B38" s="66">
        <f>SUMIFS(Dane!$D$4:$D$2463,Dane!$A$4:$A$2463,'Cape-Cod'!$A$31,Dane!$H$4:$H$2463,'Cape-Cod'!$A38,Dane!$I$4:$I$2463,$A38+B$33)</f>
        <v>4897019.6391870324</v>
      </c>
      <c r="C38" s="66">
        <f>SUMIFS(Dane!$D$4:$D$2463,Dane!$A$4:$A$2463,'Cape-Cod'!$A$31,Dane!$H$4:$H$2463,'Cape-Cod'!$A38,Dane!$I$4:$I$2463,$A38+C$33)+B38</f>
        <v>7246289.1684834082</v>
      </c>
      <c r="D38" s="66">
        <f>SUMIFS(Dane!$D$4:$D$2463,Dane!$A$4:$A$2463,'Cape-Cod'!$A$31,Dane!$H$4:$H$2463,'Cape-Cod'!$A38,Dane!$I$4:$I$2463,$A38+D$33)+C38</f>
        <v>7830052.6938192165</v>
      </c>
      <c r="E38" s="66">
        <f>SUMIFS(Dane!$D$4:$D$2463,Dane!$A$4:$A$2463,'Cape-Cod'!$A$31,Dane!$H$4:$H$2463,'Cape-Cod'!$A38,Dane!$I$4:$I$2463,$A38+E$33)+D38</f>
        <v>8169946.3043205123</v>
      </c>
      <c r="F38" s="66">
        <f>SUMIFS(Dane!$D$4:$D$2463,Dane!$A$4:$A$2463,'Cape-Cod'!$A$31,Dane!$H$4:$H$2463,'Cape-Cod'!$A38,Dane!$I$4:$I$2463,$A38+F$33)+E38</f>
        <v>8399470.4375268407</v>
      </c>
      <c r="G38" s="66">
        <f>SUMIFS(Dane!$D$4:$D$2463,Dane!$A$4:$A$2463,'Cape-Cod'!$A$31,Dane!$H$4:$H$2463,'Cape-Cod'!$A38,Dane!$I$4:$I$2463,$A38+G$33)+F38</f>
        <v>8553302.2388791312</v>
      </c>
      <c r="H38" s="67">
        <f>SUMIFS(Dane!$D$4:$D$2463,Dane!$A$4:$A$2463,'Cape-Cod'!$A$31,Dane!$H$4:$H$2463,'Cape-Cod'!$A38,Dane!$I$4:$I$2463,$A38+H$33)</f>
        <v>0</v>
      </c>
      <c r="I38" s="67">
        <f>SUMIFS(Dane!$D$4:$D$2463,Dane!$A$4:$A$2463,'Cape-Cod'!$A$31,Dane!$H$4:$H$2463,'Cape-Cod'!$A38,Dane!$I$4:$I$2463,$A38+I$33)</f>
        <v>0</v>
      </c>
      <c r="J38" s="67">
        <f>SUMIFS(Dane!$D$4:$D$2463,Dane!$A$4:$A$2463,'Cape-Cod'!$A$31,Dane!$H$4:$H$2463,'Cape-Cod'!$A38,Dane!$I$4:$I$2463,$A38+J$33)</f>
        <v>0</v>
      </c>
      <c r="K38" s="68">
        <f>SUMIFS(Dane!$D$4:$D$2463,Dane!$A$4:$A$2463,'Cape-Cod'!$A$31,Dane!$H$4:$H$2463,'Cape-Cod'!$A38,Dane!$I$4:$I$2463,$A38+K$33)</f>
        <v>0</v>
      </c>
      <c r="L38" s="14"/>
      <c r="O38">
        <v>2016</v>
      </c>
      <c r="P38" s="66">
        <v>4897019.6391870324</v>
      </c>
      <c r="Q38" s="66">
        <v>7246289.1684834082</v>
      </c>
      <c r="R38" s="66">
        <v>7830052.6938192165</v>
      </c>
      <c r="S38" s="66">
        <v>8169946.3043205123</v>
      </c>
      <c r="T38" s="66">
        <v>8399470.4375268407</v>
      </c>
      <c r="U38" s="66">
        <v>8553302.2388791312</v>
      </c>
      <c r="V38" s="67">
        <v>0</v>
      </c>
      <c r="W38" s="67">
        <v>0</v>
      </c>
      <c r="X38" s="67">
        <v>0</v>
      </c>
      <c r="Y38" s="68">
        <f>$U$38+$P$38*$N$34*(Y45-$U$45)*5</f>
        <v>8837663.0276596677</v>
      </c>
      <c r="Z38" s="14">
        <f>Y38-U38</f>
        <v>284360.7887805365</v>
      </c>
    </row>
    <row r="39" spans="1:26" x14ac:dyDescent="0.25">
      <c r="A39">
        <v>2017</v>
      </c>
      <c r="B39" s="66">
        <f>SUMIFS(Dane!$D$4:$D$2463,Dane!$A$4:$A$2463,'Cape-Cod'!$A$31,Dane!$H$4:$H$2463,'Cape-Cod'!$A39,Dane!$I$4:$I$2463,$A39+B$33)</f>
        <v>5014791.9572833572</v>
      </c>
      <c r="C39" s="66">
        <f>SUMIFS(Dane!$D$4:$D$2463,Dane!$A$4:$A$2463,'Cape-Cod'!$A$31,Dane!$H$4:$H$2463,'Cape-Cod'!$A39,Dane!$I$4:$I$2463,$A39+C$33)+B39</f>
        <v>7473356.4843088966</v>
      </c>
      <c r="D39" s="66">
        <f>SUMIFS(Dane!$D$4:$D$2463,Dane!$A$4:$A$2463,'Cape-Cod'!$A$31,Dane!$H$4:$H$2463,'Cape-Cod'!$A39,Dane!$I$4:$I$2463,$A39+D$33)+C39</f>
        <v>8051605.7443632847</v>
      </c>
      <c r="E39" s="66">
        <f>SUMIFS(Dane!$D$4:$D$2463,Dane!$A$4:$A$2463,'Cape-Cod'!$A$31,Dane!$H$4:$H$2463,'Cape-Cod'!$A39,Dane!$I$4:$I$2463,$A39+E$33)+D39</f>
        <v>8381433.7919791909</v>
      </c>
      <c r="F39" s="66">
        <f>SUMIFS(Dane!$D$4:$D$2463,Dane!$A$4:$A$2463,'Cape-Cod'!$A$31,Dane!$H$4:$H$2463,'Cape-Cod'!$A39,Dane!$I$4:$I$2463,$A39+F$33)+E39</f>
        <v>8539007.495220311</v>
      </c>
      <c r="G39" s="67">
        <f>SUMIFS(Dane!$D$4:$D$2463,Dane!$A$4:$A$2463,'Cape-Cod'!$A$31,Dane!$H$4:$H$2463,'Cape-Cod'!$A39,Dane!$I$4:$I$2463,$A39+G$33)</f>
        <v>0</v>
      </c>
      <c r="H39" s="67">
        <f>SUMIFS(Dane!$D$4:$D$2463,Dane!$A$4:$A$2463,'Cape-Cod'!$A$31,Dane!$H$4:$H$2463,'Cape-Cod'!$A39,Dane!$I$4:$I$2463,$A39+H$33)</f>
        <v>0</v>
      </c>
      <c r="I39" s="67">
        <f>SUMIFS(Dane!$D$4:$D$2463,Dane!$A$4:$A$2463,'Cape-Cod'!$A$31,Dane!$H$4:$H$2463,'Cape-Cod'!$A39,Dane!$I$4:$I$2463,$A39+I$33)</f>
        <v>0</v>
      </c>
      <c r="J39" s="67">
        <f>SUMIFS(Dane!$D$4:$D$2463,Dane!$A$4:$A$2463,'Cape-Cod'!$A$31,Dane!$H$4:$H$2463,'Cape-Cod'!$A39,Dane!$I$4:$I$2463,$A39+J$33)</f>
        <v>0</v>
      </c>
      <c r="K39" s="68">
        <f>SUMIFS(Dane!$D$4:$D$2463,Dane!$A$4:$A$2463,'Cape-Cod'!$A$31,Dane!$H$4:$H$2463,'Cape-Cod'!$A39,Dane!$I$4:$I$2463,$A39+K$33)</f>
        <v>0</v>
      </c>
      <c r="L39" s="14"/>
      <c r="N39" s="8"/>
      <c r="O39">
        <v>2017</v>
      </c>
      <c r="P39" s="66">
        <v>5014791.9572833572</v>
      </c>
      <c r="Q39" s="66">
        <v>7473356.4843088966</v>
      </c>
      <c r="R39" s="66">
        <v>8051605.7443632847</v>
      </c>
      <c r="S39" s="66">
        <v>8381433.7919791909</v>
      </c>
      <c r="T39" s="66">
        <v>8539007.495220311</v>
      </c>
      <c r="U39" s="67">
        <v>0</v>
      </c>
      <c r="V39" s="67">
        <v>0</v>
      </c>
      <c r="W39" s="67">
        <v>0</v>
      </c>
      <c r="X39" s="67">
        <v>0</v>
      </c>
      <c r="Y39" s="68">
        <f>$T$39+$P$39*$N$34*(Y45-$T$45)*5</f>
        <v>8959494.8223312851</v>
      </c>
      <c r="Z39" s="14">
        <f>Y39-T39</f>
        <v>420487.32711097412</v>
      </c>
    </row>
    <row r="40" spans="1:26" x14ac:dyDescent="0.25">
      <c r="A40">
        <v>2018</v>
      </c>
      <c r="B40" s="66">
        <f>SUMIFS(Dane!$D$4:$D$2463,Dane!$A$4:$A$2463,'Cape-Cod'!$A$31,Dane!$H$4:$H$2463,'Cape-Cod'!$A40,Dane!$I$4:$I$2463,$A40+B$33)</f>
        <v>5289023.9552167226</v>
      </c>
      <c r="C40" s="66">
        <f>SUMIFS(Dane!$D$4:$D$2463,Dane!$A$4:$A$2463,'Cape-Cod'!$A$31,Dane!$H$4:$H$2463,'Cape-Cod'!$A40,Dane!$I$4:$I$2463,$A40+C$33)+B40</f>
        <v>7765443.9363761069</v>
      </c>
      <c r="D40" s="66">
        <f>SUMIFS(Dane!$D$4:$D$2463,Dane!$A$4:$A$2463,'Cape-Cod'!$A$31,Dane!$H$4:$H$2463,'Cape-Cod'!$A40,Dane!$I$4:$I$2463,$A40+D$33)+C40</f>
        <v>8242777.4404919678</v>
      </c>
      <c r="E40" s="66">
        <f>SUMIFS(Dane!$D$4:$D$2463,Dane!$A$4:$A$2463,'Cape-Cod'!$A$31,Dane!$H$4:$H$2463,'Cape-Cod'!$A40,Dane!$I$4:$I$2463,$A40+E$33)+D40</f>
        <v>8468153.0281122215</v>
      </c>
      <c r="F40" s="67">
        <f>SUMIFS(Dane!$D$4:$D$2463,Dane!$A$4:$A$2463,'Cape-Cod'!$A$31,Dane!$H$4:$H$2463,'Cape-Cod'!$A40,Dane!$I$4:$I$2463,$A40+F$33)</f>
        <v>0</v>
      </c>
      <c r="G40" s="67">
        <f>SUMIFS(Dane!$D$4:$D$2463,Dane!$A$4:$A$2463,'Cape-Cod'!$A$31,Dane!$H$4:$H$2463,'Cape-Cod'!$A40,Dane!$I$4:$I$2463,$A40+G$33)</f>
        <v>0</v>
      </c>
      <c r="H40" s="67">
        <f>SUMIFS(Dane!$D$4:$D$2463,Dane!$A$4:$A$2463,'Cape-Cod'!$A$31,Dane!$H$4:$H$2463,'Cape-Cod'!$A40,Dane!$I$4:$I$2463,$A40+H$33)</f>
        <v>0</v>
      </c>
      <c r="I40" s="67">
        <f>SUMIFS(Dane!$D$4:$D$2463,Dane!$A$4:$A$2463,'Cape-Cod'!$A$31,Dane!$H$4:$H$2463,'Cape-Cod'!$A40,Dane!$I$4:$I$2463,$A40+I$33)</f>
        <v>0</v>
      </c>
      <c r="J40" s="67">
        <f>SUMIFS(Dane!$D$4:$D$2463,Dane!$A$4:$A$2463,'Cape-Cod'!$A$31,Dane!$H$4:$H$2463,'Cape-Cod'!$A40,Dane!$I$4:$I$2463,$A40+J$33)</f>
        <v>0</v>
      </c>
      <c r="K40" s="68">
        <f>SUMIFS(Dane!$D$4:$D$2463,Dane!$A$4:$A$2463,'Cape-Cod'!$A$31,Dane!$H$4:$H$2463,'Cape-Cod'!$A40,Dane!$I$4:$I$2463,$A40+K$33)</f>
        <v>0</v>
      </c>
      <c r="L40" s="14"/>
      <c r="O40">
        <v>2018</v>
      </c>
      <c r="P40" s="66">
        <v>5289023.9552167226</v>
      </c>
      <c r="Q40" s="66">
        <v>7765443.9363761069</v>
      </c>
      <c r="R40" s="66">
        <v>8242777.4404919678</v>
      </c>
      <c r="S40" s="66">
        <v>8468153.0281122215</v>
      </c>
      <c r="T40" s="67">
        <v>0</v>
      </c>
      <c r="U40" s="67">
        <v>0</v>
      </c>
      <c r="V40" s="67">
        <v>0</v>
      </c>
      <c r="W40" s="67">
        <v>0</v>
      </c>
      <c r="X40" s="67">
        <v>0</v>
      </c>
      <c r="Y40" s="68">
        <f>$S$40+$P$40*$N$34*(Y45-$S$45)*5</f>
        <v>9113076.1872678623</v>
      </c>
      <c r="Z40" s="14">
        <f>Y40-S40</f>
        <v>644923.15915564075</v>
      </c>
    </row>
    <row r="41" spans="1:26" x14ac:dyDescent="0.25">
      <c r="A41">
        <v>2019</v>
      </c>
      <c r="B41" s="66">
        <f>SUMIFS(Dane!$D$4:$D$2463,Dane!$A$4:$A$2463,'Cape-Cod'!$A$31,Dane!$H$4:$H$2463,'Cape-Cod'!$A41,Dane!$I$4:$I$2463,$A41+B$33)</f>
        <v>5361675.0260812119</v>
      </c>
      <c r="C41" s="66">
        <f>SUMIFS(Dane!$D$4:$D$2463,Dane!$A$4:$A$2463,'Cape-Cod'!$A$31,Dane!$H$4:$H$2463,'Cape-Cod'!$A41,Dane!$I$4:$I$2463,$A41+C$33)+B41</f>
        <v>7552270.4508919688</v>
      </c>
      <c r="D41" s="66">
        <f>SUMIFS(Dane!$D$4:$D$2463,Dane!$A$4:$A$2463,'Cape-Cod'!$A$31,Dane!$H$4:$H$2463,'Cape-Cod'!$A41,Dane!$I$4:$I$2463,$A41+D$33)+C41</f>
        <v>8066188.6737497589</v>
      </c>
      <c r="E41" s="67">
        <f>SUMIFS(Dane!$D$4:$D$2463,Dane!$A$4:$A$2463,'Cape-Cod'!$A$31,Dane!$H$4:$H$2463,'Cape-Cod'!$A41,Dane!$I$4:$I$2463,$A41+E$33)</f>
        <v>0</v>
      </c>
      <c r="F41" s="67">
        <f>SUMIFS(Dane!$D$4:$D$2463,Dane!$A$4:$A$2463,'Cape-Cod'!$A$31,Dane!$H$4:$H$2463,'Cape-Cod'!$A41,Dane!$I$4:$I$2463,$A41+F$33)</f>
        <v>0</v>
      </c>
      <c r="G41" s="67">
        <f>SUMIFS(Dane!$D$4:$D$2463,Dane!$A$4:$A$2463,'Cape-Cod'!$A$31,Dane!$H$4:$H$2463,'Cape-Cod'!$A41,Dane!$I$4:$I$2463,$A41+G$33)</f>
        <v>0</v>
      </c>
      <c r="H41" s="67">
        <f>SUMIFS(Dane!$D$4:$D$2463,Dane!$A$4:$A$2463,'Cape-Cod'!$A$31,Dane!$H$4:$H$2463,'Cape-Cod'!$A41,Dane!$I$4:$I$2463,$A41+H$33)</f>
        <v>0</v>
      </c>
      <c r="I41" s="67">
        <f>SUMIFS(Dane!$D$4:$D$2463,Dane!$A$4:$A$2463,'Cape-Cod'!$A$31,Dane!$H$4:$H$2463,'Cape-Cod'!$A41,Dane!$I$4:$I$2463,$A41+I$33)</f>
        <v>0</v>
      </c>
      <c r="J41" s="67">
        <f>SUMIFS(Dane!$D$4:$D$2463,Dane!$A$4:$A$2463,'Cape-Cod'!$A$31,Dane!$H$4:$H$2463,'Cape-Cod'!$A41,Dane!$I$4:$I$2463,$A41+J$33)</f>
        <v>0</v>
      </c>
      <c r="K41" s="68">
        <f>SUMIFS(Dane!$D$4:$D$2463,Dane!$A$4:$A$2463,'Cape-Cod'!$A$31,Dane!$H$4:$H$2463,'Cape-Cod'!$A41,Dane!$I$4:$I$2463,$A41+K$33)</f>
        <v>0</v>
      </c>
      <c r="L41" s="14"/>
      <c r="O41">
        <v>2019</v>
      </c>
      <c r="P41" s="66">
        <v>5361675.0260812119</v>
      </c>
      <c r="Q41" s="66">
        <v>7552270.4508919688</v>
      </c>
      <c r="R41" s="66">
        <v>8066188.6737497589</v>
      </c>
      <c r="S41" s="67">
        <v>0</v>
      </c>
      <c r="T41" s="67">
        <v>0</v>
      </c>
      <c r="U41" s="67">
        <v>0</v>
      </c>
      <c r="V41" s="67">
        <v>0</v>
      </c>
      <c r="W41" s="67">
        <v>0</v>
      </c>
      <c r="X41" s="67">
        <v>0</v>
      </c>
      <c r="Y41" s="68">
        <f>$R$41+$P$41*$N$34*(Y45-$R$45)*5</f>
        <v>9025720.0403869208</v>
      </c>
      <c r="Z41" s="14">
        <f>Y41-R41</f>
        <v>959531.36663716193</v>
      </c>
    </row>
    <row r="42" spans="1:26" x14ac:dyDescent="0.25">
      <c r="A42">
        <v>2020</v>
      </c>
      <c r="B42" s="66">
        <f>SUMIFS(Dane!$D$4:$D$2463,Dane!$A$4:$A$2463,'Cape-Cod'!$A$31,Dane!$H$4:$H$2463,'Cape-Cod'!$A42,Dane!$I$4:$I$2463,$A42+B$33)</f>
        <v>5311015.510566188</v>
      </c>
      <c r="C42" s="66">
        <f>SUMIFS(Dane!$D$4:$D$2463,Dane!$A$4:$A$2463,'Cape-Cod'!$A$31,Dane!$H$4:$H$2463,'Cape-Cod'!$A42,Dane!$I$4:$I$2463,$A42+C$33)+B42</f>
        <v>7383876.934500345</v>
      </c>
      <c r="D42" s="67">
        <f>SUMIFS(Dane!$D$4:$D$2463,Dane!$A$4:$A$2463,'Cape-Cod'!$A$31,Dane!$H$4:$H$2463,'Cape-Cod'!$A42,Dane!$I$4:$I$2463,$A42+D$33)</f>
        <v>0</v>
      </c>
      <c r="E42" s="67">
        <f>SUMIFS(Dane!$D$4:$D$2463,Dane!$A$4:$A$2463,'Cape-Cod'!$A$31,Dane!$H$4:$H$2463,'Cape-Cod'!$A42,Dane!$I$4:$I$2463,$A42+E$33)</f>
        <v>0</v>
      </c>
      <c r="F42" s="67">
        <f>SUMIFS(Dane!$D$4:$D$2463,Dane!$A$4:$A$2463,'Cape-Cod'!$A$31,Dane!$H$4:$H$2463,'Cape-Cod'!$A42,Dane!$I$4:$I$2463,$A42+F$33)</f>
        <v>0</v>
      </c>
      <c r="G42" s="67">
        <f>SUMIFS(Dane!$D$4:$D$2463,Dane!$A$4:$A$2463,'Cape-Cod'!$A$31,Dane!$H$4:$H$2463,'Cape-Cod'!$A42,Dane!$I$4:$I$2463,$A42+G$33)</f>
        <v>0</v>
      </c>
      <c r="H42" s="67">
        <f>SUMIFS(Dane!$D$4:$D$2463,Dane!$A$4:$A$2463,'Cape-Cod'!$A$31,Dane!$H$4:$H$2463,'Cape-Cod'!$A42,Dane!$I$4:$I$2463,$A42+H$33)</f>
        <v>0</v>
      </c>
      <c r="I42" s="67">
        <f>SUMIFS(Dane!$D$4:$D$2463,Dane!$A$4:$A$2463,'Cape-Cod'!$A$31,Dane!$H$4:$H$2463,'Cape-Cod'!$A42,Dane!$I$4:$I$2463,$A42+I$33)</f>
        <v>0</v>
      </c>
      <c r="J42" s="67">
        <f>SUMIFS(Dane!$D$4:$D$2463,Dane!$A$4:$A$2463,'Cape-Cod'!$A$31,Dane!$H$4:$H$2463,'Cape-Cod'!$A42,Dane!$I$4:$I$2463,$A42+J$33)</f>
        <v>0</v>
      </c>
      <c r="K42" s="68">
        <f>SUMIFS(Dane!$D$4:$D$2463,Dane!$A$4:$A$2463,'Cape-Cod'!$A$31,Dane!$H$4:$H$2463,'Cape-Cod'!$A42,Dane!$I$4:$I$2463,$A42+K$33)</f>
        <v>0</v>
      </c>
      <c r="L42" s="14"/>
      <c r="N42" s="7"/>
      <c r="O42" s="9">
        <v>2020</v>
      </c>
      <c r="P42" s="66">
        <v>5311015.510566188</v>
      </c>
      <c r="Q42" s="66">
        <v>7383876.934500345</v>
      </c>
      <c r="R42" s="67">
        <v>0</v>
      </c>
      <c r="S42" s="67">
        <v>0</v>
      </c>
      <c r="T42" s="67">
        <v>0</v>
      </c>
      <c r="U42" s="67">
        <v>0</v>
      </c>
      <c r="V42" s="67">
        <v>0</v>
      </c>
      <c r="W42" s="67">
        <v>0</v>
      </c>
      <c r="X42" s="67">
        <v>0</v>
      </c>
      <c r="Y42" s="68">
        <f>$Q$42+$P$42*5*$N$34*(Y45-$Q$45)</f>
        <v>8905122.8084522132</v>
      </c>
      <c r="Z42" s="14">
        <f>Y42-Q42</f>
        <v>1521245.8739518682</v>
      </c>
    </row>
    <row r="43" spans="1:26" x14ac:dyDescent="0.25">
      <c r="A43">
        <v>2021</v>
      </c>
      <c r="B43" s="66">
        <f>SUMIFS(Dane!$D$4:$D$2463,Dane!$A$4:$A$2463,'Cape-Cod'!$A$31,Dane!$H$4:$H$2463,'Cape-Cod'!$A43,Dane!$I$4:$I$2463,$A43+B$33)</f>
        <v>5299650.8412340274</v>
      </c>
      <c r="C43" s="67">
        <f>SUMIFS(Dane!$D$4:$D$2463,Dane!$A$4:$A$2463,'Cape-Cod'!$A$31,Dane!$H$4:$H$2463,'Cape-Cod'!$A43,Dane!$I$4:$I$2463,$A43+C$33)</f>
        <v>0</v>
      </c>
      <c r="D43" s="67">
        <f>SUMIFS(Dane!$D$4:$D$2463,Dane!$A$4:$A$2463,'Cape-Cod'!$A$31,Dane!$H$4:$H$2463,'Cape-Cod'!$A43,Dane!$I$4:$I$2463,$A43+D$33)</f>
        <v>0</v>
      </c>
      <c r="E43" s="67">
        <f>SUMIFS(Dane!$D$4:$D$2463,Dane!$A$4:$A$2463,'Cape-Cod'!$A$31,Dane!$H$4:$H$2463,'Cape-Cod'!$A43,Dane!$I$4:$I$2463,$A43+E$33)</f>
        <v>0</v>
      </c>
      <c r="F43" s="67">
        <f>SUMIFS(Dane!$D$4:$D$2463,Dane!$A$4:$A$2463,'Cape-Cod'!$A$31,Dane!$H$4:$H$2463,'Cape-Cod'!$A43,Dane!$I$4:$I$2463,$A43+F$33)</f>
        <v>0</v>
      </c>
      <c r="G43" s="67">
        <f>SUMIFS(Dane!$D$4:$D$2463,Dane!$A$4:$A$2463,'Cape-Cod'!$A$31,Dane!$H$4:$H$2463,'Cape-Cod'!$A43,Dane!$I$4:$I$2463,$A43+G$33)</f>
        <v>0</v>
      </c>
      <c r="H43" s="67">
        <f>SUMIFS(Dane!$D$4:$D$2463,Dane!$A$4:$A$2463,'Cape-Cod'!$A$31,Dane!$H$4:$H$2463,'Cape-Cod'!$A43,Dane!$I$4:$I$2463,$A43+H$33)</f>
        <v>0</v>
      </c>
      <c r="I43" s="67">
        <f>SUMIFS(Dane!$D$4:$D$2463,Dane!$A$4:$A$2463,'Cape-Cod'!$A$31,Dane!$H$4:$H$2463,'Cape-Cod'!$A43,Dane!$I$4:$I$2463,$A43+I$33)</f>
        <v>0</v>
      </c>
      <c r="J43" s="67">
        <f>SUMIFS(Dane!$D$4:$D$2463,Dane!$A$4:$A$2463,'Cape-Cod'!$A$31,Dane!$H$4:$H$2463,'Cape-Cod'!$A43,Dane!$I$4:$I$2463,$A43+J$33)</f>
        <v>0</v>
      </c>
      <c r="K43" s="68">
        <f>SUMIFS(Dane!$D$4:$D$2463,Dane!$A$4:$A$2463,'Cape-Cod'!$A$31,Dane!$H$4:$H$2463,'Cape-Cod'!$A43,Dane!$I$4:$I$2463,$A43+K$33)</f>
        <v>0</v>
      </c>
      <c r="L43" s="14"/>
      <c r="O43">
        <v>2021</v>
      </c>
      <c r="P43" s="66">
        <v>5299650.8412340274</v>
      </c>
      <c r="Q43" s="67">
        <v>0</v>
      </c>
      <c r="R43" s="67">
        <v>0</v>
      </c>
      <c r="S43" s="67">
        <v>0</v>
      </c>
      <c r="T43" s="67">
        <v>0</v>
      </c>
      <c r="U43" s="67">
        <v>0</v>
      </c>
      <c r="V43" s="67">
        <v>0</v>
      </c>
      <c r="W43" s="67">
        <v>0</v>
      </c>
      <c r="X43" s="67">
        <v>0</v>
      </c>
      <c r="Y43" s="68">
        <f>$P$43+$P$43*5*$N$34*(Y45-$P$45)</f>
        <v>9225164.2657248359</v>
      </c>
      <c r="Z43" s="14">
        <f>Y43-P43</f>
        <v>3925513.4244908085</v>
      </c>
    </row>
    <row r="44" spans="1:26" x14ac:dyDescent="0.25">
      <c r="A44" t="s">
        <v>55</v>
      </c>
      <c r="C44">
        <f>SUM(C34:C42)/SUM(B34:B42)</f>
        <v>1.4538370151276416</v>
      </c>
      <c r="D44">
        <f>SUM(D34:D41)/SUM(C34:C41)</f>
        <v>1.0738503700731286</v>
      </c>
      <c r="E44">
        <f>SUM(E34:E40)/SUM(D34:D40)</f>
        <v>1.0364907195313748</v>
      </c>
      <c r="F44">
        <f>SUM(F34:F39)/SUM(E34:E39)</f>
        <v>1.0235139493552665</v>
      </c>
      <c r="G44">
        <f>SUM(G34:G38)/SUM(F34:F38)</f>
        <v>1.0155511477960275</v>
      </c>
      <c r="H44">
        <f>SUM(H34:H37)/SUM(G34:G37)</f>
        <v>1.0093016313257899</v>
      </c>
      <c r="I44">
        <f>SUM(I34:I36)/SUM(H34:H36)</f>
        <v>1.0081374615625842</v>
      </c>
      <c r="J44">
        <f>SUM(J34:J35)/SUM(I34:I35)</f>
        <v>1.0071027793074627</v>
      </c>
      <c r="K44">
        <f>SUM(K34)/SUM(J34)</f>
        <v>1.0095127449174679</v>
      </c>
      <c r="L44" s="18"/>
      <c r="O44" t="s">
        <v>55</v>
      </c>
      <c r="Q44">
        <v>1.4538370151276416</v>
      </c>
      <c r="R44">
        <v>1.0738503700731286</v>
      </c>
      <c r="S44">
        <v>1.0364907195313748</v>
      </c>
      <c r="T44">
        <v>1.0235139493552665</v>
      </c>
      <c r="U44">
        <v>1.0155511477960275</v>
      </c>
      <c r="V44">
        <v>1.0093016313257899</v>
      </c>
      <c r="W44">
        <v>1.0081374615625842</v>
      </c>
      <c r="X44">
        <v>1.0071027793074627</v>
      </c>
      <c r="Y44">
        <v>1.0095127449174679</v>
      </c>
      <c r="Z44" s="18">
        <f>SUM(Z35:Z43)</f>
        <v>8200768.4225236094</v>
      </c>
    </row>
    <row r="45" spans="1:26" x14ac:dyDescent="0.25">
      <c r="A45" t="s">
        <v>56</v>
      </c>
      <c r="B45">
        <f>1/PRODUCT(C44:K44)</f>
        <v>0.57471587394970403</v>
      </c>
      <c r="C45">
        <f>1/PRODUCT(D44:K44)</f>
        <v>0.83554321072951154</v>
      </c>
      <c r="D45">
        <f>1/PRODUCT(E44:K44)</f>
        <v>0.89724838605397639</v>
      </c>
      <c r="E45">
        <f>1/PRODUCT(F44:K44)</f>
        <v>0.92998962525945073</v>
      </c>
      <c r="F45">
        <f>1/PRODUCT(G44:K44)</f>
        <v>0.95185735420872475</v>
      </c>
      <c r="G45">
        <f>1/PRODUCT(H44:K44)</f>
        <v>0.96665982860476007</v>
      </c>
      <c r="H45">
        <f>1/PRODUCT(I44:K44)</f>
        <v>0.97565134194789305</v>
      </c>
      <c r="I45">
        <f>1/PRODUCT(J44:K44)</f>
        <v>0.98359066724147759</v>
      </c>
      <c r="J45">
        <f>1/PRODUCT(K44)</f>
        <v>0.99057689467977383</v>
      </c>
      <c r="K45">
        <v>1</v>
      </c>
      <c r="O45" t="s">
        <v>56</v>
      </c>
      <c r="P45">
        <v>0.57471587394970403</v>
      </c>
      <c r="Q45">
        <v>0.83554321072951154</v>
      </c>
      <c r="R45">
        <v>0.89724838605397639</v>
      </c>
      <c r="S45">
        <v>0.92998962525945073</v>
      </c>
      <c r="T45">
        <v>0.95185735420872475</v>
      </c>
      <c r="U45">
        <v>0.96665982860476007</v>
      </c>
      <c r="V45">
        <v>0.97565134194789305</v>
      </c>
      <c r="W45">
        <v>0.98359066724147759</v>
      </c>
      <c r="X45">
        <v>0.99057689467977383</v>
      </c>
      <c r="Y45">
        <v>1</v>
      </c>
    </row>
    <row r="46" spans="1:26" x14ac:dyDescent="0.25">
      <c r="K46" s="7"/>
    </row>
    <row r="48" spans="1:26" x14ac:dyDescent="0.25">
      <c r="A48" s="3"/>
    </row>
    <row r="51" spans="2:14" x14ac:dyDescent="0.25"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2:14" x14ac:dyDescent="0.25">
      <c r="B52" s="6"/>
      <c r="C52" s="6"/>
      <c r="D52" s="6"/>
      <c r="E52" s="6"/>
      <c r="F52" s="6"/>
      <c r="G52" s="6"/>
      <c r="H52" s="6"/>
      <c r="I52" s="6"/>
      <c r="J52" s="6"/>
      <c r="K52" s="6"/>
    </row>
    <row r="53" spans="2:14" x14ac:dyDescent="0.25">
      <c r="B53" s="6"/>
      <c r="C53" s="6"/>
      <c r="D53" s="6"/>
      <c r="E53" s="6"/>
      <c r="F53" s="6"/>
      <c r="G53" s="6"/>
      <c r="H53" s="6"/>
      <c r="I53" s="6"/>
      <c r="J53" s="6"/>
      <c r="K53" s="6"/>
    </row>
    <row r="54" spans="2:14" x14ac:dyDescent="0.25">
      <c r="B54" s="6"/>
      <c r="C54" s="6"/>
      <c r="D54" s="6"/>
      <c r="E54" s="6"/>
      <c r="F54" s="6"/>
      <c r="G54" s="6"/>
      <c r="H54" s="6"/>
      <c r="I54" s="6"/>
      <c r="J54" s="6"/>
      <c r="K54" s="6"/>
    </row>
    <row r="55" spans="2:14" x14ac:dyDescent="0.25">
      <c r="B55" s="6"/>
      <c r="C55" s="6"/>
      <c r="D55" s="6"/>
      <c r="E55" s="6"/>
      <c r="F55" s="6"/>
      <c r="G55" s="6"/>
      <c r="H55" s="6"/>
      <c r="I55" s="6"/>
      <c r="J55" s="6"/>
      <c r="K55" s="6"/>
    </row>
    <row r="56" spans="2:14" x14ac:dyDescent="0.25">
      <c r="B56" s="6"/>
      <c r="C56" s="6"/>
      <c r="D56" s="6"/>
      <c r="E56" s="6"/>
      <c r="F56" s="6"/>
      <c r="G56" s="6"/>
      <c r="H56" s="6"/>
      <c r="I56" s="6"/>
      <c r="J56" s="6"/>
      <c r="K56" s="6"/>
    </row>
    <row r="57" spans="2:14" x14ac:dyDescent="0.25">
      <c r="B57" s="6"/>
      <c r="C57" s="6"/>
      <c r="D57" s="6"/>
      <c r="E57" s="6"/>
      <c r="F57" s="6"/>
      <c r="G57" s="6"/>
      <c r="H57" s="6"/>
      <c r="I57" s="6"/>
      <c r="J57" s="6"/>
      <c r="K57" s="6"/>
    </row>
    <row r="58" spans="2:14" x14ac:dyDescent="0.25">
      <c r="B58" s="6"/>
      <c r="C58" s="6"/>
      <c r="D58" s="6"/>
      <c r="E58" s="6"/>
      <c r="F58" s="6"/>
      <c r="G58" s="6"/>
      <c r="H58" s="6"/>
      <c r="I58" s="6"/>
      <c r="J58" s="6"/>
      <c r="K58" s="6"/>
    </row>
    <row r="59" spans="2:14" x14ac:dyDescent="0.25">
      <c r="B59" s="6"/>
      <c r="C59" s="6"/>
      <c r="D59" s="6"/>
      <c r="E59" s="6"/>
      <c r="F59" s="6"/>
      <c r="G59" s="6"/>
      <c r="H59" s="6"/>
      <c r="I59" s="6"/>
      <c r="J59" s="6"/>
      <c r="K59" s="6"/>
    </row>
    <row r="60" spans="2:14" x14ac:dyDescent="0.25">
      <c r="B60" s="6"/>
      <c r="C60" s="6"/>
      <c r="D60" s="6"/>
      <c r="E60" s="6"/>
      <c r="F60" s="6"/>
      <c r="G60" s="6"/>
      <c r="H60" s="6"/>
      <c r="I60" s="6"/>
      <c r="J60" s="6"/>
      <c r="K60" s="6"/>
    </row>
    <row r="62" spans="2:14" x14ac:dyDescent="0.25">
      <c r="K62" s="7"/>
    </row>
    <row r="63" spans="2:14" x14ac:dyDescent="0.25">
      <c r="K63" s="7"/>
      <c r="N63" s="8"/>
    </row>
    <row r="64" spans="2:14" x14ac:dyDescent="0.25">
      <c r="B64" s="7"/>
      <c r="K64" s="7"/>
    </row>
    <row r="65" spans="11:23" x14ac:dyDescent="0.25">
      <c r="K65" s="7"/>
    </row>
    <row r="66" spans="11:23" x14ac:dyDescent="0.25">
      <c r="K66" s="7"/>
      <c r="N66" s="7"/>
      <c r="O66" s="6"/>
      <c r="P66" s="6"/>
      <c r="Q66" s="6"/>
      <c r="R66" s="6"/>
      <c r="S66" s="6"/>
      <c r="T66" s="6"/>
      <c r="U66" s="6"/>
      <c r="V66" s="6"/>
      <c r="W66" s="6"/>
    </row>
    <row r="67" spans="11:23" x14ac:dyDescent="0.25">
      <c r="K67" s="7"/>
    </row>
    <row r="68" spans="11:23" x14ac:dyDescent="0.25">
      <c r="K68" s="7"/>
    </row>
    <row r="69" spans="11:23" x14ac:dyDescent="0.25">
      <c r="K69" s="7"/>
    </row>
    <row r="70" spans="11:23" x14ac:dyDescent="0.25">
      <c r="K70" s="7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5B87F-DC1F-4C8A-9457-FE350826FBA2}">
  <sheetPr codeName="Arkusz1"/>
  <dimension ref="A1:AM359"/>
  <sheetViews>
    <sheetView topLeftCell="A338" zoomScale="60" zoomScaleNormal="60" workbookViewId="0">
      <selection activeCell="AA364" sqref="AA364"/>
    </sheetView>
  </sheetViews>
  <sheetFormatPr defaultColWidth="9.85546875" defaultRowHeight="15.75" x14ac:dyDescent="0.25"/>
  <cols>
    <col min="1" max="1" width="13.85546875" style="25" bestFit="1" customWidth="1"/>
    <col min="2" max="2" width="13.28515625" style="25" customWidth="1"/>
    <col min="3" max="3" width="12.28515625" style="25" customWidth="1"/>
    <col min="4" max="6" width="11.7109375" style="25" bestFit="1" customWidth="1"/>
    <col min="7" max="9" width="12.7109375" style="25" bestFit="1" customWidth="1"/>
    <col min="10" max="10" width="12.7109375" style="25" customWidth="1"/>
    <col min="11" max="11" width="12.7109375" style="25" bestFit="1" customWidth="1"/>
    <col min="12" max="12" width="24.42578125" style="25" bestFit="1" customWidth="1"/>
    <col min="13" max="13" width="10.42578125" style="25" customWidth="1"/>
    <col min="14" max="14" width="19.85546875" style="25" customWidth="1"/>
    <col min="15" max="15" width="10.140625" style="25" bestFit="1" customWidth="1"/>
    <col min="16" max="17" width="10.7109375" style="25" bestFit="1" customWidth="1"/>
    <col min="18" max="19" width="9.42578125" style="25" bestFit="1" customWidth="1"/>
    <col min="20" max="26" width="11.140625" style="25" bestFit="1" customWidth="1"/>
    <col min="27" max="27" width="12.28515625" style="25" bestFit="1" customWidth="1"/>
    <col min="28" max="29" width="9.85546875" style="25"/>
    <col min="30" max="31" width="9.7109375" style="25" bestFit="1" customWidth="1"/>
    <col min="32" max="33" width="11.140625" style="25" bestFit="1" customWidth="1"/>
    <col min="34" max="38" width="11.7109375" style="25" bestFit="1" customWidth="1"/>
    <col min="39" max="39" width="12.7109375" style="25" bestFit="1" customWidth="1"/>
    <col min="40" max="16384" width="9.85546875" style="25"/>
  </cols>
  <sheetData>
    <row r="1" spans="1:18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25">
      <c r="A3" s="24"/>
      <c r="B3" s="24"/>
      <c r="C3" s="24"/>
      <c r="D3" s="26" t="s">
        <v>57</v>
      </c>
      <c r="E3" s="27">
        <v>1</v>
      </c>
      <c r="F3" s="28" t="s">
        <v>58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25">
      <c r="A4" s="24"/>
      <c r="B4" s="24"/>
      <c r="C4" s="24"/>
      <c r="D4" s="26" t="s">
        <v>59</v>
      </c>
      <c r="E4" s="27" t="b">
        <v>1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25">
      <c r="A5" s="24"/>
      <c r="B5" s="24"/>
      <c r="C5" s="24"/>
      <c r="D5" s="26" t="s">
        <v>60</v>
      </c>
      <c r="E5" s="27" t="b">
        <v>1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25">
      <c r="A6" s="24"/>
      <c r="B6" s="24"/>
      <c r="C6" s="24"/>
      <c r="D6" s="26" t="s">
        <v>61</v>
      </c>
      <c r="E6" s="27">
        <f>COUNTA(C31:L40)</f>
        <v>55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25">
      <c r="A7" s="24"/>
      <c r="B7" s="24"/>
      <c r="C7" s="29"/>
      <c r="D7" s="26" t="s">
        <v>62</v>
      </c>
      <c r="E7" s="27">
        <f>2*COUNTA(C31:C40)-1</f>
        <v>19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25">
      <c r="A8" s="24"/>
      <c r="B8" s="24"/>
      <c r="C8" s="29"/>
      <c r="D8" s="26" t="s">
        <v>63</v>
      </c>
      <c r="E8" s="30">
        <f>E6-E7</f>
        <v>36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24"/>
      <c r="B9" s="24"/>
      <c r="C9" s="24"/>
      <c r="D9" s="31" t="s">
        <v>64</v>
      </c>
      <c r="E9" s="32">
        <f>E124/$E$8</f>
        <v>32030.411311834894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x14ac:dyDescent="0.25">
      <c r="A10" s="24"/>
      <c r="B10" s="24"/>
      <c r="C10" s="33"/>
      <c r="D10" s="33"/>
      <c r="E10" s="33"/>
      <c r="F10" s="33"/>
      <c r="G10" s="33"/>
      <c r="H10" s="33"/>
      <c r="I10" s="33"/>
      <c r="J10" s="33"/>
      <c r="K10" s="24"/>
      <c r="L10" s="24"/>
      <c r="M10" s="24"/>
      <c r="N10" s="24"/>
      <c r="O10" s="24"/>
      <c r="P10" s="24"/>
      <c r="Q10" s="24"/>
      <c r="R10" s="24"/>
    </row>
    <row r="11" spans="1:18" ht="18" x14ac:dyDescent="0.25">
      <c r="A11" s="24"/>
      <c r="B11" s="24"/>
      <c r="C11" s="34" t="s">
        <v>65</v>
      </c>
      <c r="D11" s="35"/>
      <c r="E11" s="35"/>
      <c r="F11" s="35"/>
      <c r="G11" s="35"/>
      <c r="H11" s="35"/>
      <c r="I11" s="35"/>
      <c r="J11" s="35"/>
      <c r="K11" s="36"/>
      <c r="L11" s="24"/>
      <c r="M11" s="24"/>
      <c r="N11" s="24"/>
      <c r="O11" s="24"/>
      <c r="P11" s="24"/>
      <c r="Q11" s="24"/>
      <c r="R11" s="24"/>
    </row>
    <row r="12" spans="1:18" x14ac:dyDescent="0.25">
      <c r="A12" s="24"/>
      <c r="B12" s="24"/>
      <c r="C12" s="35"/>
      <c r="D12" s="35"/>
      <c r="E12" s="35"/>
      <c r="F12" s="35"/>
      <c r="G12" s="35"/>
      <c r="H12" s="35"/>
      <c r="I12" s="35"/>
      <c r="J12" s="35"/>
      <c r="K12" s="35"/>
      <c r="L12" s="24"/>
      <c r="M12" s="24"/>
      <c r="N12" s="24"/>
      <c r="O12" s="24"/>
      <c r="P12" s="24"/>
      <c r="Q12" s="24"/>
      <c r="R12" s="24"/>
    </row>
    <row r="13" spans="1:18" x14ac:dyDescent="0.25">
      <c r="A13" s="24"/>
      <c r="B13" s="24"/>
      <c r="C13" s="37">
        <v>1088980.6210946122</v>
      </c>
      <c r="D13" s="37">
        <v>2131667.1827891804</v>
      </c>
      <c r="E13" s="37">
        <v>2574995.4197594547</v>
      </c>
      <c r="F13" s="37">
        <v>2879586.2460659551</v>
      </c>
      <c r="G13" s="37">
        <v>3145556.0155862393</v>
      </c>
      <c r="H13" s="37">
        <v>3510642.3092168202</v>
      </c>
      <c r="I13" s="37">
        <v>3735083.5657222392</v>
      </c>
      <c r="J13" s="37">
        <v>3851623.8752911706</v>
      </c>
      <c r="K13" s="37">
        <v>3919451.366290886</v>
      </c>
      <c r="L13" s="37">
        <v>4047893.3726979974</v>
      </c>
      <c r="M13" s="24"/>
      <c r="N13" s="24"/>
      <c r="O13" s="24"/>
      <c r="P13" s="24"/>
      <c r="Q13" s="24"/>
      <c r="R13" s="24"/>
    </row>
    <row r="14" spans="1:18" x14ac:dyDescent="0.25">
      <c r="A14" s="24"/>
      <c r="B14" s="24"/>
      <c r="C14" s="37">
        <v>1306152.7922672718</v>
      </c>
      <c r="D14" s="37">
        <v>2423098.0772959162</v>
      </c>
      <c r="E14" s="37">
        <v>3075018.113358567</v>
      </c>
      <c r="F14" s="37">
        <v>3476624.6799267773</v>
      </c>
      <c r="G14" s="37">
        <v>3794890.9619714259</v>
      </c>
      <c r="H14" s="37">
        <v>4284126.0679999879</v>
      </c>
      <c r="I14" s="37">
        <v>4512725.01252825</v>
      </c>
      <c r="J14" s="37">
        <v>4876312.2751422348</v>
      </c>
      <c r="K14" s="37">
        <v>5197779.4737660503</v>
      </c>
      <c r="L14" s="24"/>
      <c r="M14" s="24"/>
      <c r="N14" s="24"/>
      <c r="O14" s="24"/>
      <c r="P14" s="24"/>
      <c r="Q14" s="24"/>
      <c r="R14" s="24"/>
    </row>
    <row r="15" spans="1:18" x14ac:dyDescent="0.25">
      <c r="A15" s="24"/>
      <c r="B15" s="24"/>
      <c r="C15" s="37">
        <v>1249812.5880425794</v>
      </c>
      <c r="D15" s="37">
        <v>2496387.4909922341</v>
      </c>
      <c r="E15" s="37">
        <v>3107175.4555642856</v>
      </c>
      <c r="F15" s="37">
        <v>3687301.6275404561</v>
      </c>
      <c r="G15" s="37">
        <v>4140844.1681218585</v>
      </c>
      <c r="H15" s="37">
        <v>4360722.1576600038</v>
      </c>
      <c r="I15" s="37">
        <v>4533709.2103520939</v>
      </c>
      <c r="J15" s="37">
        <v>4808102.5173431104</v>
      </c>
      <c r="K15" s="35"/>
      <c r="L15" s="24"/>
      <c r="M15" s="24"/>
      <c r="N15" s="24"/>
      <c r="O15" s="24"/>
      <c r="P15" s="24"/>
      <c r="Q15" s="24"/>
      <c r="R15" s="24"/>
    </row>
    <row r="16" spans="1:18" x14ac:dyDescent="0.25">
      <c r="A16" s="24"/>
      <c r="B16" s="24"/>
      <c r="C16" s="37">
        <v>1189810.0064459562</v>
      </c>
      <c r="D16" s="37">
        <v>2530869.5952481655</v>
      </c>
      <c r="E16" s="37">
        <v>3096984.4536133888</v>
      </c>
      <c r="F16" s="37">
        <v>3877846.3341324432</v>
      </c>
      <c r="G16" s="37">
        <v>4804008.5771144684</v>
      </c>
      <c r="H16" s="37">
        <v>5254496.0051183002</v>
      </c>
      <c r="I16" s="37">
        <v>5569311.1871171584</v>
      </c>
      <c r="J16" s="35"/>
      <c r="K16" s="35"/>
      <c r="L16" s="24"/>
      <c r="M16" s="24"/>
      <c r="N16" s="24"/>
      <c r="O16" s="24"/>
      <c r="P16" s="24"/>
      <c r="Q16" s="24"/>
      <c r="R16" s="24"/>
    </row>
    <row r="17" spans="1:18" x14ac:dyDescent="0.25">
      <c r="A17" s="24"/>
      <c r="B17" s="24"/>
      <c r="C17" s="37">
        <v>1306513.6047854258</v>
      </c>
      <c r="D17" s="37">
        <v>2773697.3594055078</v>
      </c>
      <c r="E17" s="37">
        <v>3527548.34662739</v>
      </c>
      <c r="F17" s="37">
        <v>4125343.1103807935</v>
      </c>
      <c r="G17" s="37">
        <v>4521858.2407059222</v>
      </c>
      <c r="H17" s="37">
        <v>4942201.9018943151</v>
      </c>
      <c r="I17" s="35"/>
      <c r="J17" s="35"/>
      <c r="K17" s="35"/>
      <c r="L17" s="24"/>
      <c r="M17" s="29"/>
      <c r="N17" s="24"/>
      <c r="O17" s="24"/>
      <c r="P17" s="24"/>
      <c r="Q17" s="24"/>
      <c r="R17" s="24"/>
    </row>
    <row r="18" spans="1:18" x14ac:dyDescent="0.25">
      <c r="A18" s="24"/>
      <c r="B18" s="24"/>
      <c r="C18" s="37">
        <v>1300441.1763369546</v>
      </c>
      <c r="D18" s="37">
        <v>2920987.7803644901</v>
      </c>
      <c r="E18" s="37">
        <v>3700349.6056891792</v>
      </c>
      <c r="F18" s="37">
        <v>4442914.2707381379</v>
      </c>
      <c r="G18" s="37">
        <v>4813322.7351754596</v>
      </c>
      <c r="H18" s="35"/>
      <c r="I18" s="35"/>
      <c r="J18" s="35"/>
      <c r="K18" s="35"/>
      <c r="L18" s="24"/>
      <c r="M18" s="29"/>
      <c r="N18" s="24"/>
      <c r="O18" s="24"/>
      <c r="P18" s="24"/>
      <c r="Q18" s="24"/>
      <c r="R18" s="24"/>
    </row>
    <row r="19" spans="1:18" x14ac:dyDescent="0.25">
      <c r="A19" s="24"/>
      <c r="B19" s="24"/>
      <c r="C19" s="37">
        <v>1397368.0926729222</v>
      </c>
      <c r="D19" s="37">
        <v>3243490.0729121687</v>
      </c>
      <c r="E19" s="37">
        <v>3964518.8150557899</v>
      </c>
      <c r="F19" s="37">
        <v>4661705.3347352361</v>
      </c>
      <c r="G19" s="35"/>
      <c r="H19" s="35"/>
      <c r="I19" s="35"/>
      <c r="J19" s="35"/>
      <c r="K19" s="35"/>
      <c r="L19" s="24"/>
      <c r="M19" s="29"/>
      <c r="N19" s="24"/>
      <c r="O19" s="24"/>
      <c r="P19" s="24"/>
      <c r="Q19" s="24"/>
      <c r="R19" s="24"/>
    </row>
    <row r="20" spans="1:18" x14ac:dyDescent="0.25">
      <c r="A20" s="24"/>
      <c r="B20" s="24"/>
      <c r="C20" s="37">
        <v>1570945.7683077177</v>
      </c>
      <c r="D20" s="37">
        <v>3239675.6456166534</v>
      </c>
      <c r="E20" s="37">
        <v>4285166.062277033</v>
      </c>
      <c r="F20" s="35"/>
      <c r="G20" s="35"/>
      <c r="H20" s="35"/>
      <c r="I20" s="35"/>
      <c r="J20" s="35"/>
      <c r="K20" s="35"/>
      <c r="L20" s="24"/>
      <c r="M20" s="29"/>
      <c r="N20" s="24"/>
      <c r="O20" s="24"/>
      <c r="P20" s="24"/>
      <c r="Q20" s="24"/>
      <c r="R20" s="24"/>
    </row>
    <row r="21" spans="1:18" x14ac:dyDescent="0.25">
      <c r="A21" s="24"/>
      <c r="B21" s="24"/>
      <c r="C21" s="37">
        <v>1381532.6675622216</v>
      </c>
      <c r="D21" s="37">
        <v>3031367.3134870529</v>
      </c>
      <c r="E21" s="37"/>
      <c r="F21" s="35"/>
      <c r="G21" s="35"/>
      <c r="H21" s="35"/>
      <c r="I21" s="35"/>
      <c r="J21" s="35"/>
      <c r="K21" s="35"/>
      <c r="L21" s="24"/>
      <c r="M21" s="29"/>
      <c r="N21" s="24"/>
      <c r="O21" s="24"/>
      <c r="P21" s="24"/>
      <c r="Q21" s="24"/>
      <c r="R21" s="24"/>
    </row>
    <row r="22" spans="1:18" x14ac:dyDescent="0.25">
      <c r="A22" s="24"/>
      <c r="B22" s="24"/>
      <c r="C22" s="37">
        <v>1346802.3542128429</v>
      </c>
      <c r="D22" s="33"/>
      <c r="E22" s="33"/>
      <c r="F22" s="33"/>
      <c r="G22" s="33"/>
      <c r="H22" s="33"/>
      <c r="I22" s="33"/>
      <c r="J22" s="33"/>
      <c r="K22" s="33"/>
      <c r="L22" s="24"/>
      <c r="M22" s="29"/>
      <c r="N22" s="24"/>
      <c r="O22" s="24"/>
      <c r="P22" s="24"/>
      <c r="Q22" s="24"/>
      <c r="R22" s="24"/>
    </row>
    <row r="23" spans="1:18" x14ac:dyDescent="0.25">
      <c r="A23" s="24"/>
      <c r="B23" s="24"/>
      <c r="C23" s="38"/>
      <c r="D23" s="24"/>
      <c r="E23" s="24"/>
      <c r="F23" s="24"/>
      <c r="G23" s="24"/>
      <c r="H23" s="24"/>
      <c r="I23" s="24"/>
      <c r="J23" s="24"/>
      <c r="K23" s="24"/>
      <c r="L23" s="24"/>
      <c r="M23" s="29"/>
      <c r="N23" s="24"/>
      <c r="O23" s="24"/>
      <c r="P23" s="24"/>
      <c r="Q23" s="24"/>
      <c r="R23" s="24"/>
    </row>
    <row r="24" spans="1:18" x14ac:dyDescent="0.25">
      <c r="A24" s="24"/>
      <c r="B24" s="24"/>
      <c r="C24" s="38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25">
      <c r="A25" s="24"/>
      <c r="B25" s="24"/>
      <c r="C25" s="38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1:18" ht="18" x14ac:dyDescent="0.25">
      <c r="A27" s="24"/>
      <c r="B27" s="24"/>
      <c r="C27" s="39" t="s">
        <v>66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  <row r="28" spans="1:18" ht="18" x14ac:dyDescent="0.25">
      <c r="A28" s="24"/>
      <c r="B28" s="24"/>
      <c r="C28" s="39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</row>
    <row r="29" spans="1:18" x14ac:dyDescent="0.25">
      <c r="A29" s="24"/>
      <c r="B29" s="24"/>
      <c r="C29" s="28" t="s">
        <v>67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</row>
    <row r="30" spans="1:18" x14ac:dyDescent="0.25">
      <c r="A30" s="24"/>
      <c r="B30" s="24"/>
      <c r="C30" s="28">
        <v>0</v>
      </c>
      <c r="D30" s="28">
        <v>1</v>
      </c>
      <c r="E30" s="28">
        <v>2</v>
      </c>
      <c r="F30" s="28">
        <v>3</v>
      </c>
      <c r="G30" s="28">
        <v>4</v>
      </c>
      <c r="H30" s="28">
        <v>5</v>
      </c>
      <c r="I30" s="28">
        <v>6</v>
      </c>
      <c r="J30" s="28">
        <v>7</v>
      </c>
      <c r="K30" s="28">
        <v>8</v>
      </c>
      <c r="L30" s="28">
        <v>9</v>
      </c>
      <c r="M30" s="24"/>
      <c r="N30" s="24"/>
      <c r="O30" s="24"/>
      <c r="P30" s="24"/>
      <c r="Q30" s="24"/>
      <c r="R30" s="24"/>
    </row>
    <row r="31" spans="1:18" x14ac:dyDescent="0.25">
      <c r="A31" s="28" t="s">
        <v>68</v>
      </c>
      <c r="B31" s="28">
        <v>0</v>
      </c>
      <c r="C31" s="40">
        <f>C13</f>
        <v>1088980.6210946122</v>
      </c>
      <c r="D31" s="40">
        <f t="shared" ref="D31:K38" si="0">D13-C13</f>
        <v>1042686.5616945683</v>
      </c>
      <c r="E31" s="40">
        <f t="shared" si="0"/>
        <v>443328.23697027424</v>
      </c>
      <c r="F31" s="40">
        <f t="shared" si="0"/>
        <v>304590.82630650047</v>
      </c>
      <c r="G31" s="40">
        <f t="shared" si="0"/>
        <v>265969.76952028414</v>
      </c>
      <c r="H31" s="40">
        <f t="shared" si="0"/>
        <v>365086.29363058088</v>
      </c>
      <c r="I31" s="40">
        <f t="shared" si="0"/>
        <v>224441.25650541903</v>
      </c>
      <c r="J31" s="40">
        <f t="shared" si="0"/>
        <v>116540.30956893135</v>
      </c>
      <c r="K31" s="40">
        <f t="shared" si="0"/>
        <v>67827.490999715403</v>
      </c>
      <c r="L31" s="40">
        <f>L13-K13</f>
        <v>128442.00640711142</v>
      </c>
      <c r="M31" s="24"/>
      <c r="N31" s="24"/>
      <c r="O31" s="24"/>
      <c r="P31" s="24"/>
      <c r="Q31" s="24"/>
      <c r="R31" s="24"/>
    </row>
    <row r="32" spans="1:18" x14ac:dyDescent="0.25">
      <c r="A32" s="24"/>
      <c r="B32" s="28">
        <v>1</v>
      </c>
      <c r="C32" s="40">
        <f t="shared" ref="C32:C39" si="1">C14</f>
        <v>1306152.7922672718</v>
      </c>
      <c r="D32" s="40">
        <f t="shared" si="0"/>
        <v>1116945.2850286444</v>
      </c>
      <c r="E32" s="40">
        <f t="shared" si="0"/>
        <v>651920.03606265085</v>
      </c>
      <c r="F32" s="40">
        <f t="shared" si="0"/>
        <v>401606.56656821026</v>
      </c>
      <c r="G32" s="40">
        <f t="shared" si="0"/>
        <v>318266.28204464866</v>
      </c>
      <c r="H32" s="40">
        <f t="shared" si="0"/>
        <v>489235.10602856195</v>
      </c>
      <c r="I32" s="40">
        <f t="shared" si="0"/>
        <v>228598.94452826213</v>
      </c>
      <c r="J32" s="40">
        <f t="shared" si="0"/>
        <v>363587.26261398476</v>
      </c>
      <c r="K32" s="40">
        <f>K14-J14</f>
        <v>321467.19862381555</v>
      </c>
      <c r="L32" s="24"/>
      <c r="M32" s="24"/>
      <c r="N32" s="24"/>
      <c r="O32" s="24"/>
      <c r="P32" s="24"/>
      <c r="Q32" s="24"/>
      <c r="R32" s="24"/>
    </row>
    <row r="33" spans="1:18" x14ac:dyDescent="0.25">
      <c r="A33" s="24"/>
      <c r="B33" s="28">
        <v>2</v>
      </c>
      <c r="C33" s="40">
        <f t="shared" si="1"/>
        <v>1249812.5880425794</v>
      </c>
      <c r="D33" s="40">
        <f t="shared" si="0"/>
        <v>1246574.9029496547</v>
      </c>
      <c r="E33" s="40">
        <f t="shared" si="0"/>
        <v>610787.96457205154</v>
      </c>
      <c r="F33" s="40">
        <f t="shared" si="0"/>
        <v>580126.1719761705</v>
      </c>
      <c r="G33" s="40">
        <f t="shared" si="0"/>
        <v>453542.54058140237</v>
      </c>
      <c r="H33" s="40">
        <f t="shared" si="0"/>
        <v>219877.98953814525</v>
      </c>
      <c r="I33" s="40">
        <f t="shared" si="0"/>
        <v>172987.05269209016</v>
      </c>
      <c r="J33" s="40">
        <f t="shared" si="0"/>
        <v>274393.30699101649</v>
      </c>
      <c r="K33" s="41"/>
      <c r="L33" s="24"/>
      <c r="M33" s="24"/>
      <c r="N33" s="24"/>
      <c r="O33" s="24"/>
      <c r="P33" s="24"/>
      <c r="Q33" s="24"/>
      <c r="R33" s="24"/>
    </row>
    <row r="34" spans="1:18" x14ac:dyDescent="0.25">
      <c r="A34" s="24"/>
      <c r="B34" s="28">
        <v>3</v>
      </c>
      <c r="C34" s="40">
        <f t="shared" si="1"/>
        <v>1189810.0064459562</v>
      </c>
      <c r="D34" s="40">
        <f t="shared" si="0"/>
        <v>1341059.5888022094</v>
      </c>
      <c r="E34" s="40">
        <f>E16-D16</f>
        <v>566114.85836522328</v>
      </c>
      <c r="F34" s="40">
        <f>F16-E16</f>
        <v>780861.88051905436</v>
      </c>
      <c r="G34" s="40">
        <f>G16-F16</f>
        <v>926162.24298202526</v>
      </c>
      <c r="H34" s="40">
        <f>H16-G16</f>
        <v>450487.42800383177</v>
      </c>
      <c r="I34" s="40">
        <f>I16-H16</f>
        <v>314815.18199885823</v>
      </c>
      <c r="J34" s="41"/>
      <c r="K34" s="41"/>
      <c r="L34" s="24"/>
      <c r="M34" s="24"/>
      <c r="N34" s="24"/>
      <c r="O34" s="24"/>
      <c r="P34" s="24"/>
      <c r="Q34" s="24"/>
      <c r="R34" s="24"/>
    </row>
    <row r="35" spans="1:18" x14ac:dyDescent="0.25">
      <c r="A35" s="24"/>
      <c r="B35" s="28">
        <v>4</v>
      </c>
      <c r="C35" s="40">
        <f t="shared" si="1"/>
        <v>1306513.6047854258</v>
      </c>
      <c r="D35" s="40">
        <f t="shared" si="0"/>
        <v>1467183.754620082</v>
      </c>
      <c r="E35" s="40">
        <f>E17-D17</f>
        <v>753850.98722188221</v>
      </c>
      <c r="F35" s="40">
        <f>F17-E17</f>
        <v>597794.76375340344</v>
      </c>
      <c r="G35" s="40">
        <f>G17-F17</f>
        <v>396515.13032512879</v>
      </c>
      <c r="H35" s="40">
        <f>H17-G17</f>
        <v>420343.6611883929</v>
      </c>
      <c r="I35" s="41"/>
      <c r="J35" s="41"/>
      <c r="K35" s="41"/>
      <c r="L35" s="24"/>
      <c r="M35" s="24"/>
      <c r="N35" s="24"/>
      <c r="O35" s="24"/>
      <c r="P35" s="24"/>
      <c r="Q35" s="24"/>
      <c r="R35" s="24"/>
    </row>
    <row r="36" spans="1:18" x14ac:dyDescent="0.25">
      <c r="A36" s="24"/>
      <c r="B36" s="28">
        <v>5</v>
      </c>
      <c r="C36" s="40">
        <f t="shared" si="1"/>
        <v>1300441.1763369546</v>
      </c>
      <c r="D36" s="40">
        <f t="shared" si="0"/>
        <v>1620546.6040275355</v>
      </c>
      <c r="E36" s="40">
        <f>E18-D18</f>
        <v>779361.82532468904</v>
      </c>
      <c r="F36" s="40">
        <f>F18-E18</f>
        <v>742564.66504895873</v>
      </c>
      <c r="G36" s="40">
        <f>G18-F18</f>
        <v>370408.46443732176</v>
      </c>
      <c r="H36" s="41"/>
      <c r="I36" s="41"/>
      <c r="J36" s="41"/>
      <c r="K36" s="41"/>
      <c r="L36" s="24"/>
      <c r="M36" s="24"/>
      <c r="N36" s="24"/>
      <c r="O36" s="24"/>
      <c r="P36" s="24"/>
      <c r="Q36" s="24"/>
      <c r="R36" s="24"/>
    </row>
    <row r="37" spans="1:18" x14ac:dyDescent="0.25">
      <c r="A37" s="24"/>
      <c r="B37" s="28">
        <v>6</v>
      </c>
      <c r="C37" s="40">
        <f t="shared" si="1"/>
        <v>1397368.0926729222</v>
      </c>
      <c r="D37" s="40">
        <f t="shared" si="0"/>
        <v>1846121.9802392465</v>
      </c>
      <c r="E37" s="40">
        <f>E19-D19</f>
        <v>721028.7421436212</v>
      </c>
      <c r="F37" s="40">
        <f>F19-E19</f>
        <v>697186.51967944624</v>
      </c>
      <c r="G37" s="41"/>
      <c r="H37" s="41"/>
      <c r="I37" s="41"/>
      <c r="J37" s="41"/>
      <c r="K37" s="41"/>
      <c r="L37" s="24"/>
      <c r="M37" s="24"/>
      <c r="N37" s="24"/>
      <c r="O37" s="24"/>
      <c r="P37" s="24"/>
      <c r="Q37" s="24"/>
      <c r="R37" s="24"/>
    </row>
    <row r="38" spans="1:18" x14ac:dyDescent="0.25">
      <c r="A38" s="24"/>
      <c r="B38" s="28">
        <v>7</v>
      </c>
      <c r="C38" s="40">
        <f t="shared" si="1"/>
        <v>1570945.7683077177</v>
      </c>
      <c r="D38" s="40">
        <f t="shared" si="0"/>
        <v>1668729.8773089356</v>
      </c>
      <c r="E38" s="40">
        <f>E20-D20</f>
        <v>1045490.4166603796</v>
      </c>
      <c r="F38" s="41"/>
      <c r="G38" s="41"/>
      <c r="H38" s="41"/>
      <c r="I38" s="41"/>
      <c r="J38" s="41"/>
      <c r="K38" s="41"/>
      <c r="L38" s="24"/>
      <c r="M38" s="24"/>
      <c r="N38" s="24"/>
      <c r="O38" s="24"/>
      <c r="P38" s="24"/>
      <c r="Q38" s="24"/>
      <c r="R38" s="24"/>
    </row>
    <row r="39" spans="1:18" x14ac:dyDescent="0.25">
      <c r="A39" s="24"/>
      <c r="B39" s="28">
        <v>8</v>
      </c>
      <c r="C39" s="40">
        <f t="shared" si="1"/>
        <v>1381532.6675622216</v>
      </c>
      <c r="D39" s="40">
        <f>D21-C21</f>
        <v>1649834.6459248313</v>
      </c>
      <c r="E39" s="41"/>
      <c r="F39" s="41"/>
      <c r="G39" s="41"/>
      <c r="H39" s="41"/>
      <c r="I39" s="41"/>
      <c r="J39" s="41"/>
      <c r="K39" s="41"/>
      <c r="L39" s="24"/>
      <c r="M39" s="24"/>
      <c r="N39" s="24"/>
      <c r="O39" s="24"/>
      <c r="P39" s="24"/>
      <c r="Q39" s="24"/>
      <c r="R39" s="24"/>
    </row>
    <row r="40" spans="1:18" x14ac:dyDescent="0.25">
      <c r="A40" s="24"/>
      <c r="B40" s="28">
        <v>9</v>
      </c>
      <c r="C40" s="40">
        <f>C22</f>
        <v>1346802.3542128429</v>
      </c>
      <c r="D40" s="41"/>
      <c r="E40" s="41"/>
      <c r="F40" s="41"/>
      <c r="G40" s="41"/>
      <c r="H40" s="41"/>
      <c r="I40" s="41"/>
      <c r="J40" s="41"/>
      <c r="K40" s="41"/>
      <c r="L40" s="24"/>
      <c r="M40" s="24"/>
      <c r="N40" s="24"/>
      <c r="O40" s="24"/>
      <c r="P40" s="24"/>
      <c r="Q40" s="24"/>
      <c r="R40" s="24"/>
    </row>
    <row r="41" spans="1:18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1:18" x14ac:dyDescent="0.25">
      <c r="A42" s="24"/>
      <c r="B42" s="24"/>
      <c r="C42" s="42" t="s">
        <v>69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1:18" x14ac:dyDescent="0.25">
      <c r="A43" s="24"/>
      <c r="B43" s="24"/>
      <c r="C43" s="28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1:18" x14ac:dyDescent="0.25">
      <c r="A44" s="24"/>
      <c r="B44" s="24"/>
      <c r="C44" s="28">
        <v>0</v>
      </c>
      <c r="D44" s="28">
        <v>1</v>
      </c>
      <c r="E44" s="28">
        <v>2</v>
      </c>
      <c r="F44" s="28">
        <v>3</v>
      </c>
      <c r="G44" s="28">
        <v>4</v>
      </c>
      <c r="H44" s="28">
        <v>5</v>
      </c>
      <c r="I44" s="28">
        <v>6</v>
      </c>
      <c r="J44" s="28">
        <v>7</v>
      </c>
      <c r="K44" s="28">
        <v>8</v>
      </c>
      <c r="L44" s="28">
        <v>9</v>
      </c>
      <c r="M44" s="24"/>
      <c r="N44" s="24"/>
      <c r="O44" s="24"/>
      <c r="P44" s="24"/>
      <c r="Q44" s="24"/>
      <c r="R44" s="24"/>
    </row>
    <row r="45" spans="1:18" x14ac:dyDescent="0.25">
      <c r="A45" s="24"/>
      <c r="B45" s="28">
        <v>0</v>
      </c>
      <c r="C45" s="40">
        <f t="shared" ref="C45:C53" si="2">C31</f>
        <v>1088980.6210946122</v>
      </c>
      <c r="D45" s="40">
        <f t="shared" ref="D45:K48" si="3">C45+D31</f>
        <v>2131667.1827891804</v>
      </c>
      <c r="E45" s="40">
        <f t="shared" si="3"/>
        <v>2574995.4197594547</v>
      </c>
      <c r="F45" s="40">
        <f t="shared" si="3"/>
        <v>2879586.2460659551</v>
      </c>
      <c r="G45" s="40">
        <f t="shared" si="3"/>
        <v>3145556.0155862393</v>
      </c>
      <c r="H45" s="40">
        <f t="shared" si="3"/>
        <v>3510642.3092168202</v>
      </c>
      <c r="I45" s="40">
        <f t="shared" si="3"/>
        <v>3735083.5657222392</v>
      </c>
      <c r="J45" s="40">
        <f t="shared" si="3"/>
        <v>3851623.8752911706</v>
      </c>
      <c r="K45" s="40">
        <f t="shared" si="3"/>
        <v>3919451.366290886</v>
      </c>
      <c r="L45" s="40">
        <f>K45+L31</f>
        <v>4047893.3726979974</v>
      </c>
      <c r="M45" s="24"/>
      <c r="N45" s="24"/>
      <c r="O45" s="24"/>
      <c r="P45" s="24"/>
      <c r="Q45" s="24"/>
      <c r="R45" s="24"/>
    </row>
    <row r="46" spans="1:18" x14ac:dyDescent="0.25">
      <c r="A46" s="24"/>
      <c r="B46" s="28">
        <v>1</v>
      </c>
      <c r="C46" s="40">
        <f t="shared" si="2"/>
        <v>1306152.7922672718</v>
      </c>
      <c r="D46" s="40">
        <f t="shared" si="3"/>
        <v>2423098.0772959162</v>
      </c>
      <c r="E46" s="40">
        <f t="shared" si="3"/>
        <v>3075018.113358567</v>
      </c>
      <c r="F46" s="40">
        <f t="shared" si="3"/>
        <v>3476624.6799267773</v>
      </c>
      <c r="G46" s="40">
        <f t="shared" si="3"/>
        <v>3794890.9619714259</v>
      </c>
      <c r="H46" s="40">
        <f t="shared" si="3"/>
        <v>4284126.0679999879</v>
      </c>
      <c r="I46" s="40">
        <f t="shared" si="3"/>
        <v>4512725.01252825</v>
      </c>
      <c r="J46" s="40">
        <f t="shared" si="3"/>
        <v>4876312.2751422348</v>
      </c>
      <c r="K46" s="40">
        <f>J46+K32</f>
        <v>5197779.4737660503</v>
      </c>
      <c r="L46" s="24"/>
      <c r="M46" s="24"/>
      <c r="N46" s="24"/>
      <c r="O46" s="24"/>
      <c r="P46" s="24"/>
      <c r="Q46" s="24"/>
      <c r="R46" s="24"/>
    </row>
    <row r="47" spans="1:18" x14ac:dyDescent="0.25">
      <c r="A47" s="24"/>
      <c r="B47" s="28">
        <v>2</v>
      </c>
      <c r="C47" s="40">
        <f t="shared" si="2"/>
        <v>1249812.5880425794</v>
      </c>
      <c r="D47" s="40">
        <f t="shared" si="3"/>
        <v>2496387.4909922341</v>
      </c>
      <c r="E47" s="40">
        <f t="shared" si="3"/>
        <v>3107175.4555642856</v>
      </c>
      <c r="F47" s="40">
        <f t="shared" si="3"/>
        <v>3687301.6275404561</v>
      </c>
      <c r="G47" s="40">
        <f t="shared" si="3"/>
        <v>4140844.1681218585</v>
      </c>
      <c r="H47" s="40">
        <f t="shared" si="3"/>
        <v>4360722.1576600038</v>
      </c>
      <c r="I47" s="40">
        <f t="shared" si="3"/>
        <v>4533709.2103520939</v>
      </c>
      <c r="J47" s="40">
        <f>I47+J33</f>
        <v>4808102.5173431104</v>
      </c>
      <c r="K47" s="41"/>
      <c r="L47" s="24"/>
      <c r="M47" s="24"/>
      <c r="N47" s="24"/>
      <c r="O47" s="24"/>
      <c r="P47" s="24"/>
      <c r="Q47" s="24"/>
      <c r="R47" s="24"/>
    </row>
    <row r="48" spans="1:18" x14ac:dyDescent="0.25">
      <c r="A48" s="24"/>
      <c r="B48" s="28">
        <v>3</v>
      </c>
      <c r="C48" s="40">
        <f t="shared" si="2"/>
        <v>1189810.0064459562</v>
      </c>
      <c r="D48" s="40">
        <f t="shared" si="3"/>
        <v>2530869.5952481655</v>
      </c>
      <c r="E48" s="40">
        <f t="shared" si="3"/>
        <v>3096984.4536133888</v>
      </c>
      <c r="F48" s="40">
        <f t="shared" si="3"/>
        <v>3877846.3341324432</v>
      </c>
      <c r="G48" s="40">
        <f t="shared" si="3"/>
        <v>4804008.5771144684</v>
      </c>
      <c r="H48" s="40">
        <f t="shared" si="3"/>
        <v>5254496.0051183002</v>
      </c>
      <c r="I48" s="40">
        <f t="shared" si="3"/>
        <v>5569311.1871171584</v>
      </c>
      <c r="J48" s="41"/>
      <c r="K48" s="41"/>
      <c r="L48" s="24"/>
      <c r="M48" s="24"/>
      <c r="N48" s="24"/>
      <c r="O48" s="24"/>
      <c r="P48" s="24"/>
      <c r="Q48" s="24"/>
      <c r="R48" s="24"/>
    </row>
    <row r="49" spans="1:18" x14ac:dyDescent="0.25">
      <c r="A49" s="24"/>
      <c r="B49" s="28">
        <v>4</v>
      </c>
      <c r="C49" s="40">
        <f t="shared" si="2"/>
        <v>1306513.6047854258</v>
      </c>
      <c r="D49" s="40">
        <f>C49+D35</f>
        <v>2773697.3594055078</v>
      </c>
      <c r="E49" s="40">
        <f>D49+E35</f>
        <v>3527548.34662739</v>
      </c>
      <c r="F49" s="40">
        <f>E49+F35</f>
        <v>4125343.1103807935</v>
      </c>
      <c r="G49" s="40">
        <f>F49+G35</f>
        <v>4521858.2407059222</v>
      </c>
      <c r="H49" s="40">
        <f>G49+H35</f>
        <v>4942201.9018943151</v>
      </c>
      <c r="I49" s="41"/>
      <c r="J49" s="41"/>
      <c r="K49" s="41"/>
      <c r="L49" s="24"/>
      <c r="M49" s="24"/>
      <c r="N49" s="24"/>
      <c r="O49" s="24"/>
      <c r="P49" s="24"/>
      <c r="Q49" s="24"/>
      <c r="R49" s="24"/>
    </row>
    <row r="50" spans="1:18" x14ac:dyDescent="0.25">
      <c r="A50" s="24"/>
      <c r="B50" s="28">
        <v>5</v>
      </c>
      <c r="C50" s="40">
        <f t="shared" si="2"/>
        <v>1300441.1763369546</v>
      </c>
      <c r="D50" s="40">
        <f>C50+D36</f>
        <v>2920987.7803644901</v>
      </c>
      <c r="E50" s="40">
        <f>D50+E36</f>
        <v>3700349.6056891792</v>
      </c>
      <c r="F50" s="40">
        <f>E50+F36</f>
        <v>4442914.2707381379</v>
      </c>
      <c r="G50" s="40">
        <f>F50+G36</f>
        <v>4813322.7351754596</v>
      </c>
      <c r="H50" s="41"/>
      <c r="I50" s="41"/>
      <c r="J50" s="41"/>
      <c r="K50" s="41"/>
      <c r="L50" s="24"/>
      <c r="M50" s="24"/>
      <c r="N50" s="24"/>
      <c r="O50" s="24"/>
      <c r="P50" s="24"/>
      <c r="Q50" s="24"/>
      <c r="R50" s="24"/>
    </row>
    <row r="51" spans="1:18" x14ac:dyDescent="0.25">
      <c r="A51" s="24"/>
      <c r="B51" s="28">
        <v>6</v>
      </c>
      <c r="C51" s="40">
        <f t="shared" si="2"/>
        <v>1397368.0926729222</v>
      </c>
      <c r="D51" s="40">
        <f>C51+D37</f>
        <v>3243490.0729121687</v>
      </c>
      <c r="E51" s="40">
        <f>D51+E37</f>
        <v>3964518.8150557899</v>
      </c>
      <c r="F51" s="40">
        <f>E51+F37</f>
        <v>4661705.3347352361</v>
      </c>
      <c r="G51" s="41"/>
      <c r="H51" s="41"/>
      <c r="I51" s="41"/>
      <c r="J51" s="41"/>
      <c r="K51" s="41"/>
      <c r="L51" s="24"/>
      <c r="M51" s="24"/>
      <c r="N51" s="24"/>
      <c r="O51" s="24"/>
      <c r="P51" s="24"/>
      <c r="Q51" s="24"/>
      <c r="R51" s="24"/>
    </row>
    <row r="52" spans="1:18" x14ac:dyDescent="0.25">
      <c r="A52" s="24"/>
      <c r="B52" s="28">
        <v>7</v>
      </c>
      <c r="C52" s="40">
        <f t="shared" si="2"/>
        <v>1570945.7683077177</v>
      </c>
      <c r="D52" s="40">
        <f>C52+D38</f>
        <v>3239675.6456166534</v>
      </c>
      <c r="E52" s="40">
        <f>D52+E38</f>
        <v>4285166.062277033</v>
      </c>
      <c r="F52" s="41"/>
      <c r="G52" s="41"/>
      <c r="H52" s="41"/>
      <c r="I52" s="41"/>
      <c r="J52" s="41"/>
      <c r="K52" s="41"/>
      <c r="L52" s="24"/>
      <c r="M52" s="24"/>
      <c r="N52" s="24"/>
      <c r="O52" s="24"/>
      <c r="P52" s="24"/>
      <c r="Q52" s="24"/>
      <c r="R52" s="24"/>
    </row>
    <row r="53" spans="1:18" x14ac:dyDescent="0.25">
      <c r="A53" s="24"/>
      <c r="B53" s="28">
        <v>8</v>
      </c>
      <c r="C53" s="40">
        <f t="shared" si="2"/>
        <v>1381532.6675622216</v>
      </c>
      <c r="D53" s="40">
        <f>C53+D39</f>
        <v>3031367.3134870529</v>
      </c>
      <c r="E53" s="41"/>
      <c r="F53" s="41"/>
      <c r="G53" s="41"/>
      <c r="H53" s="41"/>
      <c r="I53" s="41"/>
      <c r="J53" s="41"/>
      <c r="K53" s="41"/>
      <c r="L53" s="24"/>
      <c r="M53" s="24"/>
      <c r="N53" s="24"/>
      <c r="O53" s="24"/>
      <c r="P53" s="24"/>
      <c r="Q53" s="24"/>
      <c r="R53" s="24"/>
    </row>
    <row r="54" spans="1:18" x14ac:dyDescent="0.25">
      <c r="A54" s="24"/>
      <c r="B54" s="28">
        <v>9</v>
      </c>
      <c r="C54" s="40">
        <f>C40</f>
        <v>1346802.3542128429</v>
      </c>
      <c r="D54" s="43"/>
      <c r="E54" s="43"/>
      <c r="F54" s="43"/>
      <c r="G54" s="43"/>
      <c r="H54" s="43"/>
      <c r="I54" s="43"/>
      <c r="J54" s="43"/>
      <c r="K54" s="43"/>
      <c r="L54" s="24"/>
      <c r="M54" s="24"/>
      <c r="N54" s="24"/>
      <c r="O54" s="24"/>
      <c r="P54" s="24"/>
      <c r="Q54" s="24"/>
      <c r="R54" s="24"/>
    </row>
    <row r="55" spans="1:18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</row>
    <row r="56" spans="1:18" x14ac:dyDescent="0.25">
      <c r="A56" s="24"/>
      <c r="B56" s="24"/>
      <c r="C56" s="28" t="s">
        <v>51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</row>
    <row r="57" spans="1:18" x14ac:dyDescent="0.25">
      <c r="A57" s="24"/>
      <c r="B57" s="44" t="s">
        <v>70</v>
      </c>
      <c r="C57" s="45">
        <f>SUM(D45:D53)/SUM(C45:C53)</f>
        <v>2.1024568554049639</v>
      </c>
      <c r="D57" s="45">
        <f>SUM(E45:E52)/SUM(D45:D52)</f>
        <v>1.256062294799432</v>
      </c>
      <c r="E57" s="45">
        <f>SUM(F45:F51)/SUM(E45:E51)</f>
        <v>1.1781058003161704</v>
      </c>
      <c r="F57" s="45">
        <f>SUM(G45:G50)/SUM(F45:F50)</f>
        <v>1.1214277912638833</v>
      </c>
      <c r="G57" s="45">
        <f>SUM(H45:H49)/SUM(G45:G49)</f>
        <v>1.0953111884500715</v>
      </c>
      <c r="H57" s="45">
        <f>SUM(I45:I48)/SUM(H45:H48)</f>
        <v>1.0540403884611445</v>
      </c>
      <c r="I57" s="45">
        <f>SUM(J45:J47)/SUM(I45:I47)</f>
        <v>1.0590321815963633</v>
      </c>
      <c r="J57" s="45">
        <f>SUM(K45:K46)/SUM(J45:J46)</f>
        <v>1.0446032925669604</v>
      </c>
      <c r="K57" s="45">
        <f>SUM(L45)/SUM(K45)</f>
        <v>1.0327704044274595</v>
      </c>
      <c r="L57" s="46"/>
      <c r="M57" s="24"/>
      <c r="N57" s="24"/>
      <c r="O57" s="24"/>
      <c r="P57" s="24"/>
      <c r="Q57" s="24"/>
      <c r="R57" s="24"/>
    </row>
    <row r="58" spans="1:18" x14ac:dyDescent="0.25">
      <c r="A58" s="24"/>
      <c r="B58" s="44" t="s">
        <v>71</v>
      </c>
      <c r="C58" s="45">
        <f>C57*D58</f>
        <v>4.6020675437564531</v>
      </c>
      <c r="D58" s="45">
        <f t="shared" ref="D58:I58" si="4">D57*E58</f>
        <v>2.1888998729869429</v>
      </c>
      <c r="E58" s="45">
        <f>E57*F58</f>
        <v>1.7426682434858587</v>
      </c>
      <c r="F58" s="45">
        <f>F57*G58</f>
        <v>1.479212005422752</v>
      </c>
      <c r="G58" s="45">
        <f t="shared" si="4"/>
        <v>1.3190434702493283</v>
      </c>
      <c r="H58" s="45">
        <f t="shared" si="4"/>
        <v>1.2042636687714758</v>
      </c>
      <c r="I58" s="45">
        <f t="shared" si="4"/>
        <v>1.1425213701057995</v>
      </c>
      <c r="J58" s="45">
        <f>K58*J57</f>
        <v>1.0788353649306355</v>
      </c>
      <c r="K58" s="45">
        <f>K57</f>
        <v>1.0327704044274595</v>
      </c>
      <c r="L58" s="46"/>
      <c r="M58" s="24"/>
      <c r="N58" s="24"/>
      <c r="O58" s="24"/>
      <c r="P58" s="24"/>
      <c r="Q58" s="24"/>
      <c r="R58" s="24"/>
    </row>
    <row r="59" spans="1:18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46"/>
      <c r="L59" s="24"/>
      <c r="M59" s="24"/>
      <c r="N59" s="24"/>
      <c r="O59" s="24"/>
      <c r="P59" s="24"/>
      <c r="Q59" s="24"/>
      <c r="R59" s="24"/>
    </row>
    <row r="60" spans="1:18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46"/>
      <c r="L60" s="24"/>
      <c r="M60" s="24"/>
      <c r="N60" s="24"/>
      <c r="O60" s="24"/>
      <c r="P60" s="24"/>
      <c r="Q60" s="24"/>
      <c r="R60" s="24"/>
    </row>
    <row r="61" spans="1:18" x14ac:dyDescent="0.25">
      <c r="A61" s="24"/>
      <c r="B61" s="24"/>
      <c r="C61" s="42" t="s">
        <v>72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</row>
    <row r="62" spans="1:18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</row>
    <row r="63" spans="1:18" x14ac:dyDescent="0.25">
      <c r="A63" s="24"/>
      <c r="B63" s="24"/>
      <c r="C63" s="28">
        <v>0</v>
      </c>
      <c r="D63" s="28">
        <v>1</v>
      </c>
      <c r="E63" s="28">
        <v>2</v>
      </c>
      <c r="F63" s="28">
        <v>3</v>
      </c>
      <c r="G63" s="28">
        <v>4</v>
      </c>
      <c r="H63" s="28">
        <v>5</v>
      </c>
      <c r="I63" s="28">
        <v>6</v>
      </c>
      <c r="J63" s="28">
        <v>7</v>
      </c>
      <c r="K63" s="28">
        <v>8</v>
      </c>
      <c r="L63" s="28">
        <v>9</v>
      </c>
      <c r="M63" s="24"/>
      <c r="N63" s="24"/>
      <c r="O63" s="24"/>
      <c r="P63" s="24"/>
      <c r="Q63" s="24"/>
      <c r="R63" s="24"/>
    </row>
    <row r="64" spans="1:18" x14ac:dyDescent="0.25">
      <c r="A64" s="24"/>
      <c r="B64" s="28">
        <v>0</v>
      </c>
      <c r="C64" s="40">
        <f t="shared" ref="C64:J69" si="5">D64/C$57</f>
        <v>879581.47815316299</v>
      </c>
      <c r="D64" s="40">
        <f t="shared" si="5"/>
        <v>1849282.1086303489</v>
      </c>
      <c r="E64" s="40">
        <f t="shared" si="5"/>
        <v>2322813.5290977685</v>
      </c>
      <c r="F64" s="40">
        <f t="shared" si="5"/>
        <v>2736520.0916829547</v>
      </c>
      <c r="G64" s="40">
        <f t="shared" si="5"/>
        <v>3068809.6821652553</v>
      </c>
      <c r="H64" s="40">
        <f t="shared" si="5"/>
        <v>3361301.5800995119</v>
      </c>
      <c r="I64" s="40">
        <f t="shared" si="5"/>
        <v>3542947.6232231483</v>
      </c>
      <c r="J64" s="40">
        <f t="shared" si="5"/>
        <v>3752095.5507036606</v>
      </c>
      <c r="K64" s="40">
        <f>L64/$K$57</f>
        <v>3919451.3662908864</v>
      </c>
      <c r="L64" s="40">
        <f>L45</f>
        <v>4047893.3726979974</v>
      </c>
      <c r="M64" s="24"/>
      <c r="N64" s="24"/>
      <c r="O64" s="24"/>
      <c r="P64" s="24"/>
      <c r="Q64" s="24"/>
      <c r="R64" s="24"/>
    </row>
    <row r="65" spans="1:18" x14ac:dyDescent="0.25">
      <c r="A65" s="24"/>
      <c r="B65" s="28">
        <v>1</v>
      </c>
      <c r="C65" s="40">
        <f t="shared" si="5"/>
        <v>1166456.7627932664</v>
      </c>
      <c r="D65" s="40">
        <f t="shared" si="5"/>
        <v>2452425.0174681847</v>
      </c>
      <c r="E65" s="40">
        <f t="shared" si="5"/>
        <v>3080398.5952646253</v>
      </c>
      <c r="F65" s="40">
        <f t="shared" si="5"/>
        <v>3629035.4523670385</v>
      </c>
      <c r="G65" s="40">
        <f t="shared" si="5"/>
        <v>4069701.2117662951</v>
      </c>
      <c r="H65" s="40">
        <f t="shared" si="5"/>
        <v>4457589.2708964366</v>
      </c>
      <c r="I65" s="40">
        <f t="shared" si="5"/>
        <v>4698479.1266959095</v>
      </c>
      <c r="J65" s="40">
        <f t="shared" si="5"/>
        <v>4975840.5997297447</v>
      </c>
      <c r="K65" s="40">
        <f>K46</f>
        <v>5197779.4737660503</v>
      </c>
      <c r="L65" s="47">
        <f>K65*$K$57</f>
        <v>5368112.8092461117</v>
      </c>
      <c r="M65" s="24"/>
      <c r="N65" s="24"/>
      <c r="O65" s="24"/>
      <c r="P65" s="24"/>
      <c r="Q65" s="24"/>
      <c r="R65" s="24"/>
    </row>
    <row r="66" spans="1:18" x14ac:dyDescent="0.25">
      <c r="A66" s="24"/>
      <c r="B66" s="28">
        <v>2</v>
      </c>
      <c r="C66" s="40">
        <f t="shared" si="5"/>
        <v>1127134.9202510254</v>
      </c>
      <c r="D66" s="40">
        <f t="shared" si="5"/>
        <v>2369752.5400480954</v>
      </c>
      <c r="E66" s="40">
        <f t="shared" si="5"/>
        <v>2976556.8135595936</v>
      </c>
      <c r="F66" s="40">
        <f t="shared" si="5"/>
        <v>3506698.8470251751</v>
      </c>
      <c r="G66" s="40">
        <f t="shared" si="5"/>
        <v>3932509.5426470484</v>
      </c>
      <c r="H66" s="40">
        <f t="shared" si="5"/>
        <v>4307321.7007479854</v>
      </c>
      <c r="I66" s="40">
        <f t="shared" si="5"/>
        <v>4540091.0386835234</v>
      </c>
      <c r="J66" s="40">
        <f>J47</f>
        <v>4808102.5173431104</v>
      </c>
      <c r="K66" s="47">
        <f t="shared" ref="K66:L73" si="6">J66*J$57</f>
        <v>5022559.7206161041</v>
      </c>
      <c r="L66" s="47">
        <f t="shared" ref="L66:L73" si="7">K66*$K$57</f>
        <v>5187151.0339217614</v>
      </c>
      <c r="M66" s="24"/>
      <c r="N66" s="24"/>
      <c r="O66" s="24"/>
      <c r="P66" s="24"/>
      <c r="Q66" s="24"/>
      <c r="R66" s="24"/>
    </row>
    <row r="67" spans="1:18" x14ac:dyDescent="0.25">
      <c r="A67" s="24"/>
      <c r="B67" s="28">
        <v>3</v>
      </c>
      <c r="C67" s="40">
        <f t="shared" si="5"/>
        <v>1382651.816287074</v>
      </c>
      <c r="D67" s="40">
        <f t="shared" si="5"/>
        <v>2906965.7897908832</v>
      </c>
      <c r="E67" s="40">
        <f t="shared" si="5"/>
        <v>3651330.1208281801</v>
      </c>
      <c r="F67" s="40">
        <f t="shared" si="5"/>
        <v>4301653.1942168223</v>
      </c>
      <c r="G67" s="40">
        <f t="shared" si="5"/>
        <v>4823993.4403737988</v>
      </c>
      <c r="H67" s="40">
        <f t="shared" si="5"/>
        <v>5283773.9882511748</v>
      </c>
      <c r="I67" s="40">
        <f>I48</f>
        <v>5569311.1871171584</v>
      </c>
      <c r="J67" s="47">
        <f t="shared" ref="J67:J73" si="8">I67*I$57</f>
        <v>5898079.776481716</v>
      </c>
      <c r="K67" s="47">
        <f t="shared" si="6"/>
        <v>6161153.5543354023</v>
      </c>
      <c r="L67" s="47">
        <f t="shared" si="7"/>
        <v>6363057.0480506532</v>
      </c>
      <c r="M67" s="24"/>
      <c r="N67" s="24"/>
      <c r="O67" s="24"/>
      <c r="P67" s="24"/>
      <c r="Q67" s="24"/>
      <c r="R67" s="24"/>
    </row>
    <row r="68" spans="1:18" x14ac:dyDescent="0.25">
      <c r="A68" s="24"/>
      <c r="B68" s="28">
        <v>4</v>
      </c>
      <c r="C68" s="40">
        <f t="shared" si="5"/>
        <v>1293269.6310073074</v>
      </c>
      <c r="D68" s="40">
        <f t="shared" si="5"/>
        <v>2719043.6015983615</v>
      </c>
      <c r="E68" s="40">
        <f t="shared" si="5"/>
        <v>3415288.1458833506</v>
      </c>
      <c r="F68" s="40">
        <f t="shared" si="5"/>
        <v>4023570.7744162343</v>
      </c>
      <c r="G68" s="40">
        <f t="shared" si="5"/>
        <v>4512144.0865475098</v>
      </c>
      <c r="H68" s="40">
        <f>H49</f>
        <v>4942201.9018943151</v>
      </c>
      <c r="I68" s="47">
        <f t="shared" ref="I68:I71" si="9">H68*H$57</f>
        <v>5209280.4125260906</v>
      </c>
      <c r="J68" s="47">
        <f t="shared" si="8"/>
        <v>5516795.5998247089</v>
      </c>
      <c r="K68" s="47">
        <f t="shared" si="6"/>
        <v>5762862.8479958102</v>
      </c>
      <c r="L68" s="47">
        <f t="shared" si="7"/>
        <v>5951714.1941846143</v>
      </c>
      <c r="M68" s="24"/>
      <c r="N68" s="24"/>
      <c r="O68" s="24"/>
      <c r="P68" s="24"/>
      <c r="Q68" s="24"/>
      <c r="R68" s="24"/>
    </row>
    <row r="69" spans="1:18" x14ac:dyDescent="0.25">
      <c r="A69" s="24"/>
      <c r="B69" s="28">
        <v>5</v>
      </c>
      <c r="C69" s="40">
        <f>D69/C$57</f>
        <v>1379593.3813812409</v>
      </c>
      <c r="D69" s="40">
        <f>E69/D$57</f>
        <v>2900535.5623563048</v>
      </c>
      <c r="E69" s="40">
        <f>F69/E$57</f>
        <v>3643253.3546006214</v>
      </c>
      <c r="F69" s="40">
        <f t="shared" si="5"/>
        <v>4292137.9090763377</v>
      </c>
      <c r="G69" s="40">
        <f>G50</f>
        <v>4813322.7351754596</v>
      </c>
      <c r="H69" s="47">
        <f>G69*G$57</f>
        <v>5272086.2454587817</v>
      </c>
      <c r="I69" s="47">
        <f t="shared" si="9"/>
        <v>5556991.8341640308</v>
      </c>
      <c r="J69" s="47">
        <f t="shared" si="8"/>
        <v>5885033.1852479093</v>
      </c>
      <c r="K69" s="47">
        <f t="shared" si="6"/>
        <v>6147525.0421757922</v>
      </c>
      <c r="L69" s="47">
        <f t="shared" si="7"/>
        <v>6348981.9240358276</v>
      </c>
      <c r="M69" s="24"/>
      <c r="N69" s="24"/>
      <c r="O69" s="24"/>
      <c r="P69" s="24"/>
      <c r="Q69" s="24"/>
      <c r="R69" s="24"/>
    </row>
    <row r="70" spans="1:18" x14ac:dyDescent="0.25">
      <c r="A70" s="24"/>
      <c r="B70" s="28">
        <v>6</v>
      </c>
      <c r="C70" s="40">
        <f>D70/C$57</f>
        <v>1498380.9844857368</v>
      </c>
      <c r="D70" s="40">
        <f t="shared" ref="D70:E71" si="10">E70/D$57</f>
        <v>3150281.3728404762</v>
      </c>
      <c r="E70" s="40">
        <f t="shared" si="10"/>
        <v>3956949.6504339133</v>
      </c>
      <c r="F70" s="40">
        <f>F51</f>
        <v>4661705.3347352361</v>
      </c>
      <c r="G70" s="47">
        <f>F70*F$57</f>
        <v>5227765.9170551971</v>
      </c>
      <c r="H70" s="47">
        <f>G70*G$57</f>
        <v>5726030.499548506</v>
      </c>
      <c r="I70" s="47">
        <f t="shared" si="9"/>
        <v>6035467.4120844686</v>
      </c>
      <c r="J70" s="47">
        <f t="shared" si="8"/>
        <v>6391754.2203735719</v>
      </c>
      <c r="K70" s="47">
        <f t="shared" si="6"/>
        <v>6676847.5038809981</v>
      </c>
      <c r="L70" s="47">
        <f t="shared" si="7"/>
        <v>6895650.4968836522</v>
      </c>
      <c r="M70" s="24"/>
      <c r="N70" s="24"/>
      <c r="O70" s="24"/>
      <c r="P70" s="24"/>
      <c r="Q70" s="24"/>
      <c r="R70" s="24"/>
    </row>
    <row r="71" spans="1:18" x14ac:dyDescent="0.25">
      <c r="A71" s="24"/>
      <c r="B71" s="28">
        <v>7</v>
      </c>
      <c r="C71" s="40">
        <f>D71/C$57</f>
        <v>1622666.9304158145</v>
      </c>
      <c r="D71" s="40">
        <f t="shared" si="10"/>
        <v>3411587.2118916586</v>
      </c>
      <c r="E71" s="40">
        <f>E52</f>
        <v>4285166.062277033</v>
      </c>
      <c r="F71" s="47">
        <f>E71*E$57</f>
        <v>5048378.9932865761</v>
      </c>
      <c r="G71" s="47">
        <f>F71*F$57</f>
        <v>5661392.503904352</v>
      </c>
      <c r="H71" s="47">
        <f>G71*G$57</f>
        <v>6200986.5517338021</v>
      </c>
      <c r="I71" s="47">
        <f t="shared" si="9"/>
        <v>6536090.2738318294</v>
      </c>
      <c r="J71" s="47">
        <f t="shared" si="8"/>
        <v>6921929.9418068938</v>
      </c>
      <c r="K71" s="47">
        <f t="shared" si="6"/>
        <v>7230670.8081293097</v>
      </c>
      <c r="L71" s="47">
        <f t="shared" si="7"/>
        <v>7467622.8147935327</v>
      </c>
      <c r="M71" s="24"/>
      <c r="N71" s="24"/>
      <c r="O71" s="24"/>
      <c r="P71" s="24"/>
      <c r="Q71" s="24"/>
      <c r="R71" s="24"/>
    </row>
    <row r="72" spans="1:18" x14ac:dyDescent="0.25">
      <c r="A72" s="24"/>
      <c r="B72" s="28">
        <v>8</v>
      </c>
      <c r="C72" s="40">
        <f>D72/C$57</f>
        <v>1441821.4127410322</v>
      </c>
      <c r="D72" s="40">
        <f>D53</f>
        <v>3031367.3134870529</v>
      </c>
      <c r="E72" s="47">
        <f>D72*D$57</f>
        <v>3807586.1841585366</v>
      </c>
      <c r="F72" s="47">
        <f>E72*E$57</f>
        <v>4485739.3687608866</v>
      </c>
      <c r="G72" s="47">
        <f>F72*F$57</f>
        <v>5030432.7924949666</v>
      </c>
      <c r="H72" s="47">
        <f>G72*G$57</f>
        <v>5509889.3203658741</v>
      </c>
      <c r="I72" s="47">
        <f>H72*H$57</f>
        <v>5807645.8796163574</v>
      </c>
      <c r="J72" s="47">
        <f t="shared" si="8"/>
        <v>6150483.885829241</v>
      </c>
      <c r="K72" s="47">
        <f t="shared" si="6"/>
        <v>6424815.7180172578</v>
      </c>
      <c r="L72" s="47">
        <f t="shared" si="6"/>
        <v>6635359.5274685817</v>
      </c>
      <c r="M72" s="24"/>
      <c r="N72" s="24"/>
      <c r="O72" s="24"/>
      <c r="P72" s="24"/>
      <c r="Q72" s="24"/>
      <c r="R72" s="24"/>
    </row>
    <row r="73" spans="1:18" x14ac:dyDescent="0.25">
      <c r="A73" s="24"/>
      <c r="B73" s="28">
        <v>9</v>
      </c>
      <c r="C73" s="40">
        <f>C54</f>
        <v>1346802.3542128429</v>
      </c>
      <c r="D73" s="47">
        <f>C73*C57</f>
        <v>2831593.8424903359</v>
      </c>
      <c r="E73" s="47">
        <f>D73*$D$57</f>
        <v>3556658.2597383526</v>
      </c>
      <c r="F73" s="47">
        <f>E73*E$57</f>
        <v>4190119.72554017</v>
      </c>
      <c r="G73" s="47">
        <f>F73*F$57</f>
        <v>4698916.7089437414</v>
      </c>
      <c r="H73" s="47">
        <f>G73*G$57</f>
        <v>5146776.0449010683</v>
      </c>
      <c r="I73" s="47">
        <f>H73*H$57</f>
        <v>5424909.8216900351</v>
      </c>
      <c r="J73" s="47">
        <f t="shared" si="8"/>
        <v>5745154.0834279358</v>
      </c>
      <c r="K73" s="47">
        <f t="shared" si="6"/>
        <v>6001406.8718533395</v>
      </c>
      <c r="L73" s="47">
        <f t="shared" si="7"/>
        <v>6198075.4021777082</v>
      </c>
      <c r="M73" s="24"/>
      <c r="N73" s="24"/>
      <c r="O73" s="24"/>
      <c r="P73" s="24"/>
      <c r="Q73" s="24"/>
      <c r="R73" s="24"/>
    </row>
    <row r="74" spans="1:18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</row>
    <row r="75" spans="1:18" x14ac:dyDescent="0.25">
      <c r="A75" s="24"/>
      <c r="B75" s="24"/>
      <c r="C75" s="28" t="s">
        <v>73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1:18" x14ac:dyDescent="0.25">
      <c r="A76" s="24"/>
      <c r="B76" s="44" t="s">
        <v>70</v>
      </c>
      <c r="C76" s="45">
        <f>SUM(D64:D71)/SUM(C64:C71)</f>
        <v>2.1024568554049639</v>
      </c>
      <c r="D76" s="45">
        <f>SUM(E64:E70)/SUM(D64:D70)</f>
        <v>1.2560622947994322</v>
      </c>
      <c r="E76" s="45">
        <f>SUM(F64:F69)/SUM(E64:E69)</f>
        <v>1.1781058003161702</v>
      </c>
      <c r="F76" s="45">
        <f>SUM(G64:G68)/SUM(F64:F68)</f>
        <v>1.1214277912638833</v>
      </c>
      <c r="G76" s="45">
        <f>SUM(H64:H67)/SUM(G64:G67)</f>
        <v>1.0953111884500712</v>
      </c>
      <c r="H76" s="45">
        <f>SUM(I64:I66)/SUM(H64:H66)</f>
        <v>1.0540403884611445</v>
      </c>
      <c r="I76" s="45">
        <f>SUM(J64:J65)/SUM(I64:I65)</f>
        <v>1.0590321815963633</v>
      </c>
      <c r="J76" s="45">
        <f>SUM(K64:K64)/SUM(J64:J64)</f>
        <v>1.0446032925669604</v>
      </c>
      <c r="K76" s="45">
        <f>SUM(L64)/SUM(K64)</f>
        <v>1.0327704044274595</v>
      </c>
      <c r="L76" s="24"/>
      <c r="M76" s="24"/>
      <c r="N76" s="24"/>
      <c r="O76" s="24"/>
      <c r="P76" s="24"/>
      <c r="Q76" s="24"/>
      <c r="R76" s="24"/>
    </row>
    <row r="77" spans="1:18" x14ac:dyDescent="0.25">
      <c r="A77" s="24"/>
      <c r="B77" s="44" t="s">
        <v>71</v>
      </c>
      <c r="C77" s="45">
        <f>C76*D77</f>
        <v>4.6020675437564522</v>
      </c>
      <c r="D77" s="45">
        <f t="shared" ref="D77:I77" si="11">D76*E77</f>
        <v>2.1888998729869424</v>
      </c>
      <c r="E77" s="45">
        <f>E76*F77</f>
        <v>1.742668243485858</v>
      </c>
      <c r="F77" s="45">
        <f>F76*G77</f>
        <v>1.4792120054227518</v>
      </c>
      <c r="G77" s="45">
        <f t="shared" si="11"/>
        <v>1.3190434702493281</v>
      </c>
      <c r="H77" s="45">
        <f t="shared" si="11"/>
        <v>1.2042636687714758</v>
      </c>
      <c r="I77" s="45">
        <f t="shared" si="11"/>
        <v>1.1425213701057995</v>
      </c>
      <c r="J77" s="45">
        <f>K76*J76</f>
        <v>1.0788353649306355</v>
      </c>
      <c r="K77" s="45">
        <f>K76</f>
        <v>1.0327704044274595</v>
      </c>
      <c r="L77" s="24"/>
      <c r="M77" s="24"/>
      <c r="N77" s="24"/>
      <c r="O77" s="24"/>
      <c r="P77" s="24"/>
      <c r="Q77" s="24"/>
      <c r="R77" s="24"/>
    </row>
    <row r="78" spans="1:18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</row>
    <row r="79" spans="1:18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</row>
    <row r="80" spans="1:18" x14ac:dyDescent="0.25">
      <c r="A80" s="24"/>
      <c r="B80" s="24"/>
      <c r="C80" s="42" t="s">
        <v>74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</row>
    <row r="81" spans="1:18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</row>
    <row r="82" spans="1:18" x14ac:dyDescent="0.25">
      <c r="A82" s="24"/>
      <c r="B82" s="24"/>
      <c r="C82" s="28">
        <v>0</v>
      </c>
      <c r="D82" s="28">
        <v>1</v>
      </c>
      <c r="E82" s="28">
        <v>2</v>
      </c>
      <c r="F82" s="28">
        <v>3</v>
      </c>
      <c r="G82" s="28">
        <v>4</v>
      </c>
      <c r="H82" s="28">
        <v>5</v>
      </c>
      <c r="I82" s="28">
        <v>6</v>
      </c>
      <c r="J82" s="28">
        <v>7</v>
      </c>
      <c r="K82" s="28">
        <v>8</v>
      </c>
      <c r="L82" s="28">
        <v>9</v>
      </c>
      <c r="M82" s="24"/>
      <c r="N82" s="28" t="s">
        <v>75</v>
      </c>
      <c r="O82" s="24"/>
      <c r="P82" s="24"/>
      <c r="Q82" s="24"/>
      <c r="R82" s="24"/>
    </row>
    <row r="83" spans="1:18" x14ac:dyDescent="0.25">
      <c r="A83" s="24"/>
      <c r="B83" s="28">
        <v>0</v>
      </c>
      <c r="C83" s="40">
        <f t="shared" ref="C83:C91" si="12">C64</f>
        <v>879581.47815316299</v>
      </c>
      <c r="D83" s="40">
        <f t="shared" ref="D83:L92" si="13">D64-C64</f>
        <v>969700.63047718594</v>
      </c>
      <c r="E83" s="40">
        <f t="shared" si="13"/>
        <v>473531.42046741955</v>
      </c>
      <c r="F83" s="40">
        <f t="shared" si="13"/>
        <v>413706.56258518621</v>
      </c>
      <c r="G83" s="40">
        <f t="shared" si="13"/>
        <v>332289.59048230061</v>
      </c>
      <c r="H83" s="40">
        <f t="shared" si="13"/>
        <v>292491.89793425659</v>
      </c>
      <c r="I83" s="40">
        <f t="shared" si="13"/>
        <v>181646.04312363639</v>
      </c>
      <c r="J83" s="40">
        <f t="shared" si="13"/>
        <v>209147.9274805123</v>
      </c>
      <c r="K83" s="40">
        <f t="shared" si="13"/>
        <v>167355.81558722584</v>
      </c>
      <c r="L83" s="40">
        <f>L64-K64</f>
        <v>128442.00640711095</v>
      </c>
      <c r="M83" s="24"/>
      <c r="N83" s="40">
        <v>0</v>
      </c>
      <c r="O83" s="24"/>
      <c r="P83" s="24"/>
      <c r="Q83" s="24"/>
      <c r="R83" s="24"/>
    </row>
    <row r="84" spans="1:18" x14ac:dyDescent="0.25">
      <c r="A84" s="24"/>
      <c r="B84" s="28">
        <v>1</v>
      </c>
      <c r="C84" s="40">
        <f t="shared" si="12"/>
        <v>1166456.7627932664</v>
      </c>
      <c r="D84" s="40">
        <f t="shared" si="13"/>
        <v>1285968.2546749183</v>
      </c>
      <c r="E84" s="40">
        <f t="shared" si="13"/>
        <v>627973.57779644057</v>
      </c>
      <c r="F84" s="40">
        <f t="shared" si="13"/>
        <v>548636.8571024132</v>
      </c>
      <c r="G84" s="40">
        <f t="shared" si="13"/>
        <v>440665.75939925667</v>
      </c>
      <c r="H84" s="40">
        <f t="shared" si="13"/>
        <v>387888.05913014151</v>
      </c>
      <c r="I84" s="40">
        <f t="shared" si="13"/>
        <v>240889.85579947289</v>
      </c>
      <c r="J84" s="40">
        <f t="shared" si="13"/>
        <v>277361.47303383518</v>
      </c>
      <c r="K84" s="40">
        <f t="shared" si="13"/>
        <v>221938.87403630558</v>
      </c>
      <c r="L84" s="47">
        <f t="shared" si="13"/>
        <v>170333.33548006136</v>
      </c>
      <c r="M84" s="24"/>
      <c r="N84" s="40">
        <f>K85</f>
        <v>214457.20327299368</v>
      </c>
      <c r="O84" s="24"/>
      <c r="P84" s="24"/>
      <c r="Q84" s="24"/>
      <c r="R84" s="24"/>
    </row>
    <row r="85" spans="1:18" x14ac:dyDescent="0.25">
      <c r="A85" s="24"/>
      <c r="B85" s="28">
        <v>2</v>
      </c>
      <c r="C85" s="40">
        <f t="shared" si="12"/>
        <v>1127134.9202510254</v>
      </c>
      <c r="D85" s="40">
        <f t="shared" si="13"/>
        <v>1242617.61979707</v>
      </c>
      <c r="E85" s="40">
        <f t="shared" si="13"/>
        <v>606804.27351149824</v>
      </c>
      <c r="F85" s="40">
        <f t="shared" si="13"/>
        <v>530142.03346558148</v>
      </c>
      <c r="G85" s="40">
        <f t="shared" si="13"/>
        <v>425810.69562187325</v>
      </c>
      <c r="H85" s="40">
        <f t="shared" si="13"/>
        <v>374812.15810093703</v>
      </c>
      <c r="I85" s="40">
        <f t="shared" si="13"/>
        <v>232769.33793553803</v>
      </c>
      <c r="J85" s="40">
        <f t="shared" si="13"/>
        <v>268011.47865958698</v>
      </c>
      <c r="K85" s="47">
        <f t="shared" si="13"/>
        <v>214457.20327299368</v>
      </c>
      <c r="L85" s="47">
        <f t="shared" si="13"/>
        <v>164591.31330565736</v>
      </c>
      <c r="M85" s="24"/>
      <c r="N85" s="40">
        <f>SUM(K85:L85)</f>
        <v>379048.51657865103</v>
      </c>
      <c r="O85" s="24"/>
      <c r="P85" s="24"/>
      <c r="Q85" s="24"/>
      <c r="R85" s="24"/>
    </row>
    <row r="86" spans="1:18" x14ac:dyDescent="0.25">
      <c r="A86" s="24"/>
      <c r="B86" s="28">
        <v>3</v>
      </c>
      <c r="C86" s="40">
        <f t="shared" si="12"/>
        <v>1382651.816287074</v>
      </c>
      <c r="D86" s="40">
        <f t="shared" si="13"/>
        <v>1524313.9735038092</v>
      </c>
      <c r="E86" s="40">
        <f t="shared" si="13"/>
        <v>744364.33103729691</v>
      </c>
      <c r="F86" s="40">
        <f t="shared" si="13"/>
        <v>650323.07338864217</v>
      </c>
      <c r="G86" s="40">
        <f t="shared" si="13"/>
        <v>522340.24615697656</v>
      </c>
      <c r="H86" s="40">
        <f t="shared" si="13"/>
        <v>459780.54787737597</v>
      </c>
      <c r="I86" s="40">
        <f t="shared" si="13"/>
        <v>285537.19886598364</v>
      </c>
      <c r="J86" s="47">
        <f t="shared" si="13"/>
        <v>328768.58936455753</v>
      </c>
      <c r="K86" s="47">
        <f t="shared" si="13"/>
        <v>263073.77785368636</v>
      </c>
      <c r="L86" s="47">
        <f t="shared" si="13"/>
        <v>201903.49371525086</v>
      </c>
      <c r="M86" s="24"/>
      <c r="N86" s="40">
        <f>SUM(J86:L86)</f>
        <v>793745.86093349475</v>
      </c>
      <c r="O86" s="24"/>
      <c r="P86" s="24"/>
      <c r="Q86" s="24"/>
      <c r="R86" s="24"/>
    </row>
    <row r="87" spans="1:18" x14ac:dyDescent="0.25">
      <c r="A87" s="24"/>
      <c r="B87" s="28">
        <v>4</v>
      </c>
      <c r="C87" s="40">
        <f t="shared" si="12"/>
        <v>1293269.6310073074</v>
      </c>
      <c r="D87" s="40">
        <f t="shared" si="13"/>
        <v>1425773.9705910541</v>
      </c>
      <c r="E87" s="40">
        <f t="shared" si="13"/>
        <v>696244.54428498913</v>
      </c>
      <c r="F87" s="40">
        <f t="shared" si="13"/>
        <v>608282.62853288371</v>
      </c>
      <c r="G87" s="40">
        <f t="shared" si="13"/>
        <v>488573.31213127542</v>
      </c>
      <c r="H87" s="40">
        <f t="shared" si="13"/>
        <v>430057.81534680538</v>
      </c>
      <c r="I87" s="47">
        <f t="shared" si="13"/>
        <v>267078.51063177548</v>
      </c>
      <c r="J87" s="47">
        <f t="shared" si="13"/>
        <v>307515.18729861826</v>
      </c>
      <c r="K87" s="47">
        <f t="shared" si="13"/>
        <v>246067.24817110132</v>
      </c>
      <c r="L87" s="47">
        <f t="shared" si="13"/>
        <v>188851.34618880413</v>
      </c>
      <c r="M87" s="24"/>
      <c r="N87" s="40">
        <f>SUM(I87:L87)</f>
        <v>1009512.2922902992</v>
      </c>
      <c r="O87" s="24"/>
      <c r="P87" s="24"/>
      <c r="Q87" s="24"/>
      <c r="R87" s="24"/>
    </row>
    <row r="88" spans="1:18" x14ac:dyDescent="0.25">
      <c r="A88" s="24"/>
      <c r="B88" s="28">
        <v>5</v>
      </c>
      <c r="C88" s="40">
        <f t="shared" si="12"/>
        <v>1379593.3813812409</v>
      </c>
      <c r="D88" s="40">
        <f t="shared" si="13"/>
        <v>1520942.1809750639</v>
      </c>
      <c r="E88" s="40">
        <f t="shared" si="13"/>
        <v>742717.79224431654</v>
      </c>
      <c r="F88" s="40">
        <f t="shared" si="13"/>
        <v>648884.55447571632</v>
      </c>
      <c r="G88" s="40">
        <f t="shared" si="13"/>
        <v>521184.82609912194</v>
      </c>
      <c r="H88" s="47">
        <f t="shared" si="13"/>
        <v>458763.51028332207</v>
      </c>
      <c r="I88" s="47">
        <f t="shared" si="13"/>
        <v>284905.58870524913</v>
      </c>
      <c r="J88" s="47">
        <f t="shared" si="13"/>
        <v>328041.35108387843</v>
      </c>
      <c r="K88" s="47">
        <f t="shared" si="13"/>
        <v>262491.85692788288</v>
      </c>
      <c r="L88" s="47">
        <f t="shared" si="13"/>
        <v>201456.88186003547</v>
      </c>
      <c r="M88" s="24"/>
      <c r="N88" s="40">
        <f>SUM(H88:L88)</f>
        <v>1535659.188860368</v>
      </c>
      <c r="O88" s="24"/>
      <c r="P88" s="24"/>
      <c r="Q88" s="24"/>
      <c r="R88" s="24"/>
    </row>
    <row r="89" spans="1:18" x14ac:dyDescent="0.25">
      <c r="A89" s="24"/>
      <c r="B89" s="28">
        <v>6</v>
      </c>
      <c r="C89" s="40">
        <f t="shared" si="12"/>
        <v>1498380.9844857368</v>
      </c>
      <c r="D89" s="40">
        <f t="shared" si="13"/>
        <v>1651900.3883547394</v>
      </c>
      <c r="E89" s="40">
        <f t="shared" si="13"/>
        <v>806668.27759343712</v>
      </c>
      <c r="F89" s="40">
        <f t="shared" si="13"/>
        <v>704755.68430132279</v>
      </c>
      <c r="G89" s="47">
        <f t="shared" si="13"/>
        <v>566060.58231996093</v>
      </c>
      <c r="H89" s="47">
        <f t="shared" si="13"/>
        <v>498264.58249330893</v>
      </c>
      <c r="I89" s="47">
        <f t="shared" si="13"/>
        <v>309436.91253596265</v>
      </c>
      <c r="J89" s="47">
        <f t="shared" si="13"/>
        <v>356286.80828910321</v>
      </c>
      <c r="K89" s="47">
        <f t="shared" si="13"/>
        <v>285093.28350742627</v>
      </c>
      <c r="L89" s="47">
        <f t="shared" si="13"/>
        <v>218802.99300265405</v>
      </c>
      <c r="M89" s="24"/>
      <c r="N89" s="40">
        <f>SUM(G89:L89)</f>
        <v>2233945.162148416</v>
      </c>
      <c r="O89" s="24"/>
      <c r="P89" s="24"/>
      <c r="Q89" s="24"/>
      <c r="R89" s="24"/>
    </row>
    <row r="90" spans="1:18" x14ac:dyDescent="0.25">
      <c r="A90" s="24"/>
      <c r="B90" s="28">
        <v>7</v>
      </c>
      <c r="C90" s="40">
        <f t="shared" si="12"/>
        <v>1622666.9304158145</v>
      </c>
      <c r="D90" s="40">
        <f t="shared" si="13"/>
        <v>1788920.2814758441</v>
      </c>
      <c r="E90" s="40">
        <f t="shared" si="13"/>
        <v>873578.85038537439</v>
      </c>
      <c r="F90" s="47">
        <f t="shared" si="13"/>
        <v>763212.93100954313</v>
      </c>
      <c r="G90" s="47">
        <f t="shared" si="13"/>
        <v>613013.51061777584</v>
      </c>
      <c r="H90" s="47">
        <f t="shared" si="13"/>
        <v>539594.04782945011</v>
      </c>
      <c r="I90" s="47">
        <f t="shared" si="13"/>
        <v>335103.72209802736</v>
      </c>
      <c r="J90" s="47">
        <f t="shared" si="13"/>
        <v>385839.66797506437</v>
      </c>
      <c r="K90" s="47">
        <f t="shared" si="13"/>
        <v>308740.86632241588</v>
      </c>
      <c r="L90" s="47">
        <f t="shared" si="13"/>
        <v>236952.00666422304</v>
      </c>
      <c r="M90" s="24"/>
      <c r="N90" s="40">
        <f>SUM(F90:L90)</f>
        <v>3182456.7525164997</v>
      </c>
      <c r="O90" s="24"/>
      <c r="P90" s="24"/>
      <c r="Q90" s="24"/>
      <c r="R90" s="24"/>
    </row>
    <row r="91" spans="1:18" x14ac:dyDescent="0.25">
      <c r="A91" s="24"/>
      <c r="B91" s="28">
        <v>8</v>
      </c>
      <c r="C91" s="40">
        <f t="shared" si="12"/>
        <v>1441821.4127410322</v>
      </c>
      <c r="D91" s="40">
        <f t="shared" si="13"/>
        <v>1589545.9007460207</v>
      </c>
      <c r="E91" s="47">
        <f t="shared" si="13"/>
        <v>776218.87067148369</v>
      </c>
      <c r="F91" s="47">
        <f t="shared" si="13"/>
        <v>678153.18460235</v>
      </c>
      <c r="G91" s="47">
        <f t="shared" si="13"/>
        <v>544693.42373408005</v>
      </c>
      <c r="H91" s="47">
        <f t="shared" si="13"/>
        <v>479456.52787090745</v>
      </c>
      <c r="I91" s="47">
        <f t="shared" si="13"/>
        <v>297756.55925048329</v>
      </c>
      <c r="J91" s="47">
        <f t="shared" si="13"/>
        <v>342838.00621288363</v>
      </c>
      <c r="K91" s="47">
        <f t="shared" si="13"/>
        <v>274331.83218801674</v>
      </c>
      <c r="L91" s="47">
        <f t="shared" si="13"/>
        <v>210543.80945132393</v>
      </c>
      <c r="M91" s="24"/>
      <c r="N91" s="40">
        <f>SUM(E91:L91)</f>
        <v>3603992.2139815288</v>
      </c>
      <c r="O91" s="24"/>
      <c r="P91" s="24"/>
      <c r="Q91" s="24"/>
      <c r="R91" s="24"/>
    </row>
    <row r="92" spans="1:18" x14ac:dyDescent="0.25">
      <c r="A92" s="24"/>
      <c r="B92" s="28">
        <v>9</v>
      </c>
      <c r="C92" s="40">
        <f>C73</f>
        <v>1346802.3542128429</v>
      </c>
      <c r="D92" s="47">
        <f t="shared" si="13"/>
        <v>1484791.488277493</v>
      </c>
      <c r="E92" s="47">
        <f t="shared" si="13"/>
        <v>725064.41724801669</v>
      </c>
      <c r="F92" s="47">
        <f t="shared" si="13"/>
        <v>633461.46580181736</v>
      </c>
      <c r="G92" s="47">
        <f t="shared" si="13"/>
        <v>508796.98340357142</v>
      </c>
      <c r="H92" s="47">
        <f t="shared" si="13"/>
        <v>447859.33595732693</v>
      </c>
      <c r="I92" s="47">
        <f t="shared" si="13"/>
        <v>278133.77678896673</v>
      </c>
      <c r="J92" s="47">
        <f t="shared" si="13"/>
        <v>320244.26173790079</v>
      </c>
      <c r="K92" s="47">
        <f t="shared" si="13"/>
        <v>256252.78842540365</v>
      </c>
      <c r="L92" s="47">
        <f t="shared" si="13"/>
        <v>196668.53032436874</v>
      </c>
      <c r="M92" s="24"/>
      <c r="N92" s="40">
        <f>SUM(D92:L92)</f>
        <v>4851273.0479648653</v>
      </c>
      <c r="O92" s="24"/>
      <c r="P92" s="24"/>
      <c r="Q92" s="24"/>
      <c r="R92" s="24"/>
    </row>
    <row r="93" spans="1:18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41"/>
      <c r="O93" s="24"/>
      <c r="P93" s="24"/>
      <c r="Q93" s="24"/>
      <c r="R93" s="24"/>
    </row>
    <row r="94" spans="1:18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8" t="s">
        <v>76</v>
      </c>
      <c r="N94" s="40">
        <f>SUM(N83:N92)</f>
        <v>17804090.238547117</v>
      </c>
      <c r="O94" s="24"/>
      <c r="P94" s="24"/>
      <c r="Q94" s="24"/>
      <c r="R94" s="24"/>
    </row>
    <row r="95" spans="1:18" x14ac:dyDescent="0.25">
      <c r="A95" s="24"/>
      <c r="B95" s="24"/>
      <c r="C95" s="42" t="s">
        <v>77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</row>
    <row r="96" spans="1:18" x14ac:dyDescent="0.25">
      <c r="A96" s="24"/>
      <c r="B96" s="24"/>
      <c r="C96" s="28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</row>
    <row r="97" spans="1:18" x14ac:dyDescent="0.25">
      <c r="A97" s="24"/>
      <c r="B97" s="24"/>
      <c r="C97" s="28">
        <v>0</v>
      </c>
      <c r="D97" s="28">
        <v>1</v>
      </c>
      <c r="E97" s="28">
        <v>2</v>
      </c>
      <c r="F97" s="28">
        <v>3</v>
      </c>
      <c r="G97" s="28">
        <v>4</v>
      </c>
      <c r="H97" s="28">
        <v>5</v>
      </c>
      <c r="I97" s="28">
        <v>6</v>
      </c>
      <c r="J97" s="28">
        <v>7</v>
      </c>
      <c r="K97" s="28">
        <v>8</v>
      </c>
      <c r="L97" s="28">
        <v>9</v>
      </c>
      <c r="M97" s="24"/>
      <c r="N97" s="24"/>
      <c r="O97" s="24"/>
      <c r="P97" s="24"/>
      <c r="Q97" s="24"/>
      <c r="R97" s="24"/>
    </row>
    <row r="98" spans="1:18" x14ac:dyDescent="0.25">
      <c r="A98" s="24"/>
      <c r="B98" s="28">
        <v>0</v>
      </c>
      <c r="C98" s="48">
        <f t="shared" ref="C98:L104" si="14">(C31-C83)/SQRT(C83)</f>
        <v>223.27333632986912</v>
      </c>
      <c r="D98" s="48">
        <f t="shared" si="14"/>
        <v>74.117423622855853</v>
      </c>
      <c r="E98" s="48">
        <f t="shared" si="14"/>
        <v>-43.891287499762477</v>
      </c>
      <c r="F98" s="48">
        <f t="shared" si="14"/>
        <v>-169.64504623369129</v>
      </c>
      <c r="G98" s="48">
        <f t="shared" si="14"/>
        <v>-115.04956391780966</v>
      </c>
      <c r="H98" s="48">
        <f t="shared" si="14"/>
        <v>134.22894416681586</v>
      </c>
      <c r="I98" s="48">
        <f t="shared" si="14"/>
        <v>100.41121570423137</v>
      </c>
      <c r="J98" s="48">
        <f t="shared" si="14"/>
        <v>-202.49762342973767</v>
      </c>
      <c r="K98" s="48">
        <f t="shared" si="14"/>
        <v>-243.29113760076444</v>
      </c>
      <c r="L98" s="48">
        <f t="shared" si="14"/>
        <v>1.2993214073709135E-12</v>
      </c>
      <c r="M98" s="24"/>
      <c r="N98" s="24"/>
      <c r="O98" s="24"/>
      <c r="P98" s="24"/>
      <c r="Q98" s="24"/>
      <c r="R98" s="24"/>
    </row>
    <row r="99" spans="1:18" x14ac:dyDescent="0.25">
      <c r="A99" s="24"/>
      <c r="B99" s="28">
        <v>1</v>
      </c>
      <c r="C99" s="48">
        <f t="shared" si="14"/>
        <v>129.34502819276335</v>
      </c>
      <c r="D99" s="48">
        <f t="shared" si="14"/>
        <v>-149.04952759215453</v>
      </c>
      <c r="E99" s="48">
        <f t="shared" si="14"/>
        <v>30.218340037949439</v>
      </c>
      <c r="F99" s="48">
        <f t="shared" si="14"/>
        <v>-198.50174341020536</v>
      </c>
      <c r="G99" s="48">
        <f t="shared" si="14"/>
        <v>-184.38471240116797</v>
      </c>
      <c r="H99" s="48">
        <f t="shared" si="14"/>
        <v>162.72635380415525</v>
      </c>
      <c r="I99" s="48">
        <f t="shared" si="14"/>
        <v>-25.042335386614546</v>
      </c>
      <c r="J99" s="48">
        <f t="shared" si="14"/>
        <v>163.7246657129578</v>
      </c>
      <c r="K99" s="48">
        <f t="shared" si="14"/>
        <v>211.26619192725087</v>
      </c>
      <c r="L99" s="24"/>
      <c r="M99" s="24"/>
      <c r="N99" s="24"/>
      <c r="O99" s="24"/>
      <c r="P99" s="24"/>
      <c r="Q99" s="24"/>
      <c r="R99" s="24"/>
    </row>
    <row r="100" spans="1:18" x14ac:dyDescent="0.25">
      <c r="A100" s="24"/>
      <c r="B100" s="28">
        <v>2</v>
      </c>
      <c r="C100" s="48">
        <f t="shared" si="14"/>
        <v>115.55202442540299</v>
      </c>
      <c r="D100" s="48">
        <f t="shared" si="14"/>
        <v>3.5500001582572414</v>
      </c>
      <c r="E100" s="48">
        <f t="shared" si="14"/>
        <v>5.1140072067565949</v>
      </c>
      <c r="F100" s="48">
        <f t="shared" si="14"/>
        <v>68.649296576683511</v>
      </c>
      <c r="G100" s="48">
        <f t="shared" si="14"/>
        <v>42.498194572037605</v>
      </c>
      <c r="H100" s="48">
        <f t="shared" si="14"/>
        <v>-253.06982856301113</v>
      </c>
      <c r="I100" s="48">
        <f t="shared" si="14"/>
        <v>-123.91093291005316</v>
      </c>
      <c r="J100" s="48">
        <f t="shared" si="14"/>
        <v>12.327312916758556</v>
      </c>
      <c r="K100" s="49"/>
      <c r="L100" s="24"/>
      <c r="M100" s="24"/>
      <c r="N100" s="24"/>
      <c r="O100" s="24"/>
      <c r="P100" s="24"/>
      <c r="Q100" s="24"/>
      <c r="R100" s="24"/>
    </row>
    <row r="101" spans="1:18" x14ac:dyDescent="0.25">
      <c r="A101" s="24"/>
      <c r="B101" s="28">
        <v>3</v>
      </c>
      <c r="C101" s="48">
        <f t="shared" si="14"/>
        <v>-164.00035362360265</v>
      </c>
      <c r="D101" s="48">
        <f t="shared" si="14"/>
        <v>-148.42845241331517</v>
      </c>
      <c r="E101" s="48">
        <f t="shared" si="14"/>
        <v>-206.60245444745868</v>
      </c>
      <c r="F101" s="48">
        <f t="shared" si="14"/>
        <v>161.87323954529467</v>
      </c>
      <c r="G101" s="48">
        <f t="shared" si="14"/>
        <v>558.74445636675807</v>
      </c>
      <c r="H101" s="48">
        <f t="shared" si="14"/>
        <v>-13.70522729461238</v>
      </c>
      <c r="I101" s="48">
        <f t="shared" si="14"/>
        <v>54.791073423732222</v>
      </c>
      <c r="J101" s="49"/>
      <c r="K101" s="49"/>
      <c r="L101" s="24"/>
      <c r="M101" s="24"/>
      <c r="N101" s="24"/>
      <c r="O101" s="24"/>
      <c r="P101" s="24"/>
      <c r="Q101" s="24"/>
      <c r="R101" s="24"/>
    </row>
    <row r="102" spans="1:18" x14ac:dyDescent="0.25">
      <c r="A102" s="24"/>
      <c r="B102" s="28">
        <v>4</v>
      </c>
      <c r="C102" s="48">
        <f>(C35-C87)/SQRT(C87)</f>
        <v>11.6459191965182</v>
      </c>
      <c r="D102" s="48">
        <f t="shared" si="14"/>
        <v>34.679883074330988</v>
      </c>
      <c r="E102" s="48">
        <f t="shared" si="14"/>
        <v>69.038310820941604</v>
      </c>
      <c r="F102" s="48">
        <f t="shared" si="14"/>
        <v>-13.447277661757438</v>
      </c>
      <c r="G102" s="48">
        <f t="shared" si="14"/>
        <v>-131.70356262841051</v>
      </c>
      <c r="H102" s="48">
        <f t="shared" si="14"/>
        <v>-14.812950412554004</v>
      </c>
      <c r="I102" s="49"/>
      <c r="J102" s="49"/>
      <c r="K102" s="49"/>
      <c r="L102" s="24"/>
      <c r="M102" s="24"/>
      <c r="N102" s="24"/>
      <c r="O102" s="24"/>
      <c r="P102" s="24"/>
      <c r="Q102" s="24"/>
      <c r="R102" s="24"/>
    </row>
    <row r="103" spans="1:18" x14ac:dyDescent="0.25">
      <c r="A103" s="24"/>
      <c r="B103" s="28">
        <v>5</v>
      </c>
      <c r="C103" s="48">
        <f>(C36-C88)/SQRT(C88)</f>
        <v>-67.388760287976197</v>
      </c>
      <c r="D103" s="48">
        <f t="shared" si="14"/>
        <v>80.764827892424265</v>
      </c>
      <c r="E103" s="48">
        <f t="shared" si="14"/>
        <v>42.519813662583523</v>
      </c>
      <c r="F103" s="48">
        <f t="shared" si="14"/>
        <v>116.29570514655786</v>
      </c>
      <c r="G103" s="48">
        <f t="shared" si="14"/>
        <v>-208.85139370505362</v>
      </c>
      <c r="H103" s="49"/>
      <c r="I103" s="49"/>
      <c r="J103" s="49"/>
      <c r="K103" s="49"/>
      <c r="L103" s="24"/>
      <c r="M103" s="24"/>
      <c r="N103" s="24"/>
      <c r="O103" s="24"/>
      <c r="P103" s="24"/>
      <c r="Q103" s="24"/>
      <c r="R103" s="24"/>
    </row>
    <row r="104" spans="1:18" x14ac:dyDescent="0.25">
      <c r="A104" s="24"/>
      <c r="B104" s="28">
        <v>6</v>
      </c>
      <c r="C104" s="48">
        <f>(C37-C89)/SQRT(C89)</f>
        <v>-82.521227200615655</v>
      </c>
      <c r="D104" s="48">
        <f t="shared" si="14"/>
        <v>151.11430626797059</v>
      </c>
      <c r="E104" s="48">
        <f t="shared" si="14"/>
        <v>-95.351342818683236</v>
      </c>
      <c r="F104" s="48">
        <f t="shared" si="14"/>
        <v>-9.0163063012812916</v>
      </c>
      <c r="G104" s="49"/>
      <c r="H104" s="49"/>
      <c r="I104" s="49"/>
      <c r="J104" s="49"/>
      <c r="K104" s="49"/>
      <c r="L104" s="24"/>
      <c r="M104" s="24"/>
      <c r="N104" s="24"/>
      <c r="O104" s="24"/>
      <c r="P104" s="24"/>
      <c r="Q104" s="24"/>
      <c r="R104" s="24"/>
    </row>
    <row r="105" spans="1:18" x14ac:dyDescent="0.25">
      <c r="A105" s="24"/>
      <c r="B105" s="28">
        <v>7</v>
      </c>
      <c r="C105" s="48">
        <f t="shared" ref="C105:E107" si="15">(C38-C90)/SQRT(C90)</f>
        <v>-40.602575411356781</v>
      </c>
      <c r="D105" s="48">
        <f t="shared" si="15"/>
        <v>-89.861632004928666</v>
      </c>
      <c r="E105" s="48">
        <f t="shared" si="15"/>
        <v>183.93062289669012</v>
      </c>
      <c r="F105" s="49"/>
      <c r="G105" s="49"/>
      <c r="H105" s="49"/>
      <c r="I105" s="49"/>
      <c r="J105" s="49"/>
      <c r="K105" s="49"/>
      <c r="L105" s="24"/>
      <c r="M105" s="24"/>
      <c r="N105" s="24"/>
      <c r="O105" s="24"/>
      <c r="P105" s="24"/>
      <c r="Q105" s="24"/>
      <c r="R105" s="24"/>
    </row>
    <row r="106" spans="1:18" x14ac:dyDescent="0.25">
      <c r="A106" s="24"/>
      <c r="B106" s="28">
        <v>8</v>
      </c>
      <c r="C106" s="48">
        <f t="shared" si="15"/>
        <v>-50.208877166916551</v>
      </c>
      <c r="D106" s="48">
        <f t="shared" si="15"/>
        <v>47.818913922170395</v>
      </c>
      <c r="E106" s="49"/>
      <c r="F106" s="49"/>
      <c r="G106" s="49"/>
      <c r="H106" s="49"/>
      <c r="I106" s="49"/>
      <c r="J106" s="49"/>
      <c r="K106" s="49"/>
      <c r="L106" s="24"/>
      <c r="M106" s="24"/>
      <c r="N106" s="24"/>
      <c r="O106" s="24"/>
      <c r="P106" s="24"/>
      <c r="Q106" s="24"/>
      <c r="R106" s="24"/>
    </row>
    <row r="107" spans="1:18" x14ac:dyDescent="0.25">
      <c r="A107" s="24"/>
      <c r="B107" s="28">
        <v>9</v>
      </c>
      <c r="C107" s="48">
        <f t="shared" si="15"/>
        <v>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</row>
    <row r="108" spans="1:18" x14ac:dyDescent="0.2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</row>
    <row r="109" spans="1:18" x14ac:dyDescent="0.2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</row>
    <row r="110" spans="1:18" x14ac:dyDescent="0.25">
      <c r="A110" s="24"/>
      <c r="B110" s="24"/>
      <c r="C110" s="28" t="s">
        <v>78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</row>
    <row r="111" spans="1:18" x14ac:dyDescent="0.25">
      <c r="A111" s="24"/>
      <c r="B111" s="24"/>
      <c r="C111" s="28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</row>
    <row r="112" spans="1:18" x14ac:dyDescent="0.25">
      <c r="A112" s="24"/>
      <c r="B112" s="24"/>
      <c r="C112" s="28">
        <v>0</v>
      </c>
      <c r="D112" s="28">
        <v>1</v>
      </c>
      <c r="E112" s="28">
        <v>2</v>
      </c>
      <c r="F112" s="28">
        <v>3</v>
      </c>
      <c r="G112" s="28">
        <v>4</v>
      </c>
      <c r="H112" s="28">
        <v>5</v>
      </c>
      <c r="I112" s="28">
        <v>6</v>
      </c>
      <c r="J112" s="28">
        <v>7</v>
      </c>
      <c r="K112" s="28">
        <v>8</v>
      </c>
      <c r="L112" s="28">
        <v>9</v>
      </c>
      <c r="M112" s="24"/>
      <c r="N112" s="24"/>
      <c r="O112" s="24"/>
      <c r="P112" s="24"/>
      <c r="Q112" s="24"/>
      <c r="R112" s="24"/>
    </row>
    <row r="113" spans="1:18" x14ac:dyDescent="0.25">
      <c r="A113" s="24"/>
      <c r="B113" s="28">
        <v>0</v>
      </c>
      <c r="C113" s="48">
        <f t="shared" ref="C113:L119" si="16">C98^2</f>
        <v>49850.982715870858</v>
      </c>
      <c r="D113" s="48">
        <f t="shared" si="16"/>
        <v>5493.3924844898711</v>
      </c>
      <c r="E113" s="48">
        <f t="shared" si="16"/>
        <v>1926.4451183868059</v>
      </c>
      <c r="F113" s="48">
        <f t="shared" si="16"/>
        <v>28779.441711631254</v>
      </c>
      <c r="G113" s="48">
        <f t="shared" si="16"/>
        <v>13236.402157678171</v>
      </c>
      <c r="H113" s="48">
        <f t="shared" si="16"/>
        <v>18017.40945213817</v>
      </c>
      <c r="I113" s="48">
        <f t="shared" si="16"/>
        <v>10082.41223920168</v>
      </c>
      <c r="J113" s="48">
        <f t="shared" si="16"/>
        <v>41005.287494691845</v>
      </c>
      <c r="K113" s="48">
        <f t="shared" si="16"/>
        <v>59190.5776350741</v>
      </c>
      <c r="L113" s="48">
        <f t="shared" si="16"/>
        <v>1.6882361196523314E-24</v>
      </c>
      <c r="M113" s="24"/>
      <c r="N113" s="24"/>
      <c r="O113" s="24"/>
      <c r="P113" s="24"/>
      <c r="Q113" s="24"/>
      <c r="R113" s="24"/>
    </row>
    <row r="114" spans="1:18" x14ac:dyDescent="0.25">
      <c r="A114" s="24"/>
      <c r="B114" s="28">
        <v>1</v>
      </c>
      <c r="C114" s="48">
        <f t="shared" si="16"/>
        <v>16730.136318186745</v>
      </c>
      <c r="D114" s="48">
        <f t="shared" si="16"/>
        <v>22215.761675444435</v>
      </c>
      <c r="E114" s="48">
        <f t="shared" si="16"/>
        <v>913.14807464913804</v>
      </c>
      <c r="F114" s="48">
        <f t="shared" si="16"/>
        <v>39402.942136891012</v>
      </c>
      <c r="G114" s="48">
        <f t="shared" si="16"/>
        <v>33997.722167261425</v>
      </c>
      <c r="H114" s="48">
        <f t="shared" si="16"/>
        <v>26479.866222395114</v>
      </c>
      <c r="I114" s="48">
        <f t="shared" si="16"/>
        <v>627.1185616156871</v>
      </c>
      <c r="J114" s="48">
        <f t="shared" si="16"/>
        <v>26805.766162819778</v>
      </c>
      <c r="K114" s="48">
        <f t="shared" si="16"/>
        <v>44633.403851442003</v>
      </c>
      <c r="L114" s="24"/>
      <c r="M114" s="24"/>
      <c r="N114" s="24"/>
      <c r="O114" s="24"/>
      <c r="P114" s="24"/>
      <c r="Q114" s="24"/>
      <c r="R114" s="24"/>
    </row>
    <row r="115" spans="1:18" x14ac:dyDescent="0.25">
      <c r="A115" s="24"/>
      <c r="B115" s="28">
        <v>2</v>
      </c>
      <c r="C115" s="48">
        <f t="shared" si="16"/>
        <v>13352.27034880893</v>
      </c>
      <c r="D115" s="48">
        <f t="shared" si="16"/>
        <v>12.602501123626439</v>
      </c>
      <c r="E115" s="48">
        <f t="shared" si="16"/>
        <v>26.153069710758391</v>
      </c>
      <c r="F115" s="48">
        <f t="shared" si="16"/>
        <v>4712.7259204734501</v>
      </c>
      <c r="G115" s="48">
        <f t="shared" si="16"/>
        <v>1806.0965418827666</v>
      </c>
      <c r="H115" s="48">
        <f t="shared" si="16"/>
        <v>64044.338128911841</v>
      </c>
      <c r="I115" s="48">
        <f t="shared" si="16"/>
        <v>15353.919294639696</v>
      </c>
      <c r="J115" s="48">
        <f t="shared" si="16"/>
        <v>151.96264374768234</v>
      </c>
      <c r="K115" s="49"/>
      <c r="L115" s="24"/>
      <c r="M115" s="24"/>
      <c r="N115" s="24"/>
      <c r="O115" s="24"/>
      <c r="P115" s="24"/>
      <c r="Q115" s="24"/>
      <c r="R115" s="24"/>
    </row>
    <row r="116" spans="1:18" x14ac:dyDescent="0.25">
      <c r="A116" s="24"/>
      <c r="B116" s="28">
        <v>3</v>
      </c>
      <c r="C116" s="48">
        <f t="shared" si="16"/>
        <v>26896.115988666719</v>
      </c>
      <c r="D116" s="48">
        <f t="shared" si="16"/>
        <v>22031.005485811766</v>
      </c>
      <c r="E116" s="48">
        <f t="shared" si="16"/>
        <v>42684.574183714241</v>
      </c>
      <c r="F116" s="48">
        <f t="shared" si="16"/>
        <v>26202.945680888348</v>
      </c>
      <c r="G116" s="48">
        <f t="shared" si="16"/>
        <v>312195.36752058403</v>
      </c>
      <c r="H116" s="48">
        <f t="shared" si="16"/>
        <v>187.83325519698818</v>
      </c>
      <c r="I116" s="48">
        <f t="shared" si="16"/>
        <v>3002.0617269248155</v>
      </c>
      <c r="J116" s="49"/>
      <c r="K116" s="49"/>
      <c r="L116" s="24"/>
      <c r="M116" s="24"/>
      <c r="N116" s="24"/>
      <c r="O116" s="24"/>
      <c r="P116" s="24"/>
      <c r="Q116" s="24"/>
      <c r="R116" s="24"/>
    </row>
    <row r="117" spans="1:18" x14ac:dyDescent="0.25">
      <c r="A117" s="24"/>
      <c r="B117" s="28">
        <v>4</v>
      </c>
      <c r="C117" s="48">
        <f t="shared" si="16"/>
        <v>135.62743393183112</v>
      </c>
      <c r="D117" s="48">
        <f t="shared" si="16"/>
        <v>1202.6942900492688</v>
      </c>
      <c r="E117" s="48">
        <f t="shared" si="16"/>
        <v>4766.288361008943</v>
      </c>
      <c r="F117" s="48">
        <f t="shared" si="16"/>
        <v>180.82927651240058</v>
      </c>
      <c r="G117" s="48">
        <f t="shared" si="16"/>
        <v>17345.828409015649</v>
      </c>
      <c r="H117" s="48">
        <f t="shared" si="16"/>
        <v>219.42349992478384</v>
      </c>
      <c r="I117" s="49"/>
      <c r="J117" s="49"/>
      <c r="K117" s="49"/>
      <c r="L117" s="24"/>
      <c r="M117" s="24"/>
      <c r="N117" s="24"/>
      <c r="O117" s="24"/>
      <c r="P117" s="24"/>
      <c r="Q117" s="24"/>
      <c r="R117" s="24"/>
    </row>
    <row r="118" spans="1:18" x14ac:dyDescent="0.25">
      <c r="A118" s="24"/>
      <c r="B118" s="28">
        <v>5</v>
      </c>
      <c r="C118" s="48">
        <f t="shared" si="16"/>
        <v>4541.2450131503174</v>
      </c>
      <c r="D118" s="48">
        <f t="shared" si="16"/>
        <v>6522.9574244929127</v>
      </c>
      <c r="E118" s="48">
        <f t="shared" si="16"/>
        <v>1807.9345539008245</v>
      </c>
      <c r="F118" s="48">
        <f t="shared" si="16"/>
        <v>13524.691035535125</v>
      </c>
      <c r="G118" s="48">
        <f t="shared" si="16"/>
        <v>43618.904652543315</v>
      </c>
      <c r="H118" s="49"/>
      <c r="I118" s="49"/>
      <c r="J118" s="49"/>
      <c r="K118" s="49"/>
      <c r="L118" s="24"/>
      <c r="M118" s="24"/>
      <c r="N118" s="24"/>
      <c r="O118" s="24"/>
      <c r="P118" s="24"/>
      <c r="Q118" s="24"/>
      <c r="R118" s="24"/>
    </row>
    <row r="119" spans="1:18" x14ac:dyDescent="0.25">
      <c r="A119" s="24"/>
      <c r="B119" s="28">
        <v>6</v>
      </c>
      <c r="C119" s="48">
        <f t="shared" si="16"/>
        <v>6809.7529386956294</v>
      </c>
      <c r="D119" s="48">
        <f t="shared" si="16"/>
        <v>22835.533558850017</v>
      </c>
      <c r="E119" s="48">
        <f t="shared" si="16"/>
        <v>9091.8785773260552</v>
      </c>
      <c r="F119" s="48">
        <f t="shared" si="16"/>
        <v>81.293779318524727</v>
      </c>
      <c r="G119" s="49"/>
      <c r="H119" s="49"/>
      <c r="I119" s="49"/>
      <c r="J119" s="49"/>
      <c r="K119" s="49"/>
      <c r="L119" s="24"/>
      <c r="M119" s="24"/>
      <c r="N119" s="24"/>
      <c r="O119" s="24"/>
      <c r="P119" s="24"/>
      <c r="Q119" s="24"/>
      <c r="R119" s="24"/>
    </row>
    <row r="120" spans="1:18" x14ac:dyDescent="0.25">
      <c r="A120" s="24"/>
      <c r="B120" s="28">
        <v>7</v>
      </c>
      <c r="C120" s="48">
        <f>C105^2</f>
        <v>1648.5691300349142</v>
      </c>
      <c r="D120" s="48">
        <f>D105^2</f>
        <v>8075.1129065892201</v>
      </c>
      <c r="E120" s="48">
        <f>E105^2</f>
        <v>33830.47403916443</v>
      </c>
      <c r="F120" s="49"/>
      <c r="G120" s="49"/>
      <c r="H120" s="49"/>
      <c r="I120" s="49"/>
      <c r="J120" s="49"/>
      <c r="K120" s="49"/>
      <c r="L120" s="24"/>
      <c r="M120" s="24"/>
      <c r="N120" s="24"/>
      <c r="O120" s="24"/>
      <c r="P120" s="24"/>
      <c r="Q120" s="24"/>
      <c r="R120" s="24"/>
    </row>
    <row r="121" spans="1:18" x14ac:dyDescent="0.25">
      <c r="A121" s="24"/>
      <c r="B121" s="28">
        <v>8</v>
      </c>
      <c r="C121" s="48">
        <f>C106^2</f>
        <v>2520.931346362514</v>
      </c>
      <c r="D121" s="48">
        <f>D106^2</f>
        <v>2286.6485286959419</v>
      </c>
      <c r="E121" s="49"/>
      <c r="F121" s="49"/>
      <c r="G121" s="49"/>
      <c r="H121" s="49"/>
      <c r="I121" s="49"/>
      <c r="J121" s="49"/>
      <c r="K121" s="49"/>
      <c r="L121" s="24"/>
      <c r="M121" s="24"/>
      <c r="N121" s="24"/>
      <c r="O121" s="24"/>
      <c r="P121" s="24"/>
      <c r="Q121" s="24"/>
      <c r="R121" s="24"/>
    </row>
    <row r="122" spans="1:18" x14ac:dyDescent="0.25">
      <c r="A122" s="24"/>
      <c r="B122" s="28">
        <v>9</v>
      </c>
      <c r="C122" s="48">
        <f>C107^2</f>
        <v>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</row>
    <row r="123" spans="1:18" x14ac:dyDescent="0.2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</row>
    <row r="124" spans="1:18" x14ac:dyDescent="0.25">
      <c r="A124" s="24"/>
      <c r="B124" s="24"/>
      <c r="C124" s="28" t="s">
        <v>79</v>
      </c>
      <c r="D124" s="24"/>
      <c r="E124" s="40">
        <f>SUM(C113:L122)</f>
        <v>1153094.8072260562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</row>
    <row r="125" spans="1:18" x14ac:dyDescent="0.2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</row>
    <row r="126" spans="1:18" x14ac:dyDescent="0.2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</row>
    <row r="127" spans="1:18" x14ac:dyDescent="0.25">
      <c r="A127" s="24"/>
      <c r="B127" s="24"/>
      <c r="C127" s="42" t="s">
        <v>80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</row>
    <row r="128" spans="1:18" x14ac:dyDescent="0.2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</row>
    <row r="129" spans="1:18" x14ac:dyDescent="0.25">
      <c r="A129" s="24"/>
      <c r="B129" s="24"/>
      <c r="C129" s="28">
        <v>0</v>
      </c>
      <c r="D129" s="28">
        <v>1</v>
      </c>
      <c r="E129" s="28">
        <v>2</v>
      </c>
      <c r="F129" s="28">
        <v>3</v>
      </c>
      <c r="G129" s="28">
        <v>4</v>
      </c>
      <c r="H129" s="28">
        <v>5</v>
      </c>
      <c r="I129" s="28">
        <v>6</v>
      </c>
      <c r="J129" s="28">
        <v>7</v>
      </c>
      <c r="K129" s="28">
        <v>8</v>
      </c>
      <c r="L129" s="28">
        <v>9</v>
      </c>
      <c r="M129" s="50"/>
      <c r="N129" s="24"/>
      <c r="O129" s="24"/>
      <c r="P129" s="24"/>
      <c r="Q129" s="24"/>
      <c r="R129" s="24"/>
    </row>
    <row r="130" spans="1:18" x14ac:dyDescent="0.25">
      <c r="A130" s="24"/>
      <c r="B130" s="28">
        <v>0</v>
      </c>
      <c r="C130" s="48">
        <f t="shared" ref="C130:L135" si="17">SQRT($E$6/$E$8)*C98/SQRT($E$9)</f>
        <v>1.5420047040098801</v>
      </c>
      <c r="D130" s="48">
        <f t="shared" si="17"/>
        <v>0.51188116661938954</v>
      </c>
      <c r="E130" s="48">
        <f t="shared" si="17"/>
        <v>-0.30312876988451043</v>
      </c>
      <c r="F130" s="48">
        <f t="shared" si="17"/>
        <v>-1.1716287470969728</v>
      </c>
      <c r="G130" s="48">
        <f t="shared" si="17"/>
        <v>-0.79457301830901461</v>
      </c>
      <c r="H130" s="48">
        <f t="shared" si="17"/>
        <v>0.92703260820051614</v>
      </c>
      <c r="I130" s="48">
        <f t="shared" si="17"/>
        <v>0.69347540327215518</v>
      </c>
      <c r="J130" s="48">
        <f t="shared" si="17"/>
        <v>-1.3985202756953843</v>
      </c>
      <c r="K130" s="48">
        <f t="shared" si="17"/>
        <v>-1.6802547262966934</v>
      </c>
      <c r="L130" s="48">
        <f t="shared" si="17"/>
        <v>8.9735736255877043E-15</v>
      </c>
      <c r="M130" s="50"/>
      <c r="N130" s="24"/>
      <c r="O130" s="24"/>
      <c r="P130" s="24"/>
      <c r="Q130" s="24"/>
      <c r="R130" s="24"/>
    </row>
    <row r="131" spans="1:18" x14ac:dyDescent="0.25">
      <c r="A131" s="24"/>
      <c r="B131" s="28">
        <v>1</v>
      </c>
      <c r="C131" s="48">
        <f t="shared" si="17"/>
        <v>0.89330255547782356</v>
      </c>
      <c r="D131" s="48">
        <f t="shared" si="17"/>
        <v>-1.0293888041247754</v>
      </c>
      <c r="E131" s="48">
        <f t="shared" si="17"/>
        <v>0.20869855421090197</v>
      </c>
      <c r="F131" s="48">
        <f t="shared" si="17"/>
        <v>-1.3709233136574519</v>
      </c>
      <c r="G131" s="48">
        <f t="shared" si="17"/>
        <v>-1.273426099792077</v>
      </c>
      <c r="H131" s="48">
        <f t="shared" si="17"/>
        <v>1.1238458078203364</v>
      </c>
      <c r="I131" s="48">
        <f t="shared" si="17"/>
        <v>-0.17295123367754689</v>
      </c>
      <c r="J131" s="48">
        <f t="shared" si="17"/>
        <v>1.1307405032853082</v>
      </c>
      <c r="K131" s="48">
        <f t="shared" si="17"/>
        <v>1.4590791139913359</v>
      </c>
      <c r="L131" s="24"/>
      <c r="M131" s="28"/>
      <c r="N131" s="24"/>
      <c r="O131" s="24"/>
      <c r="P131" s="24"/>
      <c r="Q131" s="24"/>
      <c r="R131" s="24"/>
    </row>
    <row r="132" spans="1:18" x14ac:dyDescent="0.25">
      <c r="A132" s="24"/>
      <c r="B132" s="28">
        <v>2</v>
      </c>
      <c r="C132" s="48">
        <f t="shared" si="17"/>
        <v>0.79804318845572397</v>
      </c>
      <c r="D132" s="48">
        <f t="shared" si="17"/>
        <v>2.4517557865400014E-2</v>
      </c>
      <c r="E132" s="48">
        <f t="shared" si="17"/>
        <v>3.5319144232737229E-2</v>
      </c>
      <c r="F132" s="48">
        <f t="shared" si="17"/>
        <v>0.47411634541000003</v>
      </c>
      <c r="G132" s="48">
        <f t="shared" si="17"/>
        <v>0.2935075769423271</v>
      </c>
      <c r="H132" s="48">
        <f t="shared" si="17"/>
        <v>-1.7477898279380535</v>
      </c>
      <c r="I132" s="48">
        <f t="shared" si="17"/>
        <v>-0.85577276967484217</v>
      </c>
      <c r="J132" s="48">
        <f t="shared" si="17"/>
        <v>8.513678712338249E-2</v>
      </c>
      <c r="K132" s="49"/>
      <c r="L132" s="24"/>
      <c r="M132" s="46"/>
      <c r="N132" s="24"/>
      <c r="O132" s="24"/>
      <c r="P132" s="24"/>
      <c r="Q132" s="24"/>
      <c r="R132" s="24"/>
    </row>
    <row r="133" spans="1:18" x14ac:dyDescent="0.25">
      <c r="A133" s="24"/>
      <c r="B133" s="28">
        <v>3</v>
      </c>
      <c r="C133" s="48">
        <f t="shared" si="17"/>
        <v>-1.1326445015953657</v>
      </c>
      <c r="D133" s="48">
        <f t="shared" si="17"/>
        <v>-1.0250994390664274</v>
      </c>
      <c r="E133" s="48">
        <f t="shared" si="17"/>
        <v>-1.4268696918976838</v>
      </c>
      <c r="F133" s="48">
        <f t="shared" si="17"/>
        <v>1.1179538987287942</v>
      </c>
      <c r="G133" s="48">
        <f t="shared" si="17"/>
        <v>3.8588870226046899</v>
      </c>
      <c r="H133" s="48">
        <f t="shared" si="17"/>
        <v>-9.4653151626640009E-2</v>
      </c>
      <c r="I133" s="48">
        <f t="shared" si="17"/>
        <v>0.37840655022201658</v>
      </c>
      <c r="J133" s="49"/>
      <c r="K133" s="49"/>
      <c r="L133" s="24"/>
      <c r="M133" s="24"/>
      <c r="N133" s="24"/>
      <c r="O133" s="24"/>
      <c r="P133" s="24"/>
      <c r="Q133" s="24"/>
      <c r="R133" s="24"/>
    </row>
    <row r="134" spans="1:18" x14ac:dyDescent="0.25">
      <c r="A134" s="24"/>
      <c r="B134" s="28">
        <v>4</v>
      </c>
      <c r="C134" s="48">
        <f t="shared" si="17"/>
        <v>8.0430840864125303E-2</v>
      </c>
      <c r="D134" s="48">
        <f t="shared" si="17"/>
        <v>0.23951154989740264</v>
      </c>
      <c r="E134" s="48">
        <f t="shared" si="17"/>
        <v>0.47680301549982473</v>
      </c>
      <c r="F134" s="48">
        <f t="shared" si="17"/>
        <v>-9.2871660142711629E-2</v>
      </c>
      <c r="G134" s="48">
        <f t="shared" si="17"/>
        <v>-0.90959142925970682</v>
      </c>
      <c r="H134" s="48">
        <f t="shared" si="17"/>
        <v>-0.102303479635726</v>
      </c>
      <c r="I134" s="49"/>
      <c r="J134" s="49"/>
      <c r="K134" s="49"/>
      <c r="L134" s="24"/>
      <c r="M134" s="24"/>
      <c r="N134" s="24"/>
      <c r="O134" s="24"/>
      <c r="P134" s="24"/>
      <c r="Q134" s="24"/>
      <c r="R134" s="24"/>
    </row>
    <row r="135" spans="1:18" x14ac:dyDescent="0.25">
      <c r="A135" s="24"/>
      <c r="B135" s="28">
        <v>5</v>
      </c>
      <c r="C135" s="48">
        <f t="shared" si="17"/>
        <v>-0.46541063554462642</v>
      </c>
      <c r="D135" s="48">
        <f t="shared" si="17"/>
        <v>0.5577904938217465</v>
      </c>
      <c r="E135" s="48">
        <f t="shared" si="17"/>
        <v>0.29365688603523632</v>
      </c>
      <c r="F135" s="48">
        <f t="shared" si="17"/>
        <v>0.80317931079416582</v>
      </c>
      <c r="G135" s="48">
        <f t="shared" si="17"/>
        <v>-1.4424016625810094</v>
      </c>
      <c r="H135" s="49"/>
      <c r="I135" s="49"/>
      <c r="J135" s="49"/>
      <c r="K135" s="49"/>
      <c r="L135" s="24"/>
      <c r="M135" s="24"/>
      <c r="N135" s="24"/>
      <c r="O135" s="24"/>
      <c r="P135" s="24"/>
      <c r="Q135" s="24"/>
      <c r="R135" s="24"/>
    </row>
    <row r="136" spans="1:18" x14ac:dyDescent="0.25">
      <c r="A136" s="24"/>
      <c r="B136" s="28">
        <v>6</v>
      </c>
      <c r="C136" s="48">
        <f>SQRT($E$6/$E$8)*C104/SQRT($E$9)</f>
        <v>-0.56992080924530164</v>
      </c>
      <c r="D136" s="48">
        <f>SQRT($E$6/$E$8)*D104/SQRT($E$9)</f>
        <v>1.0436488966337334</v>
      </c>
      <c r="E136" s="48">
        <f>SQRT($E$6/$E$8)*E104/SQRT($E$9)</f>
        <v>-0.65853012982633763</v>
      </c>
      <c r="F136" s="48">
        <f>SQRT($E$6/$E$8)*F104/SQRT($E$9)</f>
        <v>-6.2269803273010578E-2</v>
      </c>
      <c r="G136" s="49"/>
      <c r="H136" s="49"/>
      <c r="I136" s="49"/>
      <c r="J136" s="49"/>
      <c r="K136" s="49"/>
      <c r="L136" s="24"/>
      <c r="M136" s="24"/>
      <c r="N136" s="24"/>
      <c r="O136" s="24"/>
      <c r="P136" s="24"/>
      <c r="Q136" s="24"/>
      <c r="R136" s="24"/>
    </row>
    <row r="137" spans="1:18" x14ac:dyDescent="0.25">
      <c r="A137" s="24"/>
      <c r="B137" s="28">
        <v>7</v>
      </c>
      <c r="C137" s="48">
        <f>SQRT($E$6/$E$8)*C105/SQRT($E$9)</f>
        <v>-0.28041575993081214</v>
      </c>
      <c r="D137" s="48">
        <f>SQRT($E$6/$E$8)*D105/SQRT($E$9)</f>
        <v>-0.62061624347693123</v>
      </c>
      <c r="E137" s="48">
        <f>SQRT($E$6/$E$8)*E105/SQRT($E$9)</f>
        <v>1.2702899969172052</v>
      </c>
      <c r="F137" s="49"/>
      <c r="G137" s="49"/>
      <c r="H137" s="49"/>
      <c r="I137" s="49"/>
      <c r="J137" s="49"/>
      <c r="K137" s="49"/>
      <c r="L137" s="24"/>
      <c r="M137" s="24"/>
      <c r="N137" s="24"/>
      <c r="O137" s="24"/>
      <c r="P137" s="24"/>
      <c r="Q137" s="24"/>
      <c r="R137" s="24"/>
    </row>
    <row r="138" spans="1:18" x14ac:dyDescent="0.25">
      <c r="A138" s="24"/>
      <c r="B138" s="28">
        <v>8</v>
      </c>
      <c r="C138" s="48">
        <f>SQRT($E$6/$E$8)*C106/SQRT($E$9)</f>
        <v>-0.3467602806814965</v>
      </c>
      <c r="D138" s="48">
        <f>SQRT($E$6/$E$8)*D106/SQRT($E$9)</f>
        <v>0.33025434841753604</v>
      </c>
      <c r="E138" s="49"/>
      <c r="F138" s="49"/>
      <c r="G138" s="49"/>
      <c r="H138" s="49"/>
      <c r="I138" s="49"/>
      <c r="J138" s="49"/>
      <c r="K138" s="49"/>
      <c r="L138" s="24"/>
      <c r="M138" s="24"/>
      <c r="N138" s="24"/>
      <c r="O138" s="24"/>
      <c r="P138" s="24"/>
      <c r="Q138" s="24"/>
      <c r="R138" s="24"/>
    </row>
    <row r="139" spans="1:18" x14ac:dyDescent="0.25">
      <c r="A139" s="24"/>
      <c r="B139" s="28">
        <v>9</v>
      </c>
      <c r="C139" s="48">
        <f>SQRT($E$6/$E$8)*C107/SQRT($E$9)</f>
        <v>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</row>
    <row r="140" spans="1:18" x14ac:dyDescent="0.25">
      <c r="A140" s="24"/>
      <c r="B140" s="24"/>
      <c r="C140" s="28"/>
      <c r="D140" s="50"/>
      <c r="E140" s="46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</row>
    <row r="141" spans="1:18" x14ac:dyDescent="0.25">
      <c r="A141" s="24"/>
      <c r="B141" s="28" t="s">
        <v>81</v>
      </c>
      <c r="C141" s="51">
        <f>IF(E4=TRUE,COUNT(C130:K138),COUNT(C130:J139))</f>
        <v>53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</row>
    <row r="142" spans="1:18" x14ac:dyDescent="0.25">
      <c r="A142" s="24"/>
      <c r="B142" s="44" t="s">
        <v>82</v>
      </c>
      <c r="C142" s="52">
        <f>SUM(C130:L139)/C141</f>
        <v>-7.1170271052340668E-3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</row>
    <row r="143" spans="1:18" x14ac:dyDescent="0.2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</row>
    <row r="144" spans="1:18" x14ac:dyDescent="0.2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</row>
    <row r="145" spans="1:18" x14ac:dyDescent="0.25">
      <c r="A145" s="24"/>
      <c r="B145" s="24"/>
      <c r="C145" s="42" t="s">
        <v>83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</row>
    <row r="146" spans="1:18" x14ac:dyDescent="0.2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</row>
    <row r="147" spans="1:18" x14ac:dyDescent="0.25">
      <c r="A147" s="24"/>
      <c r="B147" s="24"/>
      <c r="C147" s="28">
        <v>0</v>
      </c>
      <c r="D147" s="28">
        <v>1</v>
      </c>
      <c r="E147" s="28">
        <v>2</v>
      </c>
      <c r="F147" s="28">
        <v>3</v>
      </c>
      <c r="G147" s="28">
        <v>4</v>
      </c>
      <c r="H147" s="28">
        <v>5</v>
      </c>
      <c r="I147" s="28">
        <v>6</v>
      </c>
      <c r="J147" s="28">
        <v>7</v>
      </c>
      <c r="K147" s="28">
        <v>8</v>
      </c>
      <c r="L147" s="28">
        <v>9</v>
      </c>
      <c r="M147" s="24"/>
      <c r="N147" s="24"/>
      <c r="O147" s="24"/>
      <c r="P147" s="24"/>
      <c r="Q147" s="24"/>
      <c r="R147" s="24"/>
    </row>
    <row r="148" spans="1:18" x14ac:dyDescent="0.25">
      <c r="A148" s="24"/>
      <c r="B148" s="28">
        <v>0</v>
      </c>
      <c r="C148" s="48">
        <f t="shared" ref="C148:L153" si="18">C130-$C$159</f>
        <v>1.5491217311151142</v>
      </c>
      <c r="D148" s="48">
        <f t="shared" si="18"/>
        <v>0.51899819372462364</v>
      </c>
      <c r="E148" s="48">
        <f t="shared" si="18"/>
        <v>-0.29601174277927639</v>
      </c>
      <c r="F148" s="48">
        <f t="shared" si="18"/>
        <v>-1.1645117199917387</v>
      </c>
      <c r="G148" s="48">
        <f t="shared" si="18"/>
        <v>-0.78745599120378051</v>
      </c>
      <c r="H148" s="48">
        <f t="shared" si="18"/>
        <v>0.93414963530575024</v>
      </c>
      <c r="I148" s="48">
        <f t="shared" si="18"/>
        <v>0.70059243037738927</v>
      </c>
      <c r="J148" s="48">
        <f t="shared" si="18"/>
        <v>-1.3914032485901502</v>
      </c>
      <c r="K148" s="48">
        <f t="shared" si="18"/>
        <v>-1.6731376991914593</v>
      </c>
      <c r="L148" s="48">
        <f t="shared" si="18"/>
        <v>7.1170271052430406E-3</v>
      </c>
      <c r="M148" s="24"/>
      <c r="N148" s="24"/>
      <c r="O148" s="24"/>
      <c r="P148" s="24"/>
      <c r="Q148" s="24"/>
      <c r="R148" s="24"/>
    </row>
    <row r="149" spans="1:18" x14ac:dyDescent="0.25">
      <c r="A149" s="24"/>
      <c r="B149" s="28">
        <v>1</v>
      </c>
      <c r="C149" s="48">
        <f t="shared" si="18"/>
        <v>0.90041958258305765</v>
      </c>
      <c r="D149" s="48">
        <f t="shared" si="18"/>
        <v>-1.0222717770195413</v>
      </c>
      <c r="E149" s="48">
        <f t="shared" si="18"/>
        <v>0.21581558131613604</v>
      </c>
      <c r="F149" s="48">
        <f t="shared" si="18"/>
        <v>-1.3638062865522178</v>
      </c>
      <c r="G149" s="48">
        <f t="shared" si="18"/>
        <v>-1.2663090726868429</v>
      </c>
      <c r="H149" s="48">
        <f t="shared" si="18"/>
        <v>1.1309628349255705</v>
      </c>
      <c r="I149" s="48">
        <f t="shared" si="18"/>
        <v>-0.16583420657231282</v>
      </c>
      <c r="J149" s="48">
        <f t="shared" si="18"/>
        <v>1.1378575303905423</v>
      </c>
      <c r="K149" s="48">
        <f t="shared" si="18"/>
        <v>1.46619614109657</v>
      </c>
      <c r="L149" s="24"/>
      <c r="M149" s="24"/>
      <c r="N149" s="24"/>
      <c r="O149" s="24"/>
      <c r="P149" s="24"/>
      <c r="Q149" s="24"/>
      <c r="R149" s="24"/>
    </row>
    <row r="150" spans="1:18" x14ac:dyDescent="0.25">
      <c r="A150" s="24"/>
      <c r="B150" s="28">
        <v>2</v>
      </c>
      <c r="C150" s="48">
        <f t="shared" si="18"/>
        <v>0.80516021556095807</v>
      </c>
      <c r="D150" s="48">
        <f t="shared" si="18"/>
        <v>3.163458497063408E-2</v>
      </c>
      <c r="E150" s="48">
        <f t="shared" si="18"/>
        <v>4.2436171337971298E-2</v>
      </c>
      <c r="F150" s="48">
        <f t="shared" si="18"/>
        <v>0.48123337251523407</v>
      </c>
      <c r="G150" s="48">
        <f t="shared" si="18"/>
        <v>0.30062460404756114</v>
      </c>
      <c r="H150" s="48">
        <f t="shared" si="18"/>
        <v>-1.7406728008328194</v>
      </c>
      <c r="I150" s="48">
        <f t="shared" si="18"/>
        <v>-0.84865574256960807</v>
      </c>
      <c r="J150" s="48">
        <f t="shared" si="18"/>
        <v>9.225381422861656E-2</v>
      </c>
      <c r="K150" s="49"/>
      <c r="L150" s="24"/>
      <c r="M150" s="24"/>
      <c r="N150" s="24"/>
      <c r="O150" s="24"/>
      <c r="P150" s="24"/>
      <c r="Q150" s="24"/>
      <c r="R150" s="24"/>
    </row>
    <row r="151" spans="1:18" x14ac:dyDescent="0.25">
      <c r="A151" s="24"/>
      <c r="B151" s="28">
        <v>3</v>
      </c>
      <c r="C151" s="48">
        <f t="shared" si="18"/>
        <v>-1.1255274744901316</v>
      </c>
      <c r="D151" s="48">
        <f t="shared" si="18"/>
        <v>-1.0179824119611933</v>
      </c>
      <c r="E151" s="48">
        <f t="shared" si="18"/>
        <v>-1.4197526647924497</v>
      </c>
      <c r="F151" s="48">
        <f t="shared" si="18"/>
        <v>1.1250709258340283</v>
      </c>
      <c r="G151" s="48">
        <f t="shared" si="18"/>
        <v>3.866004049709924</v>
      </c>
      <c r="H151" s="48">
        <f t="shared" si="18"/>
        <v>-8.7536124521405939E-2</v>
      </c>
      <c r="I151" s="48">
        <f t="shared" si="18"/>
        <v>0.38552357732725062</v>
      </c>
      <c r="J151" s="49"/>
      <c r="K151" s="49"/>
      <c r="L151" s="24"/>
      <c r="M151" s="24"/>
      <c r="N151" s="24"/>
      <c r="O151" s="24"/>
      <c r="P151" s="24"/>
      <c r="Q151" s="24"/>
      <c r="R151" s="24"/>
    </row>
    <row r="152" spans="1:18" x14ac:dyDescent="0.25">
      <c r="A152" s="24"/>
      <c r="B152" s="28">
        <v>4</v>
      </c>
      <c r="C152" s="48">
        <f t="shared" si="18"/>
        <v>8.7547867969359372E-2</v>
      </c>
      <c r="D152" s="48">
        <f t="shared" si="18"/>
        <v>0.24662857700263671</v>
      </c>
      <c r="E152" s="48">
        <f t="shared" si="18"/>
        <v>0.48392004260505878</v>
      </c>
      <c r="F152" s="48">
        <f t="shared" si="18"/>
        <v>-8.5754633037477559E-2</v>
      </c>
      <c r="G152" s="48">
        <f t="shared" si="18"/>
        <v>-0.90247440215447272</v>
      </c>
      <c r="H152" s="48">
        <f t="shared" si="18"/>
        <v>-9.5186452530491933E-2</v>
      </c>
      <c r="I152" s="49"/>
      <c r="J152" s="49"/>
      <c r="K152" s="49"/>
      <c r="L152" s="24"/>
      <c r="M152" s="24"/>
      <c r="N152" s="24"/>
      <c r="O152" s="24"/>
      <c r="P152" s="24"/>
      <c r="Q152" s="24"/>
      <c r="R152" s="24"/>
    </row>
    <row r="153" spans="1:18" x14ac:dyDescent="0.25">
      <c r="A153" s="24"/>
      <c r="B153" s="28">
        <v>5</v>
      </c>
      <c r="C153" s="48">
        <f t="shared" si="18"/>
        <v>-0.45829360843939237</v>
      </c>
      <c r="D153" s="48">
        <f t="shared" si="18"/>
        <v>0.5649075209269806</v>
      </c>
      <c r="E153" s="48">
        <f t="shared" si="18"/>
        <v>0.30077391314047036</v>
      </c>
      <c r="F153" s="48">
        <f t="shared" si="18"/>
        <v>0.81029633789939992</v>
      </c>
      <c r="G153" s="48">
        <f t="shared" si="18"/>
        <v>-1.4352846354757753</v>
      </c>
      <c r="H153" s="49"/>
      <c r="I153" s="49"/>
      <c r="J153" s="49"/>
      <c r="K153" s="49"/>
      <c r="L153" s="24"/>
      <c r="M153" s="24"/>
      <c r="N153" s="24"/>
      <c r="O153" s="24"/>
      <c r="P153" s="24"/>
      <c r="Q153" s="24"/>
      <c r="R153" s="24"/>
    </row>
    <row r="154" spans="1:18" x14ac:dyDescent="0.25">
      <c r="A154" s="24"/>
      <c r="B154" s="28">
        <v>6</v>
      </c>
      <c r="C154" s="48">
        <f>C136-$C$159</f>
        <v>-0.56280378214006754</v>
      </c>
      <c r="D154" s="48">
        <f>D136-$C$159</f>
        <v>1.0507659237389675</v>
      </c>
      <c r="E154" s="48">
        <f>E136-$C$159</f>
        <v>-0.65141310272110353</v>
      </c>
      <c r="F154" s="48">
        <f>F136-$C$159</f>
        <v>-5.5152776167776509E-2</v>
      </c>
      <c r="G154" s="49"/>
      <c r="H154" s="49"/>
      <c r="I154" s="49"/>
      <c r="J154" s="49"/>
      <c r="K154" s="49"/>
      <c r="L154" s="24"/>
      <c r="M154" s="24"/>
      <c r="N154" s="24"/>
      <c r="O154" s="24"/>
      <c r="P154" s="24"/>
      <c r="Q154" s="24"/>
      <c r="R154" s="24"/>
    </row>
    <row r="155" spans="1:18" x14ac:dyDescent="0.25">
      <c r="A155" s="24"/>
      <c r="B155" s="28">
        <v>7</v>
      </c>
      <c r="C155" s="48">
        <f>C137-$C$159</f>
        <v>-0.27329873282557809</v>
      </c>
      <c r="D155" s="48">
        <f>D137-$C$159</f>
        <v>-0.61349921637169713</v>
      </c>
      <c r="E155" s="48">
        <f>E137-$C$159</f>
        <v>1.2774070240224393</v>
      </c>
      <c r="F155" s="49"/>
      <c r="G155" s="49"/>
      <c r="H155" s="49"/>
      <c r="I155" s="49"/>
      <c r="J155" s="49"/>
      <c r="K155" s="49"/>
      <c r="L155" s="24"/>
      <c r="M155" s="24"/>
      <c r="N155" s="24"/>
      <c r="O155" s="24"/>
      <c r="P155" s="24"/>
      <c r="Q155" s="24"/>
      <c r="R155" s="24"/>
    </row>
    <row r="156" spans="1:18" x14ac:dyDescent="0.25">
      <c r="A156" s="24"/>
      <c r="B156" s="28">
        <v>8</v>
      </c>
      <c r="C156" s="48">
        <f>C138-$C$159</f>
        <v>-0.33964325357626246</v>
      </c>
      <c r="D156" s="48">
        <f>D138-$C$159</f>
        <v>0.33737137552277008</v>
      </c>
      <c r="E156" s="49"/>
      <c r="F156" s="49"/>
      <c r="G156" s="49"/>
      <c r="H156" s="49"/>
      <c r="I156" s="49"/>
      <c r="J156" s="49"/>
      <c r="K156" s="49"/>
      <c r="L156" s="24"/>
      <c r="M156" s="24"/>
      <c r="N156" s="24"/>
      <c r="O156" s="24"/>
      <c r="P156" s="24"/>
      <c r="Q156" s="24"/>
      <c r="R156" s="24"/>
    </row>
    <row r="157" spans="1:18" x14ac:dyDescent="0.25">
      <c r="A157" s="24"/>
      <c r="B157" s="28">
        <v>9</v>
      </c>
      <c r="C157" s="48">
        <f>C139-$C$159</f>
        <v>7.1170271052340668E-3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</row>
    <row r="158" spans="1:18" x14ac:dyDescent="0.25">
      <c r="A158" s="24"/>
      <c r="B158" s="28"/>
      <c r="C158" s="46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</row>
    <row r="159" spans="1:18" x14ac:dyDescent="0.25">
      <c r="A159" s="24"/>
      <c r="B159" s="44" t="s">
        <v>84</v>
      </c>
      <c r="C159" s="52">
        <f>IF($E$5=TRUE,C142,0)</f>
        <v>-7.1170271052340668E-3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</row>
    <row r="160" spans="1:18" x14ac:dyDescent="0.25">
      <c r="A160" s="24"/>
      <c r="B160" s="44"/>
      <c r="C160" s="46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</row>
    <row r="161" spans="1:18" x14ac:dyDescent="0.2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</row>
    <row r="162" spans="1:18" x14ac:dyDescent="0.25">
      <c r="A162" s="24"/>
      <c r="B162" s="24"/>
      <c r="C162" s="42" t="s">
        <v>85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</row>
    <row r="163" spans="1:18" x14ac:dyDescent="0.25">
      <c r="A163" s="24"/>
      <c r="B163" s="24"/>
      <c r="C163" s="28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</row>
    <row r="164" spans="1:18" x14ac:dyDescent="0.25">
      <c r="A164" s="24"/>
      <c r="B164" s="24"/>
      <c r="C164" s="28">
        <v>0</v>
      </c>
      <c r="D164" s="28">
        <v>1</v>
      </c>
      <c r="E164" s="28">
        <v>2</v>
      </c>
      <c r="F164" s="28">
        <v>3</v>
      </c>
      <c r="G164" s="28">
        <v>4</v>
      </c>
      <c r="H164" s="28">
        <v>5</v>
      </c>
      <c r="I164" s="28">
        <v>6</v>
      </c>
      <c r="J164" s="28">
        <v>7</v>
      </c>
      <c r="K164" s="28">
        <v>8</v>
      </c>
      <c r="L164" s="28">
        <v>9</v>
      </c>
      <c r="M164" s="24"/>
      <c r="N164" s="24"/>
      <c r="O164" s="24"/>
      <c r="P164" s="24"/>
      <c r="Q164" s="24"/>
      <c r="R164" s="24"/>
    </row>
    <row r="165" spans="1:18" x14ac:dyDescent="0.25">
      <c r="A165" s="24"/>
      <c r="B165" s="28">
        <v>0</v>
      </c>
      <c r="C165" s="48">
        <f t="shared" ref="C165:C174" ca="1" si="19">F272</f>
        <v>-1.4352846354757753</v>
      </c>
      <c r="D165" s="48">
        <f ca="1">F282</f>
        <v>0.38552357732725062</v>
      </c>
      <c r="E165" s="48">
        <f ca="1">F291</f>
        <v>-0.45829360843939237</v>
      </c>
      <c r="F165" s="48">
        <f ca="1">F299</f>
        <v>-1.7406728008328194</v>
      </c>
      <c r="G165" s="48">
        <f ca="1">F306</f>
        <v>0.80516021556095807</v>
      </c>
      <c r="H165" s="48">
        <f ca="1">F312</f>
        <v>1.1309628349255705</v>
      </c>
      <c r="I165" s="48">
        <f ca="1">F317</f>
        <v>-8.7536124521405939E-2</v>
      </c>
      <c r="J165" s="48">
        <f ca="1">F321</f>
        <v>0.51899819372462364</v>
      </c>
      <c r="K165" s="48">
        <f ca="1">F324</f>
        <v>-1.3914032485901502</v>
      </c>
      <c r="L165" s="48">
        <f ca="1">F326</f>
        <v>-0.65141310272110353</v>
      </c>
      <c r="M165" s="24"/>
      <c r="N165" s="24"/>
      <c r="O165" s="24"/>
      <c r="P165" s="24"/>
      <c r="Q165" s="24"/>
      <c r="R165" s="24"/>
    </row>
    <row r="166" spans="1:18" x14ac:dyDescent="0.25">
      <c r="A166" s="24"/>
      <c r="B166" s="28">
        <v>1</v>
      </c>
      <c r="C166" s="48">
        <f t="shared" ca="1" si="19"/>
        <v>-1.4197526647924497</v>
      </c>
      <c r="D166" s="48">
        <f ca="1">F283</f>
        <v>0.93414963530575024</v>
      </c>
      <c r="E166" s="48">
        <f ca="1">F292</f>
        <v>-1.3638062865522178</v>
      </c>
      <c r="F166" s="48">
        <f ca="1">F300</f>
        <v>-0.29601174277927639</v>
      </c>
      <c r="G166" s="48">
        <f ca="1">F307</f>
        <v>9.225381422861656E-2</v>
      </c>
      <c r="H166" s="48">
        <f t="shared" ref="H166:H169" ca="1" si="20">F313</f>
        <v>-0.90247440215447272</v>
      </c>
      <c r="I166" s="48">
        <f t="shared" ref="I166:I168" ca="1" si="21">F318</f>
        <v>-0.45829360843939237</v>
      </c>
      <c r="J166" s="48">
        <f ca="1">F322</f>
        <v>1.1378575303905423</v>
      </c>
      <c r="K166" s="48">
        <f ca="1">F325</f>
        <v>-8.5754633037477559E-2</v>
      </c>
      <c r="L166" s="24"/>
      <c r="M166" s="24"/>
      <c r="N166" s="24"/>
      <c r="O166" s="24"/>
      <c r="P166" s="24"/>
      <c r="Q166" s="24"/>
      <c r="R166" s="24"/>
    </row>
    <row r="167" spans="1:18" x14ac:dyDescent="0.25">
      <c r="A167" s="24"/>
      <c r="B167" s="28">
        <v>2</v>
      </c>
      <c r="C167" s="48">
        <f t="shared" ca="1" si="19"/>
        <v>-1.3914032485901502</v>
      </c>
      <c r="D167" s="48">
        <f t="shared" ref="D167:D173" ca="1" si="22">F284</f>
        <v>0.48392004260505878</v>
      </c>
      <c r="E167" s="48">
        <f t="shared" ref="E167:E172" ca="1" si="23">F293</f>
        <v>0.30062460404756114</v>
      </c>
      <c r="F167" s="48">
        <f t="shared" ref="F167:F171" ca="1" si="24">F301</f>
        <v>7.1170271052430406E-3</v>
      </c>
      <c r="G167" s="48">
        <f t="shared" ref="G167:G170" ca="1" si="25">F308</f>
        <v>-5.5152776167776509E-2</v>
      </c>
      <c r="H167" s="48">
        <f t="shared" ca="1" si="20"/>
        <v>-8.7536124521405939E-2</v>
      </c>
      <c r="I167" s="48">
        <f t="shared" ca="1" si="21"/>
        <v>-1.2663090726868429</v>
      </c>
      <c r="J167" s="48">
        <f ca="1">F323</f>
        <v>-0.65141310272110353</v>
      </c>
      <c r="K167" s="49"/>
      <c r="L167" s="24"/>
      <c r="M167" s="24"/>
      <c r="N167" s="24"/>
      <c r="O167" s="24"/>
      <c r="P167" s="24"/>
      <c r="Q167" s="24"/>
      <c r="R167" s="24"/>
    </row>
    <row r="168" spans="1:18" x14ac:dyDescent="0.25">
      <c r="A168" s="24"/>
      <c r="B168" s="28">
        <v>3</v>
      </c>
      <c r="C168" s="48">
        <f t="shared" ca="1" si="19"/>
        <v>-0.84865574256960807</v>
      </c>
      <c r="D168" s="48">
        <f t="shared" ca="1" si="22"/>
        <v>-8.5754633037477559E-2</v>
      </c>
      <c r="E168" s="48">
        <f t="shared" ca="1" si="23"/>
        <v>3.866004049709924</v>
      </c>
      <c r="F168" s="48">
        <f t="shared" ca="1" si="24"/>
        <v>-0.33964325357626246</v>
      </c>
      <c r="G168" s="48">
        <f t="shared" ca="1" si="25"/>
        <v>7.1170271052340668E-3</v>
      </c>
      <c r="H168" s="48">
        <f t="shared" ca="1" si="20"/>
        <v>-0.61349921637169713</v>
      </c>
      <c r="I168" s="48">
        <f t="shared" ca="1" si="21"/>
        <v>0.21581558131613604</v>
      </c>
      <c r="J168" s="49"/>
      <c r="K168" s="49"/>
      <c r="L168" s="24"/>
      <c r="M168" s="24"/>
      <c r="N168" s="24"/>
      <c r="O168" s="24"/>
      <c r="P168" s="24"/>
      <c r="Q168" s="24"/>
      <c r="R168" s="24"/>
    </row>
    <row r="169" spans="1:18" x14ac:dyDescent="0.25">
      <c r="A169" s="24"/>
      <c r="B169" s="28">
        <v>4</v>
      </c>
      <c r="C169" s="48">
        <f t="shared" ca="1" si="19"/>
        <v>-1.1255274744901316</v>
      </c>
      <c r="D169" s="48">
        <f t="shared" ca="1" si="22"/>
        <v>-1.3638062865522178</v>
      </c>
      <c r="E169" s="48">
        <f t="shared" ca="1" si="23"/>
        <v>3.163458497063408E-2</v>
      </c>
      <c r="F169" s="48">
        <f t="shared" ca="1" si="24"/>
        <v>0.5649075209269806</v>
      </c>
      <c r="G169" s="48">
        <f t="shared" ca="1" si="25"/>
        <v>-1.6731376991914593</v>
      </c>
      <c r="H169" s="48">
        <f t="shared" ca="1" si="20"/>
        <v>-8.7536124521405939E-2</v>
      </c>
      <c r="I169" s="49"/>
      <c r="J169" s="49"/>
      <c r="K169" s="49"/>
      <c r="L169" s="24"/>
      <c r="M169" s="24"/>
      <c r="N169" s="24"/>
      <c r="O169" s="24"/>
      <c r="P169" s="24"/>
      <c r="Q169" s="24"/>
      <c r="R169" s="24"/>
    </row>
    <row r="170" spans="1:18" x14ac:dyDescent="0.25">
      <c r="A170" s="24"/>
      <c r="B170" s="28">
        <v>5</v>
      </c>
      <c r="C170" s="48">
        <f t="shared" ca="1" si="19"/>
        <v>-0.45829360843939237</v>
      </c>
      <c r="D170" s="48">
        <f t="shared" ca="1" si="22"/>
        <v>0.48123337251523407</v>
      </c>
      <c r="E170" s="48">
        <f t="shared" ca="1" si="23"/>
        <v>0.33737137552277008</v>
      </c>
      <c r="F170" s="48">
        <f t="shared" ca="1" si="24"/>
        <v>1.0507659237389675</v>
      </c>
      <c r="G170" s="48">
        <f t="shared" ca="1" si="25"/>
        <v>0.30077391314047036</v>
      </c>
      <c r="H170" s="49"/>
      <c r="I170" s="49"/>
      <c r="J170" s="49"/>
      <c r="K170" s="49"/>
      <c r="L170" s="24"/>
      <c r="M170" s="24"/>
      <c r="N170" s="24"/>
      <c r="O170" s="24"/>
      <c r="P170" s="24"/>
      <c r="Q170" s="24"/>
      <c r="R170" s="24"/>
    </row>
    <row r="171" spans="1:18" x14ac:dyDescent="0.25">
      <c r="A171" s="24"/>
      <c r="B171" s="28">
        <v>6</v>
      </c>
      <c r="C171" s="48">
        <f t="shared" ca="1" si="19"/>
        <v>-0.33964325357626246</v>
      </c>
      <c r="D171" s="48">
        <f t="shared" ca="1" si="22"/>
        <v>0.48123337251523407</v>
      </c>
      <c r="E171" s="48">
        <f t="shared" ca="1" si="23"/>
        <v>-0.84865574256960807</v>
      </c>
      <c r="F171" s="48">
        <f t="shared" ca="1" si="24"/>
        <v>-1.4197526647924497</v>
      </c>
      <c r="G171" s="49"/>
      <c r="H171" s="49"/>
      <c r="I171" s="49"/>
      <c r="J171" s="49"/>
      <c r="K171" s="49"/>
      <c r="L171" s="24"/>
      <c r="M171" s="24"/>
      <c r="N171" s="24"/>
      <c r="O171" s="24"/>
      <c r="P171" s="24"/>
      <c r="Q171" s="24"/>
      <c r="R171" s="24"/>
    </row>
    <row r="172" spans="1:18" x14ac:dyDescent="0.25">
      <c r="A172" s="24"/>
      <c r="B172" s="28">
        <v>7</v>
      </c>
      <c r="C172" s="48">
        <f t="shared" ca="1" si="19"/>
        <v>0.70059243037738927</v>
      </c>
      <c r="D172" s="48">
        <f t="shared" ca="1" si="22"/>
        <v>-9.5186452530491933E-2</v>
      </c>
      <c r="E172" s="48">
        <f t="shared" ca="1" si="23"/>
        <v>0.81029633789939992</v>
      </c>
      <c r="F172" s="49"/>
      <c r="G172" s="49"/>
      <c r="H172" s="49"/>
      <c r="I172" s="49"/>
      <c r="J172" s="49"/>
      <c r="K172" s="49"/>
      <c r="L172" s="24"/>
      <c r="M172" s="24"/>
      <c r="N172" s="24"/>
      <c r="O172" s="24"/>
      <c r="P172" s="24"/>
      <c r="Q172" s="24"/>
      <c r="R172" s="24"/>
    </row>
    <row r="173" spans="1:18" x14ac:dyDescent="0.25">
      <c r="A173" s="24"/>
      <c r="B173" s="28">
        <v>8</v>
      </c>
      <c r="C173" s="48">
        <f t="shared" ca="1" si="19"/>
        <v>-9.5186452530491933E-2</v>
      </c>
      <c r="D173" s="48">
        <f t="shared" ca="1" si="22"/>
        <v>-0.29601174277927639</v>
      </c>
      <c r="E173" s="49"/>
      <c r="F173" s="49"/>
      <c r="G173" s="49"/>
      <c r="H173" s="49"/>
      <c r="I173" s="49"/>
      <c r="J173" s="49"/>
      <c r="K173" s="49"/>
      <c r="L173" s="24"/>
      <c r="M173" s="24"/>
      <c r="N173" s="24"/>
      <c r="O173" s="24"/>
      <c r="P173" s="24"/>
      <c r="Q173" s="24"/>
      <c r="R173" s="24"/>
    </row>
    <row r="174" spans="1:18" x14ac:dyDescent="0.25">
      <c r="A174" s="24"/>
      <c r="B174" s="28">
        <v>9</v>
      </c>
      <c r="C174" s="48">
        <f t="shared" ca="1" si="19"/>
        <v>3.163458497063408E-2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</row>
    <row r="175" spans="1:18" x14ac:dyDescent="0.2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</row>
    <row r="176" spans="1:18" x14ac:dyDescent="0.2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</row>
    <row r="177" spans="1:18" x14ac:dyDescent="0.25">
      <c r="A177" s="24"/>
      <c r="B177" s="24"/>
      <c r="C177" s="42" t="s">
        <v>86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</row>
    <row r="178" spans="1:18" x14ac:dyDescent="0.25">
      <c r="A178" s="24"/>
      <c r="B178" s="24"/>
      <c r="C178" s="28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</row>
    <row r="179" spans="1:18" x14ac:dyDescent="0.25">
      <c r="A179" s="24"/>
      <c r="B179" s="24"/>
      <c r="C179" s="28">
        <v>0</v>
      </c>
      <c r="D179" s="28">
        <v>1</v>
      </c>
      <c r="E179" s="28">
        <v>2</v>
      </c>
      <c r="F179" s="28">
        <v>3</v>
      </c>
      <c r="G179" s="28">
        <v>4</v>
      </c>
      <c r="H179" s="28">
        <v>5</v>
      </c>
      <c r="I179" s="28">
        <v>6</v>
      </c>
      <c r="J179" s="28">
        <v>7</v>
      </c>
      <c r="K179" s="28">
        <v>8</v>
      </c>
      <c r="L179" s="28">
        <v>9</v>
      </c>
      <c r="M179" s="24"/>
      <c r="N179" s="24"/>
      <c r="O179" s="24"/>
      <c r="P179" s="24"/>
      <c r="Q179" s="24"/>
      <c r="R179" s="24"/>
    </row>
    <row r="180" spans="1:18" x14ac:dyDescent="0.25">
      <c r="A180" s="24"/>
      <c r="B180" s="28">
        <v>0</v>
      </c>
      <c r="C180" s="40">
        <f t="shared" ref="C180:L184" ca="1" si="26">C165*SQRT($E$9*C83)+C83</f>
        <v>638670.08925602073</v>
      </c>
      <c r="D180" s="40">
        <f t="shared" ca="1" si="26"/>
        <v>1037644.6193545173</v>
      </c>
      <c r="E180" s="40">
        <f t="shared" ca="1" si="26"/>
        <v>417089.80197782326</v>
      </c>
      <c r="F180" s="40">
        <f t="shared" ca="1" si="26"/>
        <v>213331.06857030391</v>
      </c>
      <c r="G180" s="40">
        <f t="shared" ca="1" si="26"/>
        <v>415355.32955123496</v>
      </c>
      <c r="H180" s="40">
        <f t="shared" ca="1" si="26"/>
        <v>401959.72859615932</v>
      </c>
      <c r="I180" s="40">
        <f t="shared" ca="1" si="26"/>
        <v>174969.04054493335</v>
      </c>
      <c r="J180" s="40">
        <f t="shared" ca="1" si="26"/>
        <v>251626.88859115719</v>
      </c>
      <c r="K180" s="40">
        <f t="shared" ca="1" si="26"/>
        <v>65483.852511768389</v>
      </c>
      <c r="L180" s="40">
        <f t="shared" ca="1" si="26"/>
        <v>86659.807887202871</v>
      </c>
      <c r="M180" s="24"/>
      <c r="N180" s="24"/>
      <c r="O180" s="24"/>
      <c r="P180" s="24"/>
      <c r="Q180" s="24"/>
      <c r="R180" s="24"/>
    </row>
    <row r="181" spans="1:18" x14ac:dyDescent="0.25">
      <c r="A181" s="24"/>
      <c r="B181" s="28">
        <v>1</v>
      </c>
      <c r="C181" s="40">
        <f t="shared" ca="1" si="26"/>
        <v>892028.85602692631</v>
      </c>
      <c r="D181" s="40">
        <f t="shared" ca="1" si="26"/>
        <v>1475557.121269434</v>
      </c>
      <c r="E181" s="40">
        <f t="shared" ca="1" si="26"/>
        <v>434552.12928939459</v>
      </c>
      <c r="F181" s="40">
        <f t="shared" ca="1" si="26"/>
        <v>509396.52379668452</v>
      </c>
      <c r="G181" s="40">
        <f t="shared" ca="1" si="26"/>
        <v>451626.00388843077</v>
      </c>
      <c r="H181" s="40">
        <f t="shared" ca="1" si="26"/>
        <v>287294.68968992674</v>
      </c>
      <c r="I181" s="40">
        <f t="shared" ca="1" si="26"/>
        <v>200633.51333261267</v>
      </c>
      <c r="J181" s="40">
        <f t="shared" ca="1" si="26"/>
        <v>384610.2166839795</v>
      </c>
      <c r="K181" s="40">
        <f t="shared" ca="1" si="26"/>
        <v>214708.58698216494</v>
      </c>
      <c r="L181" s="41"/>
      <c r="M181" s="24"/>
      <c r="N181" s="24"/>
      <c r="O181" s="24"/>
      <c r="P181" s="24"/>
      <c r="Q181" s="24"/>
      <c r="R181" s="24"/>
    </row>
    <row r="182" spans="1:18" x14ac:dyDescent="0.25">
      <c r="A182" s="24"/>
      <c r="B182" s="28">
        <v>2</v>
      </c>
      <c r="C182" s="40">
        <f t="shared" ca="1" si="26"/>
        <v>862758.80100551364</v>
      </c>
      <c r="D182" s="40">
        <f t="shared" ca="1" si="26"/>
        <v>1339161.2491686682</v>
      </c>
      <c r="E182" s="40">
        <f t="shared" ca="1" si="26"/>
        <v>648715.47342939104</v>
      </c>
      <c r="F182" s="40">
        <f t="shared" ca="1" si="26"/>
        <v>531069.45248353062</v>
      </c>
      <c r="G182" s="40">
        <f t="shared" ca="1" si="26"/>
        <v>419369.64193984907</v>
      </c>
      <c r="H182" s="40">
        <f t="shared" ca="1" si="26"/>
        <v>365220.90375405602</v>
      </c>
      <c r="I182" s="40">
        <f t="shared" ca="1" si="26"/>
        <v>123428.13137918584</v>
      </c>
      <c r="J182" s="40">
        <f t="shared" ca="1" si="26"/>
        <v>207656.31317096669</v>
      </c>
      <c r="K182" s="41"/>
      <c r="L182" s="41"/>
      <c r="M182" s="24"/>
      <c r="N182" s="24"/>
      <c r="O182" s="24"/>
      <c r="P182" s="24"/>
      <c r="Q182" s="24"/>
      <c r="R182" s="24"/>
    </row>
    <row r="183" spans="1:18" x14ac:dyDescent="0.25">
      <c r="A183" s="24"/>
      <c r="B183" s="28">
        <v>3</v>
      </c>
      <c r="C183" s="40">
        <f t="shared" ca="1" si="26"/>
        <v>1204056.8449697739</v>
      </c>
      <c r="D183" s="40">
        <f t="shared" ca="1" si="26"/>
        <v>1505365.419838472</v>
      </c>
      <c r="E183" s="40">
        <f t="shared" ca="1" si="26"/>
        <v>1341312.1083724713</v>
      </c>
      <c r="F183" s="40">
        <f t="shared" ca="1" si="26"/>
        <v>601303.57850376819</v>
      </c>
      <c r="G183" s="40">
        <f t="shared" ca="1" si="26"/>
        <v>523260.81574269326</v>
      </c>
      <c r="H183" s="40">
        <f t="shared" ca="1" si="26"/>
        <v>385329.54248764674</v>
      </c>
      <c r="I183" s="40">
        <f t="shared" ca="1" si="26"/>
        <v>306176.51967412676</v>
      </c>
      <c r="J183" s="41"/>
      <c r="K183" s="41"/>
      <c r="L183" s="41"/>
      <c r="M183" s="24"/>
      <c r="N183" s="24"/>
      <c r="O183" s="24"/>
      <c r="P183" s="24"/>
      <c r="Q183" s="24"/>
      <c r="R183" s="24"/>
    </row>
    <row r="184" spans="1:18" x14ac:dyDescent="0.25">
      <c r="A184" s="24"/>
      <c r="B184" s="28">
        <v>4</v>
      </c>
      <c r="C184" s="40">
        <f ca="1">C169*SQRT($E$9*C87)+C87</f>
        <v>1064192.4140516529</v>
      </c>
      <c r="D184" s="40">
        <f t="shared" ca="1" si="26"/>
        <v>1134327.1736259565</v>
      </c>
      <c r="E184" s="40">
        <f t="shared" ca="1" si="26"/>
        <v>700968.70105853898</v>
      </c>
      <c r="F184" s="40">
        <f ca="1">F169*SQRT($E$9*F87)+F87</f>
        <v>687134.37585556263</v>
      </c>
      <c r="G184" s="40">
        <f ca="1">G169*SQRT($E$9*G87)+G87</f>
        <v>279269.17495588341</v>
      </c>
      <c r="H184" s="40">
        <f t="shared" ca="1" si="26"/>
        <v>419783.99433600542</v>
      </c>
      <c r="I184" s="41"/>
      <c r="J184" s="41"/>
      <c r="K184" s="41"/>
      <c r="L184" s="41"/>
      <c r="M184" s="24"/>
      <c r="N184" s="24"/>
      <c r="O184" s="24"/>
      <c r="P184" s="24"/>
      <c r="Q184" s="24"/>
      <c r="R184" s="24"/>
    </row>
    <row r="185" spans="1:18" x14ac:dyDescent="0.25">
      <c r="A185" s="24"/>
      <c r="B185" s="28">
        <v>5</v>
      </c>
      <c r="C185" s="40">
        <f t="shared" ref="C185:E188" ca="1" si="27">C170*SQRT($E$9*C88)+C88</f>
        <v>1283254.7196045353</v>
      </c>
      <c r="D185" s="40">
        <f t="shared" ca="1" si="27"/>
        <v>1627159.0137293783</v>
      </c>
      <c r="E185" s="40">
        <f t="shared" ca="1" si="27"/>
        <v>794753.49252628069</v>
      </c>
      <c r="F185" s="40">
        <f ca="1">F170*SQRT($E$9*F88)+F88</f>
        <v>800370.01667814807</v>
      </c>
      <c r="G185" s="40">
        <f ca="1">G170*SQRT($E$9*G88)+G88</f>
        <v>560046.12438154209</v>
      </c>
      <c r="H185" s="41"/>
      <c r="I185" s="41"/>
      <c r="J185" s="41"/>
      <c r="K185" s="41"/>
      <c r="L185" s="41"/>
      <c r="M185" s="24"/>
      <c r="N185" s="24"/>
      <c r="O185" s="24"/>
      <c r="P185" s="24"/>
      <c r="Q185" s="24"/>
      <c r="R185" s="24"/>
    </row>
    <row r="186" spans="1:18" x14ac:dyDescent="0.25">
      <c r="A186" s="24"/>
      <c r="B186" s="28">
        <v>6</v>
      </c>
      <c r="C186" s="40">
        <f t="shared" ca="1" si="27"/>
        <v>1423973.7134278144</v>
      </c>
      <c r="D186" s="40">
        <f t="shared" ca="1" si="27"/>
        <v>1762595.6223260062</v>
      </c>
      <c r="E186" s="40">
        <f t="shared" ca="1" si="27"/>
        <v>670253.85114605608</v>
      </c>
      <c r="F186" s="40">
        <f ca="1">F171*SQRT($E$9*F89)+F89</f>
        <v>491444.68806826428</v>
      </c>
      <c r="G186" s="41"/>
      <c r="H186" s="41"/>
      <c r="I186" s="41"/>
      <c r="J186" s="41"/>
      <c r="K186" s="41"/>
      <c r="L186" s="41"/>
      <c r="M186" s="24"/>
      <c r="N186" s="24"/>
      <c r="O186" s="24"/>
      <c r="P186" s="24"/>
      <c r="Q186" s="24"/>
      <c r="R186" s="24"/>
    </row>
    <row r="187" spans="1:18" x14ac:dyDescent="0.25">
      <c r="A187" s="24"/>
      <c r="B187" s="28">
        <v>7</v>
      </c>
      <c r="C187" s="40">
        <f t="shared" ca="1" si="27"/>
        <v>1782387.6989151523</v>
      </c>
      <c r="D187" s="40">
        <f t="shared" ca="1" si="27"/>
        <v>1766135.1314091242</v>
      </c>
      <c r="E187" s="40">
        <f t="shared" ca="1" si="27"/>
        <v>1009121.5681675333</v>
      </c>
      <c r="F187" s="41"/>
      <c r="G187" s="41"/>
      <c r="H187" s="41"/>
      <c r="I187" s="41"/>
      <c r="J187" s="41"/>
      <c r="K187" s="41"/>
      <c r="L187" s="41"/>
      <c r="M187" s="24"/>
      <c r="N187" s="24"/>
      <c r="O187" s="24"/>
      <c r="P187" s="24"/>
      <c r="Q187" s="24"/>
      <c r="R187" s="24"/>
    </row>
    <row r="188" spans="1:18" x14ac:dyDescent="0.25">
      <c r="A188" s="24"/>
      <c r="B188" s="28">
        <v>8</v>
      </c>
      <c r="C188" s="40">
        <f t="shared" ca="1" si="27"/>
        <v>1421365.8168765614</v>
      </c>
      <c r="D188" s="40">
        <f t="shared" ca="1" si="27"/>
        <v>1522753.5491241859</v>
      </c>
      <c r="E188" s="41"/>
      <c r="F188" s="41"/>
      <c r="G188" s="41"/>
      <c r="H188" s="41"/>
      <c r="I188" s="41"/>
      <c r="J188" s="41"/>
      <c r="K188" s="41"/>
      <c r="L188" s="41"/>
      <c r="M188" s="24"/>
      <c r="N188" s="24"/>
      <c r="O188" s="24"/>
      <c r="P188" s="24"/>
      <c r="Q188" s="24"/>
      <c r="R188" s="24"/>
    </row>
    <row r="189" spans="1:18" x14ac:dyDescent="0.25">
      <c r="A189" s="24"/>
      <c r="B189" s="28">
        <v>9</v>
      </c>
      <c r="C189" s="40">
        <f ca="1">C174*SQRT($E$9*C92)+C92</f>
        <v>1353372.8075050437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24"/>
      <c r="N189" s="24"/>
      <c r="O189" s="24"/>
      <c r="P189" s="24"/>
      <c r="Q189" s="24"/>
      <c r="R189" s="24"/>
    </row>
    <row r="190" spans="1:18" x14ac:dyDescent="0.25">
      <c r="A190" s="24"/>
      <c r="B190" s="24"/>
      <c r="C190" s="41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</row>
    <row r="191" spans="1:18" x14ac:dyDescent="0.25">
      <c r="A191" s="24"/>
      <c r="B191" s="24"/>
      <c r="C191" s="41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</row>
    <row r="192" spans="1:18" x14ac:dyDescent="0.25">
      <c r="A192" s="24"/>
      <c r="B192" s="24"/>
      <c r="C192" s="42" t="s">
        <v>87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</row>
    <row r="193" spans="1:18" x14ac:dyDescent="0.25">
      <c r="A193" s="24"/>
      <c r="B193" s="24"/>
      <c r="C193" s="28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</row>
    <row r="194" spans="1:18" x14ac:dyDescent="0.25">
      <c r="A194" s="24"/>
      <c r="B194" s="24"/>
      <c r="C194" s="28">
        <v>0</v>
      </c>
      <c r="D194" s="28">
        <v>1</v>
      </c>
      <c r="E194" s="28">
        <v>2</v>
      </c>
      <c r="F194" s="28">
        <v>3</v>
      </c>
      <c r="G194" s="28">
        <v>4</v>
      </c>
      <c r="H194" s="28">
        <v>5</v>
      </c>
      <c r="I194" s="28">
        <v>6</v>
      </c>
      <c r="J194" s="28">
        <v>7</v>
      </c>
      <c r="K194" s="28">
        <v>8</v>
      </c>
      <c r="L194" s="28">
        <v>9</v>
      </c>
      <c r="M194" s="24"/>
      <c r="N194" s="24"/>
      <c r="O194" s="24"/>
      <c r="P194" s="24"/>
      <c r="Q194" s="24"/>
      <c r="R194" s="24"/>
    </row>
    <row r="195" spans="1:18" x14ac:dyDescent="0.25">
      <c r="A195" s="24"/>
      <c r="B195" s="28">
        <v>0</v>
      </c>
      <c r="C195" s="40">
        <f ca="1">C180</f>
        <v>638670.08925602073</v>
      </c>
      <c r="D195" s="40">
        <f t="shared" ref="D195:L203" ca="1" si="28">D180+C195</f>
        <v>1676314.7086105379</v>
      </c>
      <c r="E195" s="40">
        <f t="shared" ca="1" si="28"/>
        <v>2093404.5105883612</v>
      </c>
      <c r="F195" s="40">
        <f t="shared" ca="1" si="28"/>
        <v>2306735.5791586651</v>
      </c>
      <c r="G195" s="40">
        <f t="shared" ca="1" si="28"/>
        <v>2722090.9087099</v>
      </c>
      <c r="H195" s="40">
        <f t="shared" ca="1" si="28"/>
        <v>3124050.6373060592</v>
      </c>
      <c r="I195" s="40">
        <f t="shared" ca="1" si="28"/>
        <v>3299019.6778509924</v>
      </c>
      <c r="J195" s="40">
        <f t="shared" ca="1" si="28"/>
        <v>3550646.5664421497</v>
      </c>
      <c r="K195" s="40">
        <f t="shared" ca="1" si="28"/>
        <v>3616130.4189539179</v>
      </c>
      <c r="L195" s="40">
        <f t="shared" ca="1" si="28"/>
        <v>3702790.226841121</v>
      </c>
      <c r="M195" s="24"/>
      <c r="N195" s="24"/>
      <c r="O195" s="24"/>
      <c r="P195" s="24"/>
      <c r="Q195" s="24"/>
      <c r="R195" s="24"/>
    </row>
    <row r="196" spans="1:18" x14ac:dyDescent="0.25">
      <c r="A196" s="24"/>
      <c r="B196" s="28">
        <v>1</v>
      </c>
      <c r="C196" s="40">
        <f t="shared" ref="C196:C204" ca="1" si="29">C181</f>
        <v>892028.85602692631</v>
      </c>
      <c r="D196" s="40">
        <f t="shared" ca="1" si="28"/>
        <v>2367585.9772963603</v>
      </c>
      <c r="E196" s="40">
        <f t="shared" ca="1" si="28"/>
        <v>2802138.106585755</v>
      </c>
      <c r="F196" s="40">
        <f t="shared" ca="1" si="28"/>
        <v>3311534.6303824396</v>
      </c>
      <c r="G196" s="40">
        <f t="shared" ca="1" si="28"/>
        <v>3763160.6342708701</v>
      </c>
      <c r="H196" s="40">
        <f t="shared" ca="1" si="28"/>
        <v>4050455.3239607969</v>
      </c>
      <c r="I196" s="40">
        <f t="shared" ca="1" si="28"/>
        <v>4251088.8372934097</v>
      </c>
      <c r="J196" s="40">
        <f t="shared" ca="1" si="28"/>
        <v>4635699.0539773889</v>
      </c>
      <c r="K196" s="40">
        <f t="shared" ca="1" si="28"/>
        <v>4850407.6409595534</v>
      </c>
      <c r="L196" s="24"/>
      <c r="M196" s="24"/>
      <c r="N196" s="24"/>
      <c r="O196" s="24"/>
      <c r="P196" s="24"/>
      <c r="Q196" s="24"/>
      <c r="R196" s="24"/>
    </row>
    <row r="197" spans="1:18" x14ac:dyDescent="0.25">
      <c r="A197" s="24"/>
      <c r="B197" s="28">
        <v>2</v>
      </c>
      <c r="C197" s="40">
        <f t="shared" ca="1" si="29"/>
        <v>862758.80100551364</v>
      </c>
      <c r="D197" s="40">
        <f t="shared" ca="1" si="28"/>
        <v>2201920.0501741818</v>
      </c>
      <c r="E197" s="40">
        <f t="shared" ca="1" si="28"/>
        <v>2850635.523603573</v>
      </c>
      <c r="F197" s="40">
        <f t="shared" ca="1" si="28"/>
        <v>3381704.9760871036</v>
      </c>
      <c r="G197" s="40">
        <f t="shared" ca="1" si="28"/>
        <v>3801074.6180269527</v>
      </c>
      <c r="H197" s="40">
        <f t="shared" ca="1" si="28"/>
        <v>4166295.5217810087</v>
      </c>
      <c r="I197" s="40">
        <f t="shared" ca="1" si="28"/>
        <v>4289723.6531601949</v>
      </c>
      <c r="J197" s="40">
        <f t="shared" ca="1" si="28"/>
        <v>4497379.9663311616</v>
      </c>
      <c r="K197" s="41"/>
      <c r="L197" s="24"/>
      <c r="M197" s="24"/>
      <c r="N197" s="24"/>
      <c r="O197" s="24"/>
      <c r="P197" s="24"/>
      <c r="Q197" s="24"/>
      <c r="R197" s="24"/>
    </row>
    <row r="198" spans="1:18" x14ac:dyDescent="0.25">
      <c r="A198" s="24"/>
      <c r="B198" s="28">
        <v>3</v>
      </c>
      <c r="C198" s="40">
        <f t="shared" ca="1" si="29"/>
        <v>1204056.8449697739</v>
      </c>
      <c r="D198" s="40">
        <f t="shared" ca="1" si="28"/>
        <v>2709422.2648082459</v>
      </c>
      <c r="E198" s="40">
        <f t="shared" ca="1" si="28"/>
        <v>4050734.3731807172</v>
      </c>
      <c r="F198" s="40">
        <f t="shared" ca="1" si="28"/>
        <v>4652037.9516844852</v>
      </c>
      <c r="G198" s="40">
        <f t="shared" ca="1" si="28"/>
        <v>5175298.7674271781</v>
      </c>
      <c r="H198" s="40">
        <f t="shared" ca="1" si="28"/>
        <v>5560628.3099148246</v>
      </c>
      <c r="I198" s="40">
        <f t="shared" ca="1" si="28"/>
        <v>5866804.8295889515</v>
      </c>
      <c r="J198" s="41"/>
      <c r="K198" s="41"/>
      <c r="L198" s="24"/>
      <c r="M198" s="24"/>
      <c r="N198" s="24"/>
      <c r="O198" s="24"/>
      <c r="P198" s="24"/>
      <c r="Q198" s="24"/>
      <c r="R198" s="24"/>
    </row>
    <row r="199" spans="1:18" x14ac:dyDescent="0.25">
      <c r="A199" s="24"/>
      <c r="B199" s="28">
        <v>4</v>
      </c>
      <c r="C199" s="40">
        <f t="shared" ca="1" si="29"/>
        <v>1064192.4140516529</v>
      </c>
      <c r="D199" s="40">
        <f t="shared" ca="1" si="28"/>
        <v>2198519.5876776092</v>
      </c>
      <c r="E199" s="40">
        <f t="shared" ca="1" si="28"/>
        <v>2899488.2887361483</v>
      </c>
      <c r="F199" s="40">
        <f t="shared" ca="1" si="28"/>
        <v>3586622.664591711</v>
      </c>
      <c r="G199" s="40">
        <f t="shared" ca="1" si="28"/>
        <v>3865891.8395475945</v>
      </c>
      <c r="H199" s="40">
        <f t="shared" ca="1" si="28"/>
        <v>4285675.8338836003</v>
      </c>
      <c r="I199" s="41"/>
      <c r="J199" s="41"/>
      <c r="K199" s="41"/>
      <c r="L199" s="24"/>
      <c r="M199" s="24"/>
      <c r="N199" s="24"/>
      <c r="O199" s="24"/>
      <c r="P199" s="24"/>
      <c r="Q199" s="24"/>
      <c r="R199" s="24"/>
    </row>
    <row r="200" spans="1:18" x14ac:dyDescent="0.25">
      <c r="A200" s="24"/>
      <c r="B200" s="28">
        <v>5</v>
      </c>
      <c r="C200" s="40">
        <f t="shared" ca="1" si="29"/>
        <v>1283254.7196045353</v>
      </c>
      <c r="D200" s="40">
        <f t="shared" ca="1" si="28"/>
        <v>2910413.7333339136</v>
      </c>
      <c r="E200" s="40">
        <f t="shared" ca="1" si="28"/>
        <v>3705167.2258601943</v>
      </c>
      <c r="F200" s="40">
        <f t="shared" ca="1" si="28"/>
        <v>4505537.2425383423</v>
      </c>
      <c r="G200" s="40">
        <f t="shared" ca="1" si="28"/>
        <v>5065583.3669198845</v>
      </c>
      <c r="H200" s="41"/>
      <c r="I200" s="41"/>
      <c r="J200" s="41"/>
      <c r="K200" s="41"/>
      <c r="L200" s="24"/>
      <c r="M200" s="24"/>
      <c r="N200" s="24"/>
      <c r="O200" s="24"/>
      <c r="P200" s="24"/>
      <c r="Q200" s="24"/>
      <c r="R200" s="24"/>
    </row>
    <row r="201" spans="1:18" x14ac:dyDescent="0.25">
      <c r="A201" s="24"/>
      <c r="B201" s="28">
        <v>6</v>
      </c>
      <c r="C201" s="40">
        <f t="shared" ca="1" si="29"/>
        <v>1423973.7134278144</v>
      </c>
      <c r="D201" s="40">
        <f t="shared" ca="1" si="28"/>
        <v>3186569.3357538208</v>
      </c>
      <c r="E201" s="40">
        <f t="shared" ca="1" si="28"/>
        <v>3856823.1868998772</v>
      </c>
      <c r="F201" s="40">
        <f t="shared" ca="1" si="28"/>
        <v>4348267.8749681413</v>
      </c>
      <c r="G201" s="41"/>
      <c r="H201" s="41"/>
      <c r="I201" s="41"/>
      <c r="J201" s="41"/>
      <c r="K201" s="41"/>
      <c r="L201" s="24"/>
      <c r="M201" s="24"/>
      <c r="N201" s="24"/>
      <c r="O201" s="24"/>
      <c r="P201" s="24"/>
      <c r="Q201" s="24"/>
      <c r="R201" s="24"/>
    </row>
    <row r="202" spans="1:18" x14ac:dyDescent="0.25">
      <c r="A202" s="24"/>
      <c r="B202" s="28">
        <v>7</v>
      </c>
      <c r="C202" s="40">
        <f t="shared" ca="1" si="29"/>
        <v>1782387.6989151523</v>
      </c>
      <c r="D202" s="40">
        <f t="shared" ca="1" si="28"/>
        <v>3548522.8303242764</v>
      </c>
      <c r="E202" s="40">
        <f t="shared" ca="1" si="28"/>
        <v>4557644.3984918091</v>
      </c>
      <c r="F202" s="41"/>
      <c r="G202" s="41"/>
      <c r="H202" s="41"/>
      <c r="I202" s="41"/>
      <c r="J202" s="41"/>
      <c r="K202" s="41"/>
      <c r="L202" s="24"/>
      <c r="M202" s="24"/>
      <c r="N202" s="24"/>
      <c r="O202" s="24"/>
      <c r="P202" s="24"/>
      <c r="Q202" s="24"/>
      <c r="R202" s="24"/>
    </row>
    <row r="203" spans="1:18" x14ac:dyDescent="0.25">
      <c r="A203" s="24"/>
      <c r="B203" s="28">
        <v>8</v>
      </c>
      <c r="C203" s="40">
        <f ca="1">C188</f>
        <v>1421365.8168765614</v>
      </c>
      <c r="D203" s="40">
        <f t="shared" ca="1" si="28"/>
        <v>2944119.3660007473</v>
      </c>
      <c r="E203" s="41"/>
      <c r="F203" s="41"/>
      <c r="G203" s="41"/>
      <c r="H203" s="41"/>
      <c r="I203" s="41"/>
      <c r="J203" s="41"/>
      <c r="K203" s="41"/>
      <c r="L203" s="24"/>
      <c r="M203" s="24"/>
      <c r="N203" s="24"/>
      <c r="O203" s="24"/>
      <c r="P203" s="24"/>
      <c r="Q203" s="24"/>
      <c r="R203" s="24"/>
    </row>
    <row r="204" spans="1:18" x14ac:dyDescent="0.25">
      <c r="A204" s="24"/>
      <c r="B204" s="28">
        <v>9</v>
      </c>
      <c r="C204" s="40">
        <f t="shared" ca="1" si="29"/>
        <v>1353372.8075050437</v>
      </c>
      <c r="D204" s="41"/>
      <c r="E204" s="41"/>
      <c r="F204" s="41"/>
      <c r="G204" s="41"/>
      <c r="H204" s="41"/>
      <c r="I204" s="41"/>
      <c r="J204" s="41"/>
      <c r="K204" s="41"/>
      <c r="L204" s="24"/>
      <c r="M204" s="24"/>
      <c r="N204" s="24"/>
      <c r="O204" s="24"/>
      <c r="P204" s="24"/>
      <c r="Q204" s="24"/>
      <c r="R204" s="24"/>
    </row>
    <row r="205" spans="1:18" x14ac:dyDescent="0.2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</row>
    <row r="206" spans="1:18" x14ac:dyDescent="0.25">
      <c r="A206" s="24"/>
      <c r="B206" s="24"/>
      <c r="C206" s="28" t="s">
        <v>88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</row>
    <row r="207" spans="1:18" x14ac:dyDescent="0.25">
      <c r="A207" s="24"/>
      <c r="B207" s="44" t="s">
        <v>70</v>
      </c>
      <c r="C207" s="45">
        <f ca="1">SUM(D195:D203)/SUM(C195:C203)</f>
        <v>2.2457284005026903</v>
      </c>
      <c r="D207" s="45">
        <f ca="1">SUM(E195:E202)/SUM(D195:D202)</f>
        <v>1.289277823854474</v>
      </c>
      <c r="E207" s="45">
        <f ca="1">SUM(F195:F201)/SUM(E195:E201)</f>
        <v>1.1722518787114398</v>
      </c>
      <c r="F207" s="45">
        <f ca="1">SUM(G195:G200)/SUM(F195:F200)</f>
        <v>1.1218223882345633</v>
      </c>
      <c r="G207" s="45">
        <f ca="1">SUM(H195:H199)/SUM(G195:G199)</f>
        <v>1.0962145774435104</v>
      </c>
      <c r="H207" s="45">
        <f ca="1">SUM(I195:I198)/SUM(H195:H198)</f>
        <v>1.0476413661325936</v>
      </c>
      <c r="I207" s="45">
        <f ca="1">SUM(J195:J197)/SUM(I195:I197)</f>
        <v>1.0712757922958756</v>
      </c>
      <c r="J207" s="45">
        <f ca="1">SUM(K195:K196)/SUM(J195:J196)</f>
        <v>1.0342268030798794</v>
      </c>
      <c r="K207" s="45">
        <f ca="1">SUM(L195)/SUM(K195)</f>
        <v>1.0239647904934448</v>
      </c>
      <c r="L207" s="24"/>
      <c r="M207" s="24"/>
      <c r="N207" s="24"/>
      <c r="O207" s="24"/>
      <c r="P207" s="24"/>
      <c r="Q207" s="24"/>
      <c r="R207" s="24"/>
    </row>
    <row r="208" spans="1:18" x14ac:dyDescent="0.25">
      <c r="A208" s="24"/>
      <c r="B208" s="44" t="s">
        <v>71</v>
      </c>
      <c r="C208" s="45">
        <f ca="1">C207*D208</f>
        <v>4.9116604278975791</v>
      </c>
      <c r="D208" s="45">
        <f t="shared" ref="D208:I208" ca="1" si="30">D207*E208</f>
        <v>2.1871123982749379</v>
      </c>
      <c r="E208" s="45">
        <f ca="1">E207*F208</f>
        <v>1.6963856492437477</v>
      </c>
      <c r="F208" s="45">
        <f ca="1">F207*G208</f>
        <v>1.4471170232701569</v>
      </c>
      <c r="G208" s="45">
        <f t="shared" ca="1" si="30"/>
        <v>1.2899698191507099</v>
      </c>
      <c r="H208" s="45">
        <f t="shared" ca="1" si="30"/>
        <v>1.176749375253755</v>
      </c>
      <c r="I208" s="45">
        <f t="shared" ca="1" si="30"/>
        <v>1.1232368378100306</v>
      </c>
      <c r="J208" s="45">
        <f ca="1">K208*K207</f>
        <v>1.0485038921702843</v>
      </c>
      <c r="K208" s="45">
        <f ca="1">K207</f>
        <v>1.0239647904934448</v>
      </c>
      <c r="L208" s="24"/>
      <c r="M208" s="24"/>
      <c r="N208" s="24"/>
      <c r="O208" s="24"/>
      <c r="P208" s="24"/>
      <c r="Q208" s="24"/>
      <c r="R208" s="24"/>
    </row>
    <row r="209" spans="1:18" x14ac:dyDescent="0.25">
      <c r="A209" s="24"/>
      <c r="B209" s="24"/>
      <c r="C209" s="46"/>
      <c r="D209" s="46"/>
      <c r="E209" s="46"/>
      <c r="F209" s="46"/>
      <c r="G209" s="46"/>
      <c r="H209" s="46"/>
      <c r="I209" s="46"/>
      <c r="J209" s="46"/>
      <c r="K209" s="46"/>
      <c r="L209" s="24"/>
      <c r="M209" s="24"/>
      <c r="N209" s="24"/>
      <c r="O209" s="24"/>
      <c r="P209" s="24"/>
      <c r="Q209" s="24"/>
      <c r="R209" s="24"/>
    </row>
    <row r="210" spans="1:18" x14ac:dyDescent="0.2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</row>
    <row r="211" spans="1:18" x14ac:dyDescent="0.25">
      <c r="A211" s="24"/>
      <c r="B211" s="24"/>
      <c r="C211" s="42" t="s">
        <v>89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</row>
    <row r="212" spans="1:18" x14ac:dyDescent="0.2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</row>
    <row r="213" spans="1:18" x14ac:dyDescent="0.25">
      <c r="A213" s="24"/>
      <c r="B213" s="24"/>
      <c r="C213" s="28">
        <v>0</v>
      </c>
      <c r="D213" s="28">
        <v>1</v>
      </c>
      <c r="E213" s="28">
        <v>2</v>
      </c>
      <c r="F213" s="28">
        <v>3</v>
      </c>
      <c r="G213" s="28">
        <v>4</v>
      </c>
      <c r="H213" s="28">
        <v>5</v>
      </c>
      <c r="I213" s="28">
        <v>6</v>
      </c>
      <c r="J213" s="28">
        <v>7</v>
      </c>
      <c r="K213" s="28">
        <v>8</v>
      </c>
      <c r="L213" s="28">
        <v>9</v>
      </c>
      <c r="M213" s="24"/>
      <c r="N213" s="24"/>
      <c r="O213" s="24"/>
      <c r="P213" s="24"/>
      <c r="Q213" s="24"/>
      <c r="R213" s="24"/>
    </row>
    <row r="214" spans="1:18" x14ac:dyDescent="0.25">
      <c r="A214" s="24"/>
      <c r="B214" s="28">
        <v>0</v>
      </c>
      <c r="C214" s="40"/>
      <c r="D214" s="40"/>
      <c r="E214" s="40"/>
      <c r="F214" s="40"/>
      <c r="G214" s="40"/>
      <c r="H214" s="40"/>
      <c r="I214" s="40"/>
      <c r="J214" s="40"/>
      <c r="K214" s="40"/>
      <c r="L214" s="40">
        <f ca="1">L195</f>
        <v>3702790.226841121</v>
      </c>
      <c r="M214" s="24"/>
      <c r="N214" s="24"/>
      <c r="O214" s="24"/>
      <c r="P214" s="24"/>
      <c r="Q214" s="24"/>
      <c r="R214" s="24"/>
    </row>
    <row r="215" spans="1:18" x14ac:dyDescent="0.25">
      <c r="A215" s="24"/>
      <c r="B215" s="28">
        <v>1</v>
      </c>
      <c r="C215" s="40"/>
      <c r="D215" s="40"/>
      <c r="E215" s="40"/>
      <c r="F215" s="40"/>
      <c r="G215" s="40"/>
      <c r="H215" s="40"/>
      <c r="I215" s="40"/>
      <c r="J215" s="40"/>
      <c r="K215" s="40">
        <f ca="1">K196</f>
        <v>4850407.6409595534</v>
      </c>
      <c r="L215" s="41">
        <f ca="1">K215*$K$207</f>
        <v>4966646.6438829526</v>
      </c>
      <c r="M215" s="24"/>
      <c r="N215" s="24"/>
      <c r="O215" s="24"/>
      <c r="P215" s="24"/>
      <c r="Q215" s="24"/>
      <c r="R215" s="24"/>
    </row>
    <row r="216" spans="1:18" x14ac:dyDescent="0.25">
      <c r="A216" s="24"/>
      <c r="B216" s="28">
        <v>2</v>
      </c>
      <c r="C216" s="40"/>
      <c r="D216" s="40"/>
      <c r="E216" s="40"/>
      <c r="F216" s="40"/>
      <c r="G216" s="40"/>
      <c r="H216" s="40"/>
      <c r="I216" s="40"/>
      <c r="J216" s="40">
        <f ca="1">J197</f>
        <v>4497379.9663311616</v>
      </c>
      <c r="K216" s="41">
        <f t="shared" ref="I216:K223" ca="1" si="31">J216*J$207</f>
        <v>4651310.9048141725</v>
      </c>
      <c r="L216" s="41">
        <f t="shared" ref="L216:L223" ca="1" si="32">K216*$K$207</f>
        <v>4762778.5961679192</v>
      </c>
      <c r="M216" s="24"/>
      <c r="N216" s="24"/>
      <c r="O216" s="24"/>
      <c r="P216" s="24"/>
      <c r="Q216" s="24"/>
      <c r="R216" s="24"/>
    </row>
    <row r="217" spans="1:18" x14ac:dyDescent="0.25">
      <c r="A217" s="24"/>
      <c r="B217" s="28">
        <v>3</v>
      </c>
      <c r="C217" s="40"/>
      <c r="D217" s="40"/>
      <c r="E217" s="40"/>
      <c r="F217" s="40"/>
      <c r="G217" s="40"/>
      <c r="H217" s="40"/>
      <c r="I217" s="40">
        <f ca="1">I198</f>
        <v>5866804.8295889515</v>
      </c>
      <c r="J217" s="41">
        <f t="shared" ca="1" si="31"/>
        <v>6284965.9920631731</v>
      </c>
      <c r="K217" s="41">
        <f t="shared" ca="1" si="31"/>
        <v>6500080.285437258</v>
      </c>
      <c r="L217" s="41">
        <f t="shared" ca="1" si="32"/>
        <v>6655853.347668333</v>
      </c>
      <c r="M217" s="24"/>
      <c r="N217" s="24"/>
      <c r="O217" s="24"/>
      <c r="P217" s="24"/>
      <c r="Q217" s="24"/>
      <c r="R217" s="24"/>
    </row>
    <row r="218" spans="1:18" x14ac:dyDescent="0.25">
      <c r="A218" s="24"/>
      <c r="B218" s="28">
        <v>4</v>
      </c>
      <c r="C218" s="40"/>
      <c r="D218" s="40"/>
      <c r="E218" s="40"/>
      <c r="F218" s="40"/>
      <c r="G218" s="40"/>
      <c r="H218" s="40">
        <f ca="1">H199</f>
        <v>4285675.8338836003</v>
      </c>
      <c r="I218" s="41">
        <f t="shared" ca="1" si="31"/>
        <v>4489851.2854112573</v>
      </c>
      <c r="J218" s="41">
        <f t="shared" ca="1" si="31"/>
        <v>4809868.9930696003</v>
      </c>
      <c r="K218" s="41">
        <f t="shared" ca="1" si="31"/>
        <v>4974495.4319354109</v>
      </c>
      <c r="L218" s="41">
        <f t="shared" ca="1" si="32"/>
        <v>5093708.1727723414</v>
      </c>
      <c r="M218" s="24"/>
      <c r="N218" s="24"/>
      <c r="O218" s="24"/>
      <c r="P218" s="24"/>
      <c r="Q218" s="24"/>
      <c r="R218" s="24"/>
    </row>
    <row r="219" spans="1:18" x14ac:dyDescent="0.25">
      <c r="A219" s="24"/>
      <c r="B219" s="28">
        <v>5</v>
      </c>
      <c r="C219" s="40"/>
      <c r="D219" s="40"/>
      <c r="E219" s="40"/>
      <c r="F219" s="40"/>
      <c r="G219" s="40">
        <f ca="1">G200</f>
        <v>5065583.3669198845</v>
      </c>
      <c r="H219" s="41">
        <f t="shared" ref="G219:H223" ca="1" si="33">G219*G$207</f>
        <v>5552966.3300729552</v>
      </c>
      <c r="I219" s="41">
        <f t="shared" ca="1" si="31"/>
        <v>5817517.2321259258</v>
      </c>
      <c r="J219" s="41">
        <f t="shared" ca="1" si="31"/>
        <v>6232165.3820406105</v>
      </c>
      <c r="K219" s="41">
        <f t="shared" ca="1" si="31"/>
        <v>6445472.4793329556</v>
      </c>
      <c r="L219" s="41">
        <f t="shared" ca="1" si="32"/>
        <v>6599936.8769314345</v>
      </c>
      <c r="M219" s="24"/>
      <c r="N219" s="24"/>
      <c r="O219" s="24"/>
      <c r="P219" s="24"/>
      <c r="Q219" s="24"/>
      <c r="R219" s="24"/>
    </row>
    <row r="220" spans="1:18" x14ac:dyDescent="0.25">
      <c r="A220" s="24"/>
      <c r="B220" s="28">
        <v>6</v>
      </c>
      <c r="C220" s="40"/>
      <c r="D220" s="40"/>
      <c r="E220" s="40"/>
      <c r="F220" s="40">
        <f ca="1">F201</f>
        <v>4348267.8749681413</v>
      </c>
      <c r="G220" s="41">
        <f t="shared" ca="1" si="33"/>
        <v>4877984.2521803901</v>
      </c>
      <c r="H220" s="41">
        <f t="shared" ca="1" si="33"/>
        <v>5347317.4457800239</v>
      </c>
      <c r="I220" s="41">
        <f t="shared" ca="1" si="31"/>
        <v>5602070.9540416356</v>
      </c>
      <c r="J220" s="41">
        <f t="shared" ca="1" si="31"/>
        <v>6001362.9997886643</v>
      </c>
      <c r="K220" s="41">
        <f t="shared" ca="1" si="31"/>
        <v>6206770.4693933045</v>
      </c>
      <c r="L220" s="41">
        <f t="shared" ca="1" si="32"/>
        <v>6355514.4233332155</v>
      </c>
      <c r="M220" s="24"/>
      <c r="N220" s="24"/>
      <c r="O220" s="24"/>
      <c r="P220" s="24"/>
      <c r="Q220" s="24"/>
      <c r="R220" s="24"/>
    </row>
    <row r="221" spans="1:18" x14ac:dyDescent="0.25">
      <c r="A221" s="24"/>
      <c r="B221" s="28">
        <v>7</v>
      </c>
      <c r="C221" s="40"/>
      <c r="D221" s="40"/>
      <c r="E221" s="40">
        <f ca="1">E202</f>
        <v>4557644.3984918091</v>
      </c>
      <c r="F221" s="41">
        <f ca="1">E221*E$207</f>
        <v>5342707.2086306931</v>
      </c>
      <c r="G221" s="41">
        <f t="shared" ca="1" si="33"/>
        <v>5993568.5604241015</v>
      </c>
      <c r="H221" s="41">
        <f t="shared" ca="1" si="33"/>
        <v>6570237.2268440155</v>
      </c>
      <c r="I221" s="41">
        <f t="shared" ca="1" si="31"/>
        <v>6883252.3041460877</v>
      </c>
      <c r="J221" s="41">
        <f t="shared" ca="1" si="31"/>
        <v>7373861.5656965114</v>
      </c>
      <c r="K221" s="41">
        <f t="shared" ca="1" si="31"/>
        <v>7626245.2734438963</v>
      </c>
      <c r="L221" s="41">
        <f t="shared" ca="1" si="32"/>
        <v>7809006.6436736025</v>
      </c>
      <c r="M221" s="24"/>
      <c r="N221" s="24"/>
      <c r="O221" s="24"/>
      <c r="P221" s="24"/>
      <c r="Q221" s="24"/>
      <c r="R221" s="24"/>
    </row>
    <row r="222" spans="1:18" x14ac:dyDescent="0.25">
      <c r="A222" s="24"/>
      <c r="B222" s="28">
        <v>8</v>
      </c>
      <c r="C222" s="40"/>
      <c r="D222" s="40">
        <f ca="1">D203</f>
        <v>2944119.3660007473</v>
      </c>
      <c r="E222" s="41">
        <f ca="1">D222*D$207</f>
        <v>3795787.8093652572</v>
      </c>
      <c r="F222" s="41">
        <f ca="1">E222*E$207</f>
        <v>4449619.3907184033</v>
      </c>
      <c r="G222" s="41">
        <f t="shared" ca="1" si="33"/>
        <v>4991682.6516305413</v>
      </c>
      <c r="H222" s="41">
        <f t="shared" ca="1" si="33"/>
        <v>5471955.2886892753</v>
      </c>
      <c r="I222" s="41">
        <f t="shared" ca="1" si="31"/>
        <v>5732646.714058903</v>
      </c>
      <c r="J222" s="41">
        <f t="shared" ca="1" si="31"/>
        <v>6141245.6505557988</v>
      </c>
      <c r="K222" s="41">
        <f t="shared" ca="1" si="31"/>
        <v>6351440.8561025374</v>
      </c>
      <c r="L222" s="41">
        <f t="shared" ca="1" si="32"/>
        <v>6503651.8055505408</v>
      </c>
      <c r="M222" s="24"/>
      <c r="N222" s="24"/>
      <c r="O222" s="24"/>
      <c r="P222" s="24"/>
      <c r="Q222" s="24"/>
      <c r="R222" s="24"/>
    </row>
    <row r="223" spans="1:18" x14ac:dyDescent="0.25">
      <c r="A223" s="24"/>
      <c r="B223" s="28">
        <v>9</v>
      </c>
      <c r="C223" s="40">
        <f ca="1">C204</f>
        <v>1353372.8075050437</v>
      </c>
      <c r="D223" s="41">
        <f ca="1">C223*$C$207</f>
        <v>3039307.7502821372</v>
      </c>
      <c r="E223" s="41">
        <f ca="1">D223*D$207</f>
        <v>3918512.0823077909</v>
      </c>
      <c r="F223" s="41">
        <f ca="1">E223*E$207</f>
        <v>4593483.150238784</v>
      </c>
      <c r="G223" s="41">
        <f t="shared" ca="1" si="33"/>
        <v>5153072.237916098</v>
      </c>
      <c r="H223" s="41">
        <f t="shared" ca="1" si="33"/>
        <v>5648872.9058230799</v>
      </c>
      <c r="I223" s="41">
        <f t="shared" ca="1" si="31"/>
        <v>5917992.9281658856</v>
      </c>
      <c r="J223" s="41">
        <f t="shared" ca="1" si="31"/>
        <v>6339802.562922298</v>
      </c>
      <c r="K223" s="41">
        <f t="shared" ca="1" si="31"/>
        <v>6556793.7368087536</v>
      </c>
      <c r="L223" s="41">
        <f t="shared" ca="1" si="32"/>
        <v>6713925.9250201061</v>
      </c>
      <c r="M223" s="24"/>
      <c r="N223" s="24"/>
      <c r="O223" s="24"/>
      <c r="P223" s="24"/>
      <c r="Q223" s="24"/>
      <c r="R223" s="24"/>
    </row>
    <row r="224" spans="1:18" x14ac:dyDescent="0.2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</row>
    <row r="225" spans="1:18" x14ac:dyDescent="0.2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</row>
    <row r="226" spans="1:18" x14ac:dyDescent="0.25">
      <c r="A226" s="24"/>
      <c r="B226" s="24"/>
      <c r="C226" s="42" t="s">
        <v>90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</row>
    <row r="227" spans="1:18" x14ac:dyDescent="0.2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</row>
    <row r="228" spans="1:18" x14ac:dyDescent="0.25">
      <c r="A228" s="24"/>
      <c r="B228" s="24"/>
      <c r="C228" s="28">
        <v>0</v>
      </c>
      <c r="D228" s="28">
        <v>1</v>
      </c>
      <c r="E228" s="28">
        <v>2</v>
      </c>
      <c r="F228" s="28">
        <v>3</v>
      </c>
      <c r="G228" s="28">
        <v>4</v>
      </c>
      <c r="H228" s="28">
        <v>5</v>
      </c>
      <c r="I228" s="28">
        <v>6</v>
      </c>
      <c r="J228" s="28">
        <v>7</v>
      </c>
      <c r="K228" s="28">
        <v>8</v>
      </c>
      <c r="L228" s="28">
        <v>9</v>
      </c>
      <c r="M228" s="24"/>
      <c r="N228" s="28" t="s">
        <v>75</v>
      </c>
      <c r="O228" s="24"/>
      <c r="P228" s="24"/>
      <c r="Q228" s="24"/>
      <c r="R228" s="24"/>
    </row>
    <row r="229" spans="1:18" x14ac:dyDescent="0.25">
      <c r="A229" s="24"/>
      <c r="B229" s="28">
        <v>0</v>
      </c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40">
        <v>0</v>
      </c>
      <c r="O229" s="24"/>
      <c r="P229" s="24"/>
      <c r="Q229" s="24"/>
      <c r="R229" s="24"/>
    </row>
    <row r="230" spans="1:18" x14ac:dyDescent="0.25">
      <c r="A230" s="24"/>
      <c r="B230" s="28">
        <v>1</v>
      </c>
      <c r="C230" s="24"/>
      <c r="D230" s="53"/>
      <c r="E230" s="53"/>
      <c r="F230" s="53"/>
      <c r="G230" s="53"/>
      <c r="H230" s="53"/>
      <c r="I230" s="53"/>
      <c r="J230" s="53"/>
      <c r="K230" s="47">
        <f t="shared" ref="K230:L238" ca="1" si="34">K215-J215</f>
        <v>4850407.6409595534</v>
      </c>
      <c r="L230" s="47">
        <f ca="1">L215-K215</f>
        <v>116239.00292339921</v>
      </c>
      <c r="M230" s="24"/>
      <c r="N230" s="40">
        <f ca="1">L230</f>
        <v>116239.00292339921</v>
      </c>
      <c r="O230" s="24"/>
      <c r="P230" s="24"/>
      <c r="Q230" s="24"/>
      <c r="R230" s="24"/>
    </row>
    <row r="231" spans="1:18" x14ac:dyDescent="0.25">
      <c r="A231" s="24"/>
      <c r="B231" s="28">
        <v>2</v>
      </c>
      <c r="C231" s="24"/>
      <c r="D231" s="53"/>
      <c r="E231" s="53"/>
      <c r="F231" s="53"/>
      <c r="G231" s="53"/>
      <c r="H231" s="53"/>
      <c r="I231" s="53"/>
      <c r="J231" s="47">
        <f ca="1">J216-I216</f>
        <v>4497379.9663311616</v>
      </c>
      <c r="K231" s="47">
        <f t="shared" ca="1" si="34"/>
        <v>153930.93848301098</v>
      </c>
      <c r="L231" s="47">
        <f t="shared" ca="1" si="34"/>
        <v>111467.69135374669</v>
      </c>
      <c r="M231" s="24"/>
      <c r="N231" s="40">
        <f ca="1">SUM(K231:L231)</f>
        <v>265398.62983675767</v>
      </c>
      <c r="O231" s="24"/>
      <c r="P231" s="24"/>
      <c r="Q231" s="24"/>
      <c r="R231" s="24"/>
    </row>
    <row r="232" spans="1:18" x14ac:dyDescent="0.25">
      <c r="A232" s="24"/>
      <c r="B232" s="28">
        <v>3</v>
      </c>
      <c r="C232" s="24"/>
      <c r="D232" s="53"/>
      <c r="E232" s="53"/>
      <c r="F232" s="53"/>
      <c r="G232" s="53"/>
      <c r="H232" s="53"/>
      <c r="I232" s="47">
        <f ca="1">I217-H217</f>
        <v>5866804.8295889515</v>
      </c>
      <c r="J232" s="47">
        <f ca="1">J217-I217</f>
        <v>418161.16247422155</v>
      </c>
      <c r="K232" s="47">
        <f t="shared" ca="1" si="34"/>
        <v>215114.29337408487</v>
      </c>
      <c r="L232" s="47">
        <f t="shared" ca="1" si="34"/>
        <v>155773.06223107502</v>
      </c>
      <c r="M232" s="24"/>
      <c r="N232" s="40">
        <f ca="1">SUM(J232:L232)</f>
        <v>789048.51807938144</v>
      </c>
      <c r="O232" s="24"/>
      <c r="P232" s="24"/>
      <c r="Q232" s="24"/>
      <c r="R232" s="24"/>
    </row>
    <row r="233" spans="1:18" x14ac:dyDescent="0.25">
      <c r="A233" s="24"/>
      <c r="B233" s="28">
        <v>4</v>
      </c>
      <c r="C233" s="24"/>
      <c r="D233" s="53"/>
      <c r="E233" s="53"/>
      <c r="F233" s="53"/>
      <c r="G233" s="53"/>
      <c r="H233" s="47">
        <f ca="1">H218-G218</f>
        <v>4285675.8338836003</v>
      </c>
      <c r="I233" s="47">
        <f ca="1">I218-H218</f>
        <v>204175.45152765699</v>
      </c>
      <c r="J233" s="47">
        <f ca="1">J218-I218</f>
        <v>320017.70765834302</v>
      </c>
      <c r="K233" s="47">
        <f t="shared" ca="1" si="34"/>
        <v>164626.43886581063</v>
      </c>
      <c r="L233" s="47">
        <f t="shared" ca="1" si="34"/>
        <v>119212.74083693046</v>
      </c>
      <c r="M233" s="24"/>
      <c r="N233" s="40">
        <f ca="1">SUM(I233:L233)</f>
        <v>808032.3388887411</v>
      </c>
      <c r="O233" s="24"/>
      <c r="P233" s="24"/>
      <c r="Q233" s="24"/>
      <c r="R233" s="24"/>
    </row>
    <row r="234" spans="1:18" x14ac:dyDescent="0.25">
      <c r="A234" s="24"/>
      <c r="B234" s="28">
        <v>5</v>
      </c>
      <c r="C234" s="24"/>
      <c r="D234" s="53"/>
      <c r="E234" s="53"/>
      <c r="F234" s="53"/>
      <c r="G234" s="47">
        <f ca="1">G219-F219</f>
        <v>5065583.3669198845</v>
      </c>
      <c r="H234" s="47">
        <f ca="1">H219-G219</f>
        <v>487382.96315307077</v>
      </c>
      <c r="I234" s="47">
        <f ca="1">I219-H219</f>
        <v>264550.9020529706</v>
      </c>
      <c r="J234" s="47">
        <f ca="1">J219-I219</f>
        <v>414648.14991468471</v>
      </c>
      <c r="K234" s="47">
        <f t="shared" ca="1" si="34"/>
        <v>213307.09729234502</v>
      </c>
      <c r="L234" s="47">
        <f t="shared" ca="1" si="34"/>
        <v>154464.39759847894</v>
      </c>
      <c r="M234" s="24"/>
      <c r="N234" s="40">
        <f ca="1">SUM(H234:L234)</f>
        <v>1534353.51001155</v>
      </c>
      <c r="O234" s="24"/>
      <c r="P234" s="24"/>
      <c r="Q234" s="24"/>
      <c r="R234" s="24"/>
    </row>
    <row r="235" spans="1:18" x14ac:dyDescent="0.25">
      <c r="A235" s="24"/>
      <c r="B235" s="28">
        <v>6</v>
      </c>
      <c r="C235" s="24"/>
      <c r="D235" s="53"/>
      <c r="E235" s="53"/>
      <c r="F235" s="47">
        <f ca="1">F220-E220</f>
        <v>4348267.8749681413</v>
      </c>
      <c r="G235" s="47">
        <f ca="1">G220-F220</f>
        <v>529716.37721224874</v>
      </c>
      <c r="H235" s="47">
        <f ca="1">H220-G220</f>
        <v>469333.19359963387</v>
      </c>
      <c r="I235" s="47">
        <f ca="1">I220-H220</f>
        <v>254753.50826161169</v>
      </c>
      <c r="J235" s="47">
        <f ca="1">J220-I220</f>
        <v>399292.04574702866</v>
      </c>
      <c r="K235" s="47">
        <f t="shared" ca="1" si="34"/>
        <v>205407.46960464027</v>
      </c>
      <c r="L235" s="47">
        <f t="shared" ca="1" si="34"/>
        <v>148743.95393991098</v>
      </c>
      <c r="M235" s="24"/>
      <c r="N235" s="40">
        <f ca="1">SUM(G235:L235)</f>
        <v>2007246.5483650742</v>
      </c>
      <c r="O235" s="24"/>
      <c r="P235" s="24"/>
      <c r="Q235" s="24"/>
      <c r="R235" s="24"/>
    </row>
    <row r="236" spans="1:18" x14ac:dyDescent="0.25">
      <c r="A236" s="24"/>
      <c r="B236" s="28">
        <v>7</v>
      </c>
      <c r="C236" s="24"/>
      <c r="D236" s="53"/>
      <c r="E236" s="47">
        <f ca="1">E221-D221</f>
        <v>4557644.3984918091</v>
      </c>
      <c r="F236" s="47">
        <f ca="1">F221-E221</f>
        <v>785062.810138884</v>
      </c>
      <c r="G236" s="47">
        <f ca="1">G221-F221</f>
        <v>650861.35179340839</v>
      </c>
      <c r="H236" s="47">
        <f t="shared" ref="H236:K237" ca="1" si="35">H221-G221</f>
        <v>576668.66641991399</v>
      </c>
      <c r="I236" s="47">
        <f t="shared" ca="1" si="35"/>
        <v>313015.0773020722</v>
      </c>
      <c r="J236" s="47">
        <f t="shared" ca="1" si="35"/>
        <v>490609.26155042369</v>
      </c>
      <c r="K236" s="47">
        <f t="shared" ca="1" si="35"/>
        <v>252383.70774738491</v>
      </c>
      <c r="L236" s="47">
        <f t="shared" ca="1" si="34"/>
        <v>182761.37022970617</v>
      </c>
      <c r="M236" s="24"/>
      <c r="N236" s="40">
        <f ca="1">SUM(F236:L236)</f>
        <v>3251362.2451817933</v>
      </c>
      <c r="O236" s="24"/>
      <c r="P236" s="24"/>
      <c r="Q236" s="24"/>
      <c r="R236" s="24"/>
    </row>
    <row r="237" spans="1:18" x14ac:dyDescent="0.25">
      <c r="A237" s="24"/>
      <c r="B237" s="28">
        <v>8</v>
      </c>
      <c r="C237" s="24"/>
      <c r="D237" s="47">
        <f ca="1">D222-C222</f>
        <v>2944119.3660007473</v>
      </c>
      <c r="E237" s="47">
        <f ca="1">E222-D222</f>
        <v>851668.44336450985</v>
      </c>
      <c r="F237" s="47">
        <f ca="1">F222-E222</f>
        <v>653831.58135314612</v>
      </c>
      <c r="G237" s="47">
        <f ca="1">G222-F222</f>
        <v>542063.26091213804</v>
      </c>
      <c r="H237" s="47">
        <f t="shared" ca="1" si="35"/>
        <v>480272.63705873396</v>
      </c>
      <c r="I237" s="47">
        <f t="shared" ca="1" si="35"/>
        <v>260691.42536962777</v>
      </c>
      <c r="J237" s="47">
        <f t="shared" ca="1" si="35"/>
        <v>408598.93649689574</v>
      </c>
      <c r="K237" s="47">
        <f t="shared" ca="1" si="35"/>
        <v>210195.20554673858</v>
      </c>
      <c r="L237" s="47">
        <f t="shared" ca="1" si="34"/>
        <v>152210.94944800343</v>
      </c>
      <c r="M237" s="24"/>
      <c r="N237" s="40">
        <f ca="1">SUM(E237:L237)</f>
        <v>3559532.4395497935</v>
      </c>
      <c r="O237" s="24"/>
      <c r="P237" s="24"/>
      <c r="Q237" s="24"/>
      <c r="R237" s="24"/>
    </row>
    <row r="238" spans="1:18" x14ac:dyDescent="0.25">
      <c r="A238" s="24"/>
      <c r="B238" s="28">
        <v>9</v>
      </c>
      <c r="C238" s="47">
        <f ca="1">C223</f>
        <v>1353372.8075050437</v>
      </c>
      <c r="D238" s="47">
        <f ca="1">D223-C223</f>
        <v>1685934.9427770935</v>
      </c>
      <c r="E238" s="47">
        <f ca="1">E223-D223</f>
        <v>879204.33202565368</v>
      </c>
      <c r="F238" s="47">
        <f t="shared" ref="F238:K238" ca="1" si="36">F223-E223</f>
        <v>674971.06793099316</v>
      </c>
      <c r="G238" s="47">
        <f t="shared" ca="1" si="36"/>
        <v>559589.08767731395</v>
      </c>
      <c r="H238" s="47">
        <f t="shared" ca="1" si="36"/>
        <v>495800.66790698189</v>
      </c>
      <c r="I238" s="47">
        <f t="shared" ca="1" si="36"/>
        <v>269120.02234280575</v>
      </c>
      <c r="J238" s="47">
        <f t="shared" ca="1" si="36"/>
        <v>421809.63475641236</v>
      </c>
      <c r="K238" s="47">
        <f t="shared" ca="1" si="36"/>
        <v>216991.1738864556</v>
      </c>
      <c r="L238" s="47">
        <f t="shared" ca="1" si="34"/>
        <v>157132.18821135256</v>
      </c>
      <c r="M238" s="24"/>
      <c r="N238" s="40">
        <f ca="1">SUM(D238:L238)</f>
        <v>5360553.1175150629</v>
      </c>
      <c r="O238" s="24"/>
      <c r="P238" s="24"/>
      <c r="Q238" s="24"/>
      <c r="R238" s="24"/>
    </row>
    <row r="239" spans="1:18" x14ac:dyDescent="0.2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41"/>
      <c r="O239" s="24"/>
      <c r="P239" s="24"/>
      <c r="Q239" s="24"/>
      <c r="R239" s="24"/>
    </row>
    <row r="240" spans="1:18" x14ac:dyDescent="0.2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44" t="s">
        <v>76</v>
      </c>
      <c r="N240" s="40">
        <f ca="1">SUM(N229:N238)</f>
        <v>17691766.35035155</v>
      </c>
      <c r="O240" s="24"/>
      <c r="P240" s="24"/>
      <c r="Q240" s="24"/>
      <c r="R240" s="24"/>
    </row>
    <row r="241" spans="1:18" x14ac:dyDescent="0.2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</row>
    <row r="242" spans="1:18" x14ac:dyDescent="0.25">
      <c r="A242" s="24"/>
      <c r="B242" s="24"/>
      <c r="C242" s="42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</row>
    <row r="243" spans="1:18" x14ac:dyDescent="0.25">
      <c r="A243" s="24"/>
      <c r="B243" s="24"/>
      <c r="C243" s="28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</row>
    <row r="244" spans="1:18" x14ac:dyDescent="0.25">
      <c r="A244" s="24"/>
      <c r="B244" s="24"/>
      <c r="C244" s="28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</row>
    <row r="245" spans="1:18" x14ac:dyDescent="0.25">
      <c r="A245" s="24"/>
      <c r="B245" s="28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</row>
    <row r="246" spans="1:18" x14ac:dyDescent="0.25">
      <c r="A246" s="24"/>
      <c r="B246" s="28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</row>
    <row r="247" spans="1:18" x14ac:dyDescent="0.25">
      <c r="A247" s="24"/>
      <c r="B247" s="28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</row>
    <row r="248" spans="1:18" x14ac:dyDescent="0.25">
      <c r="A248" s="24"/>
      <c r="B248" s="28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</row>
    <row r="249" spans="1:18" x14ac:dyDescent="0.25">
      <c r="A249" s="24"/>
      <c r="B249" s="28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</row>
    <row r="250" spans="1:18" x14ac:dyDescent="0.25">
      <c r="A250" s="24"/>
      <c r="B250" s="28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</row>
    <row r="251" spans="1:18" x14ac:dyDescent="0.25">
      <c r="A251" s="24"/>
      <c r="B251" s="28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</row>
    <row r="252" spans="1:18" x14ac:dyDescent="0.25">
      <c r="A252" s="24"/>
      <c r="B252" s="28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</row>
    <row r="253" spans="1:18" x14ac:dyDescent="0.25">
      <c r="A253" s="24"/>
      <c r="B253" s="28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</row>
    <row r="254" spans="1:18" x14ac:dyDescent="0.25">
      <c r="A254" s="24"/>
      <c r="B254" s="28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</row>
    <row r="255" spans="1:18" x14ac:dyDescent="0.2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</row>
    <row r="256" spans="1:18" x14ac:dyDescent="0.2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</row>
    <row r="257" spans="1:39" x14ac:dyDescent="0.2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54"/>
      <c r="R257" s="77" t="s">
        <v>91</v>
      </c>
      <c r="S257" s="77"/>
      <c r="T257" s="77"/>
      <c r="U257" s="77"/>
      <c r="V257" s="77"/>
      <c r="W257" s="77"/>
      <c r="X257" s="77"/>
      <c r="Y257" s="77"/>
      <c r="Z257" s="77"/>
      <c r="AA257" s="77"/>
      <c r="AC257" s="54"/>
      <c r="AD257" s="77" t="s">
        <v>91</v>
      </c>
      <c r="AE257" s="77"/>
      <c r="AF257" s="77"/>
      <c r="AG257" s="77"/>
      <c r="AH257" s="77"/>
      <c r="AI257" s="77"/>
      <c r="AJ257" s="77"/>
      <c r="AK257" s="77"/>
      <c r="AL257" s="77"/>
      <c r="AM257" s="77"/>
    </row>
    <row r="258" spans="1:39" x14ac:dyDescent="0.25">
      <c r="A258" s="24"/>
      <c r="B258" s="24"/>
      <c r="C258" s="42" t="s">
        <v>92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55" t="s">
        <v>93</v>
      </c>
      <c r="R258" s="55">
        <v>1</v>
      </c>
      <c r="S258" s="55">
        <v>2</v>
      </c>
      <c r="T258" s="55">
        <v>3</v>
      </c>
      <c r="U258" s="55">
        <v>4</v>
      </c>
      <c r="V258" s="55">
        <v>5</v>
      </c>
      <c r="W258" s="55">
        <v>6</v>
      </c>
      <c r="X258" s="55">
        <v>7</v>
      </c>
      <c r="Y258" s="55">
        <v>8</v>
      </c>
      <c r="Z258" s="55">
        <v>9</v>
      </c>
      <c r="AA258" s="55" t="s">
        <v>76</v>
      </c>
      <c r="AC258" s="55" t="s">
        <v>93</v>
      </c>
      <c r="AD258" s="55">
        <v>1</v>
      </c>
      <c r="AE258" s="55">
        <v>2</v>
      </c>
      <c r="AF258" s="55">
        <v>3</v>
      </c>
      <c r="AG258" s="55">
        <v>4</v>
      </c>
      <c r="AH258" s="55">
        <v>5</v>
      </c>
      <c r="AI258" s="55">
        <v>6</v>
      </c>
      <c r="AJ258" s="55">
        <v>7</v>
      </c>
      <c r="AK258" s="55">
        <v>8</v>
      </c>
      <c r="AL258" s="55">
        <v>9</v>
      </c>
      <c r="AM258" s="55" t="s">
        <v>76</v>
      </c>
    </row>
    <row r="259" spans="1:39" x14ac:dyDescent="0.25">
      <c r="A259" s="24"/>
      <c r="B259" s="24"/>
      <c r="C259" s="42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55">
        <v>1</v>
      </c>
      <c r="R259" s="54">
        <v>201459.38684070017</v>
      </c>
      <c r="S259" s="54">
        <v>501366.11509333458</v>
      </c>
      <c r="T259" s="54">
        <v>981985.72435749136</v>
      </c>
      <c r="U259" s="54">
        <v>1200531.5306548513</v>
      </c>
      <c r="V259" s="54">
        <v>1849456.264797491</v>
      </c>
      <c r="W259" s="54">
        <v>2471571.4297703551</v>
      </c>
      <c r="X259" s="54">
        <v>2689702.3993941247</v>
      </c>
      <c r="Y259" s="54">
        <v>3598386.7462550029</v>
      </c>
      <c r="Z259" s="54">
        <v>5046453.7223251089</v>
      </c>
      <c r="AA259" s="54">
        <f>SUM(R259:Z259)</f>
        <v>18540913.319488458</v>
      </c>
      <c r="AC259" s="55">
        <v>1</v>
      </c>
      <c r="AD259" s="54">
        <f>R259*$L$268</f>
        <v>189339.74947669683</v>
      </c>
      <c r="AE259" s="54">
        <f>S259*$L$269</f>
        <v>441188.59110642649</v>
      </c>
      <c r="AF259" s="54">
        <f>T259*$L$270</f>
        <v>807941.53115687659</v>
      </c>
      <c r="AG259" s="54">
        <f>U259*$L$271</f>
        <v>924454.97245344811</v>
      </c>
      <c r="AH259" s="54">
        <f>V259*$L$272</f>
        <v>1334524.9591828533</v>
      </c>
      <c r="AI259" s="54">
        <f>W259*$L$273</f>
        <v>1672820.8529186209</v>
      </c>
      <c r="AJ259" s="54">
        <f>X259*$L$274</f>
        <v>1709042.0273593881</v>
      </c>
      <c r="AK259" s="54">
        <f>Y259*$L$275</f>
        <v>2146851.7180573363</v>
      </c>
      <c r="AL259" s="54">
        <f>Z259*$L$276</f>
        <v>2825175.1223051129</v>
      </c>
      <c r="AM259" s="54">
        <f>SUM(AD259:AL259)</f>
        <v>12051339.52401676</v>
      </c>
    </row>
    <row r="260" spans="1:39" x14ac:dyDescent="0.25">
      <c r="A260" s="24"/>
      <c r="B260" s="44" t="s">
        <v>24</v>
      </c>
      <c r="C260" s="54">
        <f ca="1">$N$230</f>
        <v>116239.00292339921</v>
      </c>
      <c r="D260" s="54">
        <f ca="1">$N$231</f>
        <v>265398.62983675767</v>
      </c>
      <c r="E260" s="54">
        <f ca="1">$N$232</f>
        <v>789048.51807938144</v>
      </c>
      <c r="F260" s="54">
        <f ca="1">$N$233</f>
        <v>808032.3388887411</v>
      </c>
      <c r="G260" s="54">
        <f ca="1">$N$234</f>
        <v>1534353.51001155</v>
      </c>
      <c r="H260" s="54">
        <f ca="1">$N$235</f>
        <v>2007246.5483650742</v>
      </c>
      <c r="I260" s="54">
        <f ca="1">$N$236</f>
        <v>3251362.2451817933</v>
      </c>
      <c r="J260" s="54">
        <f ca="1">$N$237</f>
        <v>3559532.4395497935</v>
      </c>
      <c r="K260" s="54">
        <f ca="1">$N$238</f>
        <v>5360553.1175150629</v>
      </c>
      <c r="L260" s="54">
        <f ca="1">$N$240</f>
        <v>17691766.35035155</v>
      </c>
      <c r="M260" s="53"/>
      <c r="N260" s="53"/>
      <c r="O260" s="53"/>
      <c r="P260" s="53"/>
      <c r="Q260" s="55">
        <v>2</v>
      </c>
      <c r="R260" s="54">
        <v>132003.24566444848</v>
      </c>
      <c r="S260" s="54">
        <v>265028.30892112851</v>
      </c>
      <c r="T260" s="54">
        <v>1009853.0410083877</v>
      </c>
      <c r="U260" s="54">
        <v>1000952.7478078026</v>
      </c>
      <c r="V260" s="54">
        <v>1421974.6246707803</v>
      </c>
      <c r="W260" s="54">
        <v>2201373.493226435</v>
      </c>
      <c r="X260" s="54">
        <v>3388810.5466377754</v>
      </c>
      <c r="Y260" s="54">
        <v>3495591.9030940486</v>
      </c>
      <c r="Z260" s="54">
        <v>5019095.1896011289</v>
      </c>
      <c r="AA260" s="54">
        <f t="shared" ref="AA260:AA323" si="37">SUM(R260:Z260)</f>
        <v>17934683.100631937</v>
      </c>
      <c r="AC260" s="55">
        <v>2</v>
      </c>
      <c r="AD260" s="54">
        <f t="shared" ref="AD260:AD323" si="38">R260*$L$268</f>
        <v>124062.03481588376</v>
      </c>
      <c r="AE260" s="54">
        <f t="shared" ref="AE260:AE323" si="39">S260*$L$269</f>
        <v>233217.72791618391</v>
      </c>
      <c r="AF260" s="54">
        <f t="shared" ref="AF260:AF323" si="40">T260*$L$270</f>
        <v>830869.7285081062</v>
      </c>
      <c r="AG260" s="54">
        <f t="shared" ref="AG260:AG323" si="41">U260*$L$271</f>
        <v>770771.71342357364</v>
      </c>
      <c r="AH260" s="54">
        <f t="shared" ref="AH260:AH323" si="42">V260*$L$272</f>
        <v>1026064.0730293848</v>
      </c>
      <c r="AI260" s="54">
        <f t="shared" ref="AI260:AI323" si="43">W260*$L$273</f>
        <v>1489944.1869959012</v>
      </c>
      <c r="AJ260" s="54">
        <f t="shared" ref="AJ260:AJ323" si="44">X260*$L$274</f>
        <v>2153256.6756334472</v>
      </c>
      <c r="AK260" s="54">
        <f t="shared" ref="AK260:AK323" si="45">Y260*$L$275</f>
        <v>2085522.7667217953</v>
      </c>
      <c r="AL260" s="54">
        <f t="shared" ref="AL260:AL323" si="46">Z260*$L$276</f>
        <v>2809858.8922775546</v>
      </c>
      <c r="AM260" s="54">
        <f t="shared" ref="AM260:AM323" si="47">SUM(AD260:AL260)</f>
        <v>11523567.79932183</v>
      </c>
    </row>
    <row r="261" spans="1:39" x14ac:dyDescent="0.25">
      <c r="A261" s="24"/>
      <c r="B261" s="44" t="s">
        <v>94</v>
      </c>
      <c r="C261" s="40">
        <f>AVERAGE(AD259:AD358)</f>
        <v>164594.35326709674</v>
      </c>
      <c r="D261" s="40">
        <f t="shared" ref="D261:L261" si="48">AVERAGE(AE259:AE358)</f>
        <v>345368.15514130908</v>
      </c>
      <c r="E261" s="40">
        <f t="shared" si="48"/>
        <v>686803.74652895692</v>
      </c>
      <c r="F261" s="40">
        <f t="shared" si="48"/>
        <v>810499.73384637397</v>
      </c>
      <c r="G261" s="40">
        <f t="shared" si="48"/>
        <v>1127614.7225078554</v>
      </c>
      <c r="H261" s="40">
        <f t="shared" si="48"/>
        <v>1521781.2742807376</v>
      </c>
      <c r="I261" s="40">
        <f t="shared" si="48"/>
        <v>2056976.673708139</v>
      </c>
      <c r="J261" s="40">
        <f t="shared" si="48"/>
        <v>2194039.7785876528</v>
      </c>
      <c r="K261" s="40">
        <f t="shared" si="48"/>
        <v>2742048.6707326989</v>
      </c>
      <c r="L261" s="40">
        <f t="shared" si="48"/>
        <v>11649727.108600823</v>
      </c>
      <c r="M261" s="53"/>
      <c r="N261" s="53"/>
      <c r="O261" s="53"/>
      <c r="P261" s="53"/>
      <c r="Q261" s="55">
        <v>3</v>
      </c>
      <c r="R261" s="54">
        <v>194354.65092963446</v>
      </c>
      <c r="S261" s="54">
        <v>473552.62198155932</v>
      </c>
      <c r="T261" s="54">
        <v>819686.55828216672</v>
      </c>
      <c r="U261" s="54">
        <v>1110621.7811763687</v>
      </c>
      <c r="V261" s="54">
        <v>1834586.2930438779</v>
      </c>
      <c r="W261" s="54">
        <v>2143412.4658594839</v>
      </c>
      <c r="X261" s="54">
        <v>3059916.7073712563</v>
      </c>
      <c r="Y261" s="54">
        <v>4013392.7734164931</v>
      </c>
      <c r="Z261" s="54">
        <v>4038052.2617244939</v>
      </c>
      <c r="AA261" s="54">
        <f t="shared" si="37"/>
        <v>17687576.113785334</v>
      </c>
      <c r="AC261" s="55">
        <v>3</v>
      </c>
      <c r="AD261" s="54">
        <f t="shared" si="38"/>
        <v>182662.42885840777</v>
      </c>
      <c r="AE261" s="54">
        <f t="shared" si="39"/>
        <v>416713.47108869645</v>
      </c>
      <c r="AF261" s="54">
        <f t="shared" si="40"/>
        <v>674407.78062279569</v>
      </c>
      <c r="AG261" s="54">
        <f t="shared" si="41"/>
        <v>855221.04326869012</v>
      </c>
      <c r="AH261" s="54">
        <f t="shared" si="42"/>
        <v>1323795.1307325906</v>
      </c>
      <c r="AI261" s="54">
        <f t="shared" si="43"/>
        <v>1450714.7259056217</v>
      </c>
      <c r="AJ261" s="54">
        <f t="shared" si="44"/>
        <v>1944276.9037550862</v>
      </c>
      <c r="AK261" s="54">
        <f t="shared" si="45"/>
        <v>2394450.5631072889</v>
      </c>
      <c r="AL261" s="54">
        <f t="shared" si="46"/>
        <v>2260637.948966607</v>
      </c>
      <c r="AM261" s="54">
        <f t="shared" si="47"/>
        <v>11502879.996305784</v>
      </c>
    </row>
    <row r="262" spans="1:39" x14ac:dyDescent="0.25">
      <c r="A262" s="24"/>
      <c r="B262" s="44" t="s">
        <v>95</v>
      </c>
      <c r="C262" s="40">
        <f>_xlfn.STDEV.S(AD259:AD358)</f>
        <v>89142.115487989213</v>
      </c>
      <c r="D262" s="40">
        <f t="shared" ref="D262:K262" si="49">_xlfn.STDEV.S(AE259:AE358)</f>
        <v>115565.08311014924</v>
      </c>
      <c r="E262" s="40">
        <f t="shared" si="49"/>
        <v>142707.27387723495</v>
      </c>
      <c r="F262" s="40">
        <f t="shared" si="49"/>
        <v>147203.45163707234</v>
      </c>
      <c r="G262" s="40">
        <f t="shared" si="49"/>
        <v>159783.81358312446</v>
      </c>
      <c r="H262" s="40">
        <f t="shared" si="49"/>
        <v>214739.68664614481</v>
      </c>
      <c r="I262" s="40">
        <f t="shared" si="49"/>
        <v>231492.81451733893</v>
      </c>
      <c r="J262" s="40">
        <f t="shared" si="49"/>
        <v>259438.66411258871</v>
      </c>
      <c r="K262" s="40">
        <f t="shared" si="49"/>
        <v>449719.07789907465</v>
      </c>
      <c r="L262" s="40">
        <f>_xlfn.STDEV.S(AM259:AM358)</f>
        <v>1211242.9734694068</v>
      </c>
      <c r="M262" s="24"/>
      <c r="N262" s="24"/>
      <c r="O262" s="24"/>
      <c r="P262" s="24"/>
      <c r="Q262" s="55">
        <v>4</v>
      </c>
      <c r="R262" s="54">
        <v>214796.49990011379</v>
      </c>
      <c r="S262" s="54">
        <v>416255.22143888567</v>
      </c>
      <c r="T262" s="54">
        <v>802437.55041808914</v>
      </c>
      <c r="U262" s="54">
        <v>931118.00340363756</v>
      </c>
      <c r="V262" s="54">
        <v>1514998.62291783</v>
      </c>
      <c r="W262" s="54">
        <v>2000340.4147124924</v>
      </c>
      <c r="X262" s="54">
        <v>3255020.5312847542</v>
      </c>
      <c r="Y262" s="54">
        <v>2983861.3321738713</v>
      </c>
      <c r="Z262" s="54">
        <v>5770211.1993573839</v>
      </c>
      <c r="AA262" s="54">
        <f t="shared" si="37"/>
        <v>17889039.375607058</v>
      </c>
      <c r="AC262" s="55">
        <v>4</v>
      </c>
      <c r="AD262" s="54">
        <f t="shared" si="38"/>
        <v>201874.51236371257</v>
      </c>
      <c r="AE262" s="54">
        <f t="shared" si="39"/>
        <v>366293.3117311442</v>
      </c>
      <c r="AF262" s="54">
        <f t="shared" si="40"/>
        <v>660215.93497884984</v>
      </c>
      <c r="AG262" s="54">
        <f t="shared" si="41"/>
        <v>716996.30222780851</v>
      </c>
      <c r="AH262" s="54">
        <f t="shared" si="42"/>
        <v>1093188.043369534</v>
      </c>
      <c r="AI262" s="54">
        <f t="shared" si="43"/>
        <v>1353880.0126759238</v>
      </c>
      <c r="AJ262" s="54">
        <f t="shared" si="44"/>
        <v>2068246.2450628099</v>
      </c>
      <c r="AK262" s="54">
        <f t="shared" si="45"/>
        <v>1780216.602367501</v>
      </c>
      <c r="AL262" s="54">
        <f t="shared" si="46"/>
        <v>3230358.9863021458</v>
      </c>
      <c r="AM262" s="54">
        <f t="shared" si="47"/>
        <v>11471269.951079428</v>
      </c>
    </row>
    <row r="263" spans="1:39" x14ac:dyDescent="0.25">
      <c r="A263" s="24"/>
      <c r="B263" s="44" t="s">
        <v>96</v>
      </c>
      <c r="C263" s="56">
        <f>C262/C261</f>
        <v>0.54158671739687914</v>
      </c>
      <c r="D263" s="56">
        <f t="shared" ref="D263:K263" si="50">D262/D261</f>
        <v>0.33461418312543961</v>
      </c>
      <c r="E263" s="56">
        <f t="shared" si="50"/>
        <v>0.2077846467764109</v>
      </c>
      <c r="F263" s="56">
        <f t="shared" si="50"/>
        <v>0.18162060453553955</v>
      </c>
      <c r="G263" s="56">
        <f t="shared" si="50"/>
        <v>0.14170071602804152</v>
      </c>
      <c r="H263" s="56">
        <f t="shared" si="50"/>
        <v>0.14111074322927286</v>
      </c>
      <c r="I263" s="56">
        <f t="shared" si="50"/>
        <v>0.11254032069309944</v>
      </c>
      <c r="J263" s="56">
        <f t="shared" si="50"/>
        <v>0.11824701933143371</v>
      </c>
      <c r="K263" s="56">
        <f t="shared" si="50"/>
        <v>0.16400842286249639</v>
      </c>
      <c r="L263" s="56">
        <f>L262/L261</f>
        <v>0.10397178939712363</v>
      </c>
      <c r="M263" s="24"/>
      <c r="N263" s="24"/>
      <c r="O263" s="24"/>
      <c r="P263" s="24"/>
      <c r="Q263" s="55">
        <v>5</v>
      </c>
      <c r="R263" s="54">
        <v>289174.20572630502</v>
      </c>
      <c r="S263" s="54">
        <v>542300.07310017757</v>
      </c>
      <c r="T263" s="54">
        <v>881336.98841221072</v>
      </c>
      <c r="U263" s="54">
        <v>1457728.9398931162</v>
      </c>
      <c r="V263" s="54">
        <v>1969756.2992136767</v>
      </c>
      <c r="W263" s="54">
        <v>2323039.5977668278</v>
      </c>
      <c r="X263" s="54">
        <v>3197106.859021022</v>
      </c>
      <c r="Y263" s="54">
        <v>3518119.7016170509</v>
      </c>
      <c r="Z263" s="54">
        <v>5330273.3774426673</v>
      </c>
      <c r="AA263" s="54">
        <f t="shared" si="37"/>
        <v>19508836.042193055</v>
      </c>
      <c r="AC263" s="55">
        <v>5</v>
      </c>
      <c r="AD263" s="54">
        <f t="shared" si="38"/>
        <v>271777.71423793485</v>
      </c>
      <c r="AE263" s="54">
        <f t="shared" si="39"/>
        <v>477209.36458467942</v>
      </c>
      <c r="AF263" s="54">
        <f t="shared" si="40"/>
        <v>725131.47413507989</v>
      </c>
      <c r="AG263" s="54">
        <f t="shared" si="41"/>
        <v>1122506.7668471895</v>
      </c>
      <c r="AH263" s="54">
        <f t="shared" si="42"/>
        <v>1421330.6877500736</v>
      </c>
      <c r="AI263" s="54">
        <f t="shared" si="43"/>
        <v>1572290.8245711124</v>
      </c>
      <c r="AJ263" s="54">
        <f t="shared" si="44"/>
        <v>2031447.7874045458</v>
      </c>
      <c r="AK263" s="54">
        <f t="shared" si="45"/>
        <v>2098963.1905488037</v>
      </c>
      <c r="AL263" s="54">
        <f t="shared" si="46"/>
        <v>2984066.9447569991</v>
      </c>
      <c r="AM263" s="54">
        <f t="shared" si="47"/>
        <v>12704724.754836418</v>
      </c>
    </row>
    <row r="264" spans="1:39" x14ac:dyDescent="0.25">
      <c r="A264" s="24"/>
      <c r="B264" s="44" t="s">
        <v>97</v>
      </c>
      <c r="C264" s="44">
        <v>1</v>
      </c>
      <c r="D264" s="44">
        <v>2</v>
      </c>
      <c r="E264" s="44">
        <v>3</v>
      </c>
      <c r="F264" s="44">
        <v>4</v>
      </c>
      <c r="G264" s="44">
        <v>5</v>
      </c>
      <c r="H264" s="44">
        <v>6</v>
      </c>
      <c r="I264" s="44">
        <v>7</v>
      </c>
      <c r="J264" s="44">
        <v>8</v>
      </c>
      <c r="K264" s="44">
        <v>9</v>
      </c>
      <c r="L264" s="44" t="s">
        <v>76</v>
      </c>
      <c r="M264" s="24"/>
      <c r="N264" s="24"/>
      <c r="O264" s="24"/>
      <c r="P264" s="24"/>
      <c r="Q264" s="55">
        <v>6</v>
      </c>
      <c r="R264" s="54">
        <v>29551.991508404724</v>
      </c>
      <c r="S264" s="54">
        <v>229363.39015392121</v>
      </c>
      <c r="T264" s="54">
        <v>645761.96319151949</v>
      </c>
      <c r="U264" s="54">
        <v>1089877.6417135829</v>
      </c>
      <c r="V264" s="54">
        <v>1793883.6474194685</v>
      </c>
      <c r="W264" s="54">
        <v>2068606.3340820055</v>
      </c>
      <c r="X264" s="54">
        <v>3144171.0154060358</v>
      </c>
      <c r="Y264" s="54">
        <v>2821376.7562054447</v>
      </c>
      <c r="Z264" s="54">
        <v>4799209.8753778543</v>
      </c>
      <c r="AA264" s="54">
        <f t="shared" si="37"/>
        <v>16621802.615058238</v>
      </c>
      <c r="AC264" s="55">
        <v>6</v>
      </c>
      <c r="AD264" s="54">
        <f t="shared" si="38"/>
        <v>27774.167073998105</v>
      </c>
      <c r="AE264" s="54">
        <f t="shared" si="39"/>
        <v>201833.5661447006</v>
      </c>
      <c r="AF264" s="54">
        <f t="shared" si="40"/>
        <v>531309.05710996711</v>
      </c>
      <c r="AG264" s="54">
        <f t="shared" si="41"/>
        <v>839247.26633241947</v>
      </c>
      <c r="AH264" s="54">
        <f t="shared" si="42"/>
        <v>1294425.0409800238</v>
      </c>
      <c r="AI264" s="54">
        <f t="shared" si="43"/>
        <v>1400084.0802943916</v>
      </c>
      <c r="AJ264" s="54">
        <f t="shared" si="44"/>
        <v>1997812.2515504253</v>
      </c>
      <c r="AK264" s="54">
        <f t="shared" si="45"/>
        <v>1683275.85761885</v>
      </c>
      <c r="AL264" s="54">
        <f t="shared" si="46"/>
        <v>2686759.6717782891</v>
      </c>
      <c r="AM264" s="54">
        <f t="shared" si="47"/>
        <v>10662520.958883066</v>
      </c>
    </row>
    <row r="265" spans="1:39" x14ac:dyDescent="0.2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55">
        <v>7</v>
      </c>
      <c r="R265" s="54">
        <v>117680.67294079997</v>
      </c>
      <c r="S265" s="54">
        <v>466329.22426574491</v>
      </c>
      <c r="T265" s="54">
        <v>892980.21117237676</v>
      </c>
      <c r="U265" s="54">
        <v>1354872.1465604836</v>
      </c>
      <c r="V265" s="54">
        <v>1543297.4917344935</v>
      </c>
      <c r="W265" s="54">
        <v>2566021.7545874463</v>
      </c>
      <c r="X265" s="54">
        <v>3319656.6321921684</v>
      </c>
      <c r="Y265" s="54">
        <v>4084622.3953732401</v>
      </c>
      <c r="Z265" s="54">
        <v>5694262.1526008006</v>
      </c>
      <c r="AA265" s="54">
        <f t="shared" si="37"/>
        <v>20039722.681427553</v>
      </c>
      <c r="AC265" s="55">
        <v>7</v>
      </c>
      <c r="AD265" s="54">
        <f t="shared" si="38"/>
        <v>110601.09673856446</v>
      </c>
      <c r="AE265" s="54">
        <f t="shared" si="39"/>
        <v>410357.07689829875</v>
      </c>
      <c r="AF265" s="54">
        <f t="shared" si="40"/>
        <v>734711.08714890876</v>
      </c>
      <c r="AG265" s="54">
        <f t="shared" si="41"/>
        <v>1043303.1211127853</v>
      </c>
      <c r="AH265" s="54">
        <f t="shared" si="42"/>
        <v>1113607.8540302711</v>
      </c>
      <c r="AI265" s="54">
        <f t="shared" si="43"/>
        <v>1736747.1756685353</v>
      </c>
      <c r="AJ265" s="54">
        <f t="shared" si="44"/>
        <v>2109316.14668475</v>
      </c>
      <c r="AK265" s="54">
        <f t="shared" si="45"/>
        <v>2436947.2281568605</v>
      </c>
      <c r="AL265" s="54">
        <f t="shared" si="46"/>
        <v>3187840.1464859298</v>
      </c>
      <c r="AM265" s="54">
        <f t="shared" si="47"/>
        <v>12883430.932924904</v>
      </c>
    </row>
    <row r="266" spans="1:39" x14ac:dyDescent="0.2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55">
        <v>8</v>
      </c>
      <c r="R266" s="54">
        <v>162132.11514725443</v>
      </c>
      <c r="S266" s="54">
        <v>486568.62387230154</v>
      </c>
      <c r="T266" s="54">
        <v>887487.81396576203</v>
      </c>
      <c r="U266" s="54">
        <v>980206.35709385108</v>
      </c>
      <c r="V266" s="54">
        <v>1400683.8008746095</v>
      </c>
      <c r="W266" s="54">
        <v>2453710.1181214787</v>
      </c>
      <c r="X266" s="54">
        <v>3176275.9487608038</v>
      </c>
      <c r="Y266" s="54">
        <v>3614980.300177535</v>
      </c>
      <c r="Z266" s="54">
        <v>6244123.801557499</v>
      </c>
      <c r="AA266" s="54">
        <f t="shared" si="37"/>
        <v>19406168.879571095</v>
      </c>
      <c r="AC266" s="55">
        <v>8</v>
      </c>
      <c r="AD266" s="54">
        <f t="shared" si="38"/>
        <v>152378.3753416363</v>
      </c>
      <c r="AE266" s="54">
        <f t="shared" si="39"/>
        <v>428167.1999370174</v>
      </c>
      <c r="AF266" s="54">
        <f t="shared" si="40"/>
        <v>730192.14588656242</v>
      </c>
      <c r="AG266" s="54">
        <f t="shared" si="41"/>
        <v>754796.20293821977</v>
      </c>
      <c r="AH266" s="54">
        <f t="shared" si="42"/>
        <v>1010701.105924745</v>
      </c>
      <c r="AI266" s="54">
        <f t="shared" si="43"/>
        <v>1660731.8741309452</v>
      </c>
      <c r="AJ266" s="54">
        <f t="shared" si="44"/>
        <v>2018211.7873508283</v>
      </c>
      <c r="AK266" s="54">
        <f t="shared" si="45"/>
        <v>2156751.6821966385</v>
      </c>
      <c r="AL266" s="54">
        <f t="shared" si="46"/>
        <v>3495671.2565721609</v>
      </c>
      <c r="AM266" s="54">
        <f t="shared" si="47"/>
        <v>12407601.630278755</v>
      </c>
    </row>
    <row r="267" spans="1:39" x14ac:dyDescent="0.25">
      <c r="A267" s="24"/>
      <c r="B267" s="42"/>
      <c r="C267" s="53"/>
      <c r="D267" s="53"/>
      <c r="E267" s="53"/>
      <c r="F267" s="53"/>
      <c r="G267" s="53"/>
      <c r="H267" s="53"/>
      <c r="I267" s="53"/>
      <c r="J267" s="53" t="s">
        <v>97</v>
      </c>
      <c r="K267" s="53" t="s">
        <v>98</v>
      </c>
      <c r="L267" t="s">
        <v>99</v>
      </c>
      <c r="M267" s="40" t="s">
        <v>100</v>
      </c>
      <c r="N267" s="40">
        <f>LARGE(AM259:AM358,5)</f>
        <v>13747025.438121639</v>
      </c>
      <c r="O267" s="24"/>
      <c r="P267" s="24"/>
      <c r="Q267" s="55">
        <v>9</v>
      </c>
      <c r="R267" s="54">
        <v>169947.87363444734</v>
      </c>
      <c r="S267" s="54">
        <v>308966.58526069298</v>
      </c>
      <c r="T267" s="54">
        <v>797385.58514951915</v>
      </c>
      <c r="U267" s="54">
        <v>1083230.3509580623</v>
      </c>
      <c r="V267" s="54">
        <v>1463569.3972784197</v>
      </c>
      <c r="W267" s="54">
        <v>1735039.0269681718</v>
      </c>
      <c r="X267" s="54">
        <v>2940297.8503430923</v>
      </c>
      <c r="Y267" s="54">
        <v>3181211.8822935941</v>
      </c>
      <c r="Z267" s="54">
        <v>5243806.8928280799</v>
      </c>
      <c r="AA267" s="54">
        <f t="shared" si="37"/>
        <v>16923455.444714081</v>
      </c>
      <c r="AC267" s="55">
        <v>9</v>
      </c>
      <c r="AD267" s="54">
        <f t="shared" si="38"/>
        <v>159723.94398027024</v>
      </c>
      <c r="AE267" s="54">
        <f t="shared" si="39"/>
        <v>271882.22009130538</v>
      </c>
      <c r="AF267" s="54">
        <f t="shared" si="40"/>
        <v>656059.36482391157</v>
      </c>
      <c r="AG267" s="54">
        <f t="shared" si="41"/>
        <v>834128.59944581729</v>
      </c>
      <c r="AH267" s="54">
        <f t="shared" si="42"/>
        <v>1056077.9010246678</v>
      </c>
      <c r="AI267" s="54">
        <f t="shared" si="43"/>
        <v>1174317.4524434712</v>
      </c>
      <c r="AJ267" s="54">
        <f t="shared" si="44"/>
        <v>1868270.8541743311</v>
      </c>
      <c r="AK267" s="54">
        <f t="shared" si="45"/>
        <v>1897958.9123137656</v>
      </c>
      <c r="AL267" s="54">
        <f t="shared" si="46"/>
        <v>2935660.0882419734</v>
      </c>
      <c r="AM267" s="54">
        <f t="shared" si="47"/>
        <v>10854079.336539514</v>
      </c>
    </row>
    <row r="268" spans="1:39" x14ac:dyDescent="0.25">
      <c r="A268" s="24"/>
      <c r="B268" s="42"/>
      <c r="C268" s="53"/>
      <c r="D268" s="53"/>
      <c r="E268" s="53"/>
      <c r="F268" s="53"/>
      <c r="G268" s="53"/>
      <c r="H268" s="53"/>
      <c r="I268" s="53"/>
      <c r="J268" s="53">
        <v>1</v>
      </c>
      <c r="K268" s="57">
        <v>6.4009999999999997E-2</v>
      </c>
      <c r="L268">
        <v>0.93984079097000972</v>
      </c>
      <c r="M268" s="53"/>
      <c r="N268" s="53"/>
      <c r="O268" s="53"/>
      <c r="P268" s="53"/>
      <c r="Q268" s="55">
        <v>10</v>
      </c>
      <c r="R268" s="54">
        <v>265119.89145121817</v>
      </c>
      <c r="S268" s="54">
        <v>416611.47940542828</v>
      </c>
      <c r="T268" s="54">
        <v>968351.75902020559</v>
      </c>
      <c r="U268" s="54">
        <v>1082696.2377254022</v>
      </c>
      <c r="V268" s="54">
        <v>1493618.4116770197</v>
      </c>
      <c r="W268" s="54">
        <v>2275637.887853438</v>
      </c>
      <c r="X268" s="54">
        <v>3788403.1605115794</v>
      </c>
      <c r="Y268" s="54">
        <v>4413476.5227965014</v>
      </c>
      <c r="Z268" s="54">
        <v>6863703.592980057</v>
      </c>
      <c r="AA268" s="54">
        <f t="shared" si="37"/>
        <v>21567618.94342085</v>
      </c>
      <c r="AC268" s="55">
        <v>10</v>
      </c>
      <c r="AD268" s="54">
        <f t="shared" si="38"/>
        <v>249170.48848339601</v>
      </c>
      <c r="AE268" s="54">
        <f t="shared" si="39"/>
        <v>366606.80908486969</v>
      </c>
      <c r="AF268" s="54">
        <f t="shared" si="40"/>
        <v>796724.00878652465</v>
      </c>
      <c r="AG268" s="54">
        <f t="shared" si="41"/>
        <v>833717.31192759902</v>
      </c>
      <c r="AH268" s="54">
        <f t="shared" si="42"/>
        <v>1077760.5763477134</v>
      </c>
      <c r="AI268" s="54">
        <f t="shared" si="43"/>
        <v>1540208.1714654786</v>
      </c>
      <c r="AJ268" s="54">
        <f t="shared" si="44"/>
        <v>2407158.5835495633</v>
      </c>
      <c r="AK268" s="54">
        <f t="shared" si="45"/>
        <v>2633146.5525301066</v>
      </c>
      <c r="AL268" s="54">
        <f t="shared" si="46"/>
        <v>3842532.9359463872</v>
      </c>
      <c r="AM268" s="54">
        <f t="shared" si="47"/>
        <v>13747025.438121639</v>
      </c>
    </row>
    <row r="269" spans="1:39" x14ac:dyDescent="0.25">
      <c r="A269" s="24"/>
      <c r="B269" s="24"/>
      <c r="C269" s="24"/>
      <c r="D269" s="28"/>
      <c r="E269" s="24"/>
      <c r="F269" s="24"/>
      <c r="G269" s="24"/>
      <c r="H269" s="24"/>
      <c r="I269" s="24"/>
      <c r="J269" s="24">
        <v>2</v>
      </c>
      <c r="K269" s="57">
        <v>6.6019999999999995E-2</v>
      </c>
      <c r="L269">
        <v>0.87997289370921006</v>
      </c>
      <c r="M269" s="24"/>
      <c r="N269" s="24"/>
      <c r="O269" s="24"/>
      <c r="P269" s="24"/>
      <c r="Q269" s="55">
        <v>11</v>
      </c>
      <c r="R269" s="54">
        <v>275965.67578678578</v>
      </c>
      <c r="S269" s="54">
        <v>447435.89755845629</v>
      </c>
      <c r="T269" s="54">
        <v>847585.39623426925</v>
      </c>
      <c r="U269" s="54">
        <v>1005762.4190308731</v>
      </c>
      <c r="V269" s="54">
        <v>1929471.8436453277</v>
      </c>
      <c r="W269" s="54">
        <v>2135163.0566452323</v>
      </c>
      <c r="X269" s="54">
        <v>3590174.3875366338</v>
      </c>
      <c r="Y269" s="54">
        <v>4214213.1762224194</v>
      </c>
      <c r="Z269" s="54">
        <v>3907168.3047057758</v>
      </c>
      <c r="AA269" s="54">
        <f t="shared" si="37"/>
        <v>18352940.157365773</v>
      </c>
      <c r="AC269" s="55">
        <v>11</v>
      </c>
      <c r="AD269" s="54">
        <f t="shared" si="38"/>
        <v>259363.79901202602</v>
      </c>
      <c r="AE269" s="54">
        <f t="shared" si="39"/>
        <v>393731.46152389247</v>
      </c>
      <c r="AF269" s="54">
        <f t="shared" si="40"/>
        <v>697361.91253471072</v>
      </c>
      <c r="AG269" s="54">
        <f t="shared" si="41"/>
        <v>774475.34332791145</v>
      </c>
      <c r="AH269" s="54">
        <f t="shared" si="42"/>
        <v>1392262.3542910281</v>
      </c>
      <c r="AI269" s="54">
        <f t="shared" si="43"/>
        <v>1445131.3211164097</v>
      </c>
      <c r="AJ269" s="54">
        <f t="shared" si="44"/>
        <v>2281203.6436564443</v>
      </c>
      <c r="AK269" s="54">
        <f t="shared" si="45"/>
        <v>2514263.0394158917</v>
      </c>
      <c r="AL269" s="54">
        <f t="shared" si="46"/>
        <v>2187364.692215574</v>
      </c>
      <c r="AM269" s="54">
        <f t="shared" si="47"/>
        <v>11945157.56709389</v>
      </c>
    </row>
    <row r="270" spans="1:39" x14ac:dyDescent="0.25">
      <c r="A270" s="24"/>
      <c r="B270" s="24"/>
      <c r="C270" s="24"/>
      <c r="D270" s="28" t="s">
        <v>101</v>
      </c>
      <c r="E270" s="24"/>
      <c r="F270" s="28"/>
      <c r="G270" s="24"/>
      <c r="H270" s="24"/>
      <c r="I270" s="24"/>
      <c r="J270" s="24">
        <v>3</v>
      </c>
      <c r="K270" s="57">
        <v>6.719E-2</v>
      </c>
      <c r="L270">
        <v>0.82276301082228964</v>
      </c>
      <c r="M270" s="24"/>
      <c r="N270" s="24"/>
      <c r="O270" s="24"/>
      <c r="P270" s="24"/>
      <c r="Q270" s="55">
        <v>12</v>
      </c>
      <c r="R270" s="54">
        <v>86251.428199624643</v>
      </c>
      <c r="S270" s="54">
        <v>368237.433651275</v>
      </c>
      <c r="T270" s="54">
        <v>874872.64179175068</v>
      </c>
      <c r="U270" s="54">
        <v>1134822.5005544024</v>
      </c>
      <c r="V270" s="54">
        <v>1603392.9576024497</v>
      </c>
      <c r="W270" s="54">
        <v>2450769.4921608781</v>
      </c>
      <c r="X270" s="54">
        <v>2883710.1731529641</v>
      </c>
      <c r="Y270" s="54">
        <v>3751344.0639554379</v>
      </c>
      <c r="Z270" s="54">
        <v>5187617.640057507</v>
      </c>
      <c r="AA270" s="54">
        <f t="shared" si="37"/>
        <v>18341018.331126288</v>
      </c>
      <c r="AC270" s="55">
        <v>12</v>
      </c>
      <c r="AD270" s="54">
        <f t="shared" si="38"/>
        <v>81062.610501428222</v>
      </c>
      <c r="AE270" s="54">
        <f t="shared" si="39"/>
        <v>324038.96006216569</v>
      </c>
      <c r="AF270" s="54">
        <f t="shared" si="40"/>
        <v>719812.84884663124</v>
      </c>
      <c r="AG270" s="54">
        <f t="shared" si="41"/>
        <v>873856.518301795</v>
      </c>
      <c r="AH270" s="54">
        <f t="shared" si="42"/>
        <v>1156971.3553257668</v>
      </c>
      <c r="AI270" s="54">
        <f t="shared" si="43"/>
        <v>1658741.5855362986</v>
      </c>
      <c r="AJ270" s="54">
        <f t="shared" si="44"/>
        <v>1832314.9363113139</v>
      </c>
      <c r="AK270" s="54">
        <f t="shared" si="45"/>
        <v>2238108.3570599048</v>
      </c>
      <c r="AL270" s="54">
        <f t="shared" si="46"/>
        <v>2904203.4480342045</v>
      </c>
      <c r="AM270" s="54">
        <f t="shared" si="47"/>
        <v>11789110.619979508</v>
      </c>
    </row>
    <row r="271" spans="1:39" x14ac:dyDescent="0.25">
      <c r="A271" s="24"/>
      <c r="B271" s="24"/>
      <c r="C271" s="28" t="s">
        <v>102</v>
      </c>
      <c r="D271" s="28" t="s">
        <v>103</v>
      </c>
      <c r="E271" s="28" t="s">
        <v>104</v>
      </c>
      <c r="F271" s="28" t="s">
        <v>105</v>
      </c>
      <c r="G271" s="24"/>
      <c r="H271" s="58"/>
      <c r="I271" s="24"/>
      <c r="J271" s="24">
        <v>4</v>
      </c>
      <c r="K271" s="57">
        <v>6.7510000000000001E-2</v>
      </c>
      <c r="L271">
        <v>0.77003806134869912</v>
      </c>
      <c r="M271" s="24"/>
      <c r="N271" s="24"/>
      <c r="O271" s="24"/>
      <c r="P271" s="24"/>
      <c r="Q271" s="55">
        <v>13</v>
      </c>
      <c r="R271" s="54">
        <v>239003.42705828231</v>
      </c>
      <c r="S271" s="54">
        <v>440860.90577140544</v>
      </c>
      <c r="T271" s="54">
        <v>954944.27420597058</v>
      </c>
      <c r="U271" s="54">
        <v>1096892.2027981142</v>
      </c>
      <c r="V271" s="54">
        <v>1661414.3780126832</v>
      </c>
      <c r="W271" s="54">
        <v>2226557.685401029</v>
      </c>
      <c r="X271" s="54">
        <v>3371314.2114591645</v>
      </c>
      <c r="Y271" s="54">
        <v>4047934.7297234572</v>
      </c>
      <c r="Z271" s="54">
        <v>5081805.1847909177</v>
      </c>
      <c r="AA271" s="54">
        <f t="shared" si="37"/>
        <v>19120726.999221023</v>
      </c>
      <c r="AC271" s="55">
        <v>13</v>
      </c>
      <c r="AD271" s="54">
        <f t="shared" si="38"/>
        <v>224625.16993099908</v>
      </c>
      <c r="AE271" s="54">
        <f t="shared" si="39"/>
        <v>387945.64697492705</v>
      </c>
      <c r="AF271" s="54">
        <f t="shared" si="40"/>
        <v>785692.82621321047</v>
      </c>
      <c r="AG271" s="54">
        <f t="shared" si="41"/>
        <v>844648.7453511639</v>
      </c>
      <c r="AH271" s="54">
        <f t="shared" si="42"/>
        <v>1198838.2732835033</v>
      </c>
      <c r="AI271" s="54">
        <f t="shared" si="43"/>
        <v>1506989.4729731246</v>
      </c>
      <c r="AJ271" s="54">
        <f t="shared" si="44"/>
        <v>2142139.4709375864</v>
      </c>
      <c r="AK271" s="54">
        <f t="shared" si="45"/>
        <v>2415058.8143798471</v>
      </c>
      <c r="AL271" s="54">
        <f t="shared" si="46"/>
        <v>2844966.0641805273</v>
      </c>
      <c r="AM271" s="54">
        <f t="shared" si="47"/>
        <v>12350904.484224889</v>
      </c>
    </row>
    <row r="272" spans="1:39" x14ac:dyDescent="0.25">
      <c r="A272" s="24"/>
      <c r="B272" s="24"/>
      <c r="C272" s="28">
        <v>1</v>
      </c>
      <c r="D272" s="45">
        <f>C148</f>
        <v>1.5491217311151142</v>
      </c>
      <c r="E272" s="24">
        <f ca="1">INT(RAND()*$C$326+1)</f>
        <v>40</v>
      </c>
      <c r="F272" s="45">
        <f ca="1">VLOOKUP(E272,$C$272:$D$326,2)</f>
        <v>-1.4352846354757753</v>
      </c>
      <c r="G272" s="24"/>
      <c r="H272" s="24"/>
      <c r="I272" s="24"/>
      <c r="J272" s="24">
        <v>5</v>
      </c>
      <c r="K272" s="57">
        <v>6.744E-2</v>
      </c>
      <c r="L272">
        <v>0.72157692213877744</v>
      </c>
      <c r="M272" s="24"/>
      <c r="N272" s="24"/>
      <c r="O272" s="24"/>
      <c r="P272" s="24"/>
      <c r="Q272" s="55">
        <v>14</v>
      </c>
      <c r="R272" s="54">
        <v>293869.93673886172</v>
      </c>
      <c r="S272" s="54">
        <v>378673.38528216211</v>
      </c>
      <c r="T272" s="54">
        <v>867426.30480556376</v>
      </c>
      <c r="U272" s="54">
        <v>975198.05031948444</v>
      </c>
      <c r="V272" s="54">
        <v>1553790.8431758638</v>
      </c>
      <c r="W272" s="54">
        <v>2415007.8034986164</v>
      </c>
      <c r="X272" s="54">
        <v>2845501.5956383692</v>
      </c>
      <c r="Y272" s="54">
        <v>3860383.0909463475</v>
      </c>
      <c r="Z272" s="54">
        <v>4212004.0859274119</v>
      </c>
      <c r="AA272" s="54">
        <f t="shared" si="37"/>
        <v>17401855.09633268</v>
      </c>
      <c r="AC272" s="55">
        <v>14</v>
      </c>
      <c r="AD272" s="54">
        <f t="shared" si="38"/>
        <v>276190.95378695853</v>
      </c>
      <c r="AE272" s="54">
        <f t="shared" si="39"/>
        <v>333222.31461740681</v>
      </c>
      <c r="AF272" s="54">
        <f t="shared" si="40"/>
        <v>713686.27820827882</v>
      </c>
      <c r="AG272" s="54">
        <f t="shared" si="41"/>
        <v>750939.61609904689</v>
      </c>
      <c r="AH272" s="54">
        <f t="shared" si="42"/>
        <v>1121179.6142662556</v>
      </c>
      <c r="AI272" s="54">
        <f t="shared" si="43"/>
        <v>1634537.1875532011</v>
      </c>
      <c r="AJ272" s="54">
        <f t="shared" si="44"/>
        <v>1808037.133386808</v>
      </c>
      <c r="AK272" s="54">
        <f t="shared" si="45"/>
        <v>2303162.682494591</v>
      </c>
      <c r="AL272" s="54">
        <f t="shared" si="46"/>
        <v>2358022.0513994829</v>
      </c>
      <c r="AM272" s="54">
        <f t="shared" si="47"/>
        <v>11298977.83181203</v>
      </c>
    </row>
    <row r="273" spans="1:39" x14ac:dyDescent="0.25">
      <c r="A273" s="24"/>
      <c r="B273" s="24"/>
      <c r="C273" s="28">
        <v>2</v>
      </c>
      <c r="D273" s="45">
        <f t="shared" ref="D273:D281" si="51">C149</f>
        <v>0.90041958258305765</v>
      </c>
      <c r="E273" s="24">
        <f t="shared" ref="E273:E326" ca="1" si="52">INT(RAND()*$C$326+1)</f>
        <v>23</v>
      </c>
      <c r="F273" s="45">
        <f t="shared" ref="F273:F326" ca="1" si="53">VLOOKUP(E273,$C$272:$D$326,2)</f>
        <v>-1.4197526647924497</v>
      </c>
      <c r="G273" s="24"/>
      <c r="H273" s="24"/>
      <c r="I273" s="24"/>
      <c r="J273" s="24">
        <v>6</v>
      </c>
      <c r="K273" s="57">
        <v>6.7220000000000002E-2</v>
      </c>
      <c r="L273">
        <v>0.67682480577712867</v>
      </c>
      <c r="M273" s="24"/>
      <c r="N273" s="24"/>
      <c r="O273" s="24"/>
      <c r="P273" s="24"/>
      <c r="Q273" s="55">
        <v>15</v>
      </c>
      <c r="R273" s="54">
        <v>234619.31973505579</v>
      </c>
      <c r="S273" s="54">
        <v>480467.49308172055</v>
      </c>
      <c r="T273" s="54">
        <v>877516.85696618911</v>
      </c>
      <c r="U273" s="54">
        <v>1032343.5777335903</v>
      </c>
      <c r="V273" s="54">
        <v>1447483.2029599547</v>
      </c>
      <c r="W273" s="54">
        <v>2147271.9140856741</v>
      </c>
      <c r="X273" s="54">
        <v>2773849.7637845464</v>
      </c>
      <c r="Y273" s="54">
        <v>3687716.2289107637</v>
      </c>
      <c r="Z273" s="54">
        <v>7213783.5667027198</v>
      </c>
      <c r="AA273" s="54">
        <f t="shared" si="37"/>
        <v>19895051.923960213</v>
      </c>
      <c r="AC273" s="55">
        <v>15</v>
      </c>
      <c r="AD273" s="54">
        <f t="shared" si="38"/>
        <v>220504.80703664044</v>
      </c>
      <c r="AE273" s="54">
        <f t="shared" si="39"/>
        <v>422798.37022033148</v>
      </c>
      <c r="AF273" s="54">
        <f t="shared" si="40"/>
        <v>721988.41128481424</v>
      </c>
      <c r="AG273" s="54">
        <f t="shared" si="41"/>
        <v>794943.84724375396</v>
      </c>
      <c r="AH273" s="54">
        <f t="shared" si="42"/>
        <v>1044470.4744394234</v>
      </c>
      <c r="AI273" s="54">
        <f t="shared" si="43"/>
        <v>1453326.8962017198</v>
      </c>
      <c r="AJ273" s="54">
        <f t="shared" si="44"/>
        <v>1762509.422959418</v>
      </c>
      <c r="AK273" s="54">
        <f t="shared" si="45"/>
        <v>2200147.0325513338</v>
      </c>
      <c r="AL273" s="54">
        <f t="shared" si="46"/>
        <v>4038519.5211801073</v>
      </c>
      <c r="AM273" s="54">
        <f t="shared" si="47"/>
        <v>12659208.783117544</v>
      </c>
    </row>
    <row r="274" spans="1:39" x14ac:dyDescent="0.25">
      <c r="A274" s="24"/>
      <c r="B274" s="24"/>
      <c r="C274" s="28">
        <v>3</v>
      </c>
      <c r="D274" s="45">
        <f t="shared" si="51"/>
        <v>0.80516021556095807</v>
      </c>
      <c r="E274" s="24">
        <f t="shared" ca="1" si="52"/>
        <v>50</v>
      </c>
      <c r="F274" s="45">
        <f t="shared" ca="1" si="53"/>
        <v>-1.3914032485901502</v>
      </c>
      <c r="G274" s="24"/>
      <c r="H274" s="24"/>
      <c r="I274" s="24"/>
      <c r="J274" s="24">
        <v>7</v>
      </c>
      <c r="K274" s="57">
        <v>6.6930000000000003E-2</v>
      </c>
      <c r="L274">
        <v>0.63540190459151258</v>
      </c>
      <c r="M274" s="24"/>
      <c r="N274" s="24"/>
      <c r="O274" s="24"/>
      <c r="P274" s="24"/>
      <c r="Q274" s="55">
        <v>16</v>
      </c>
      <c r="R274" s="54">
        <v>272549.3899959689</v>
      </c>
      <c r="S274" s="54">
        <v>839559.31673676148</v>
      </c>
      <c r="T274" s="54">
        <v>1459674.9434051942</v>
      </c>
      <c r="U274" s="54">
        <v>1415353.4769596625</v>
      </c>
      <c r="V274" s="54">
        <v>1986733.5530658429</v>
      </c>
      <c r="W274" s="54">
        <v>3051327.7316111298</v>
      </c>
      <c r="X274" s="54">
        <v>4618388.6593370615</v>
      </c>
      <c r="Y274" s="54">
        <v>4023029.5913483147</v>
      </c>
      <c r="Z274" s="54">
        <v>4329667.388908295</v>
      </c>
      <c r="AA274" s="54">
        <f t="shared" si="37"/>
        <v>21996284.051368237</v>
      </c>
      <c r="AC274" s="55">
        <v>16</v>
      </c>
      <c r="AD274" s="54">
        <f t="shared" si="38"/>
        <v>256153.03427220506</v>
      </c>
      <c r="AE274" s="54">
        <f t="shared" si="39"/>
        <v>738789.44138937525</v>
      </c>
      <c r="AF274" s="54">
        <f t="shared" si="40"/>
        <v>1200966.5512579128</v>
      </c>
      <c r="AG274" s="54">
        <f t="shared" si="41"/>
        <v>1089876.0475211593</v>
      </c>
      <c r="AH274" s="54">
        <f t="shared" si="42"/>
        <v>1433581.0823310884</v>
      </c>
      <c r="AI274" s="54">
        <f t="shared" si="43"/>
        <v>2065214.2993100695</v>
      </c>
      <c r="AJ274" s="54">
        <f t="shared" si="44"/>
        <v>2934532.950286611</v>
      </c>
      <c r="AK274" s="54">
        <f t="shared" si="45"/>
        <v>2400200.0337985833</v>
      </c>
      <c r="AL274" s="54">
        <f t="shared" si="46"/>
        <v>2423893.9397949404</v>
      </c>
      <c r="AM274" s="54">
        <f t="shared" si="47"/>
        <v>14543207.379961945</v>
      </c>
    </row>
    <row r="275" spans="1:39" x14ac:dyDescent="0.25">
      <c r="A275" s="24"/>
      <c r="B275" s="24"/>
      <c r="C275" s="28">
        <v>4</v>
      </c>
      <c r="D275" s="45">
        <f t="shared" si="51"/>
        <v>-1.1255274744901316</v>
      </c>
      <c r="E275" s="24">
        <f t="shared" ca="1" si="52"/>
        <v>48</v>
      </c>
      <c r="F275" s="45">
        <f t="shared" ca="1" si="53"/>
        <v>-0.84865574256960807</v>
      </c>
      <c r="G275" s="24"/>
      <c r="H275" s="24"/>
      <c r="I275" s="24"/>
      <c r="J275" s="24">
        <v>8</v>
      </c>
      <c r="K275" s="57">
        <v>6.6689999999999999E-2</v>
      </c>
      <c r="L275">
        <v>0.59661505820397376</v>
      </c>
      <c r="M275" s="24"/>
      <c r="N275" s="24"/>
      <c r="O275" s="24"/>
      <c r="P275" s="24"/>
      <c r="Q275" s="55">
        <v>17</v>
      </c>
      <c r="R275" s="54">
        <v>52391.791570830159</v>
      </c>
      <c r="S275" s="54">
        <v>416598.94409686886</v>
      </c>
      <c r="T275" s="54">
        <v>938056.61789240316</v>
      </c>
      <c r="U275" s="54">
        <v>1163926.9025261486</v>
      </c>
      <c r="V275" s="54">
        <v>1714913.2810154445</v>
      </c>
      <c r="W275" s="54">
        <v>2400916.5322388429</v>
      </c>
      <c r="X275" s="54">
        <v>3590578.3813921455</v>
      </c>
      <c r="Y275" s="54">
        <v>3912487.3755268147</v>
      </c>
      <c r="Z275" s="54">
        <v>5714570.6593958093</v>
      </c>
      <c r="AA275" s="54">
        <f t="shared" si="37"/>
        <v>19904440.485655308</v>
      </c>
      <c r="AC275" s="55">
        <v>17</v>
      </c>
      <c r="AD275" s="54">
        <f t="shared" si="38"/>
        <v>49239.942830264903</v>
      </c>
      <c r="AE275" s="54">
        <f t="shared" si="39"/>
        <v>366595.77835312311</v>
      </c>
      <c r="AF275" s="54">
        <f t="shared" si="40"/>
        <v>771798.28725892771</v>
      </c>
      <c r="AG275" s="54">
        <f t="shared" si="41"/>
        <v>896268.01557283173</v>
      </c>
      <c r="AH275" s="54">
        <f t="shared" si="42"/>
        <v>1237441.8470500368</v>
      </c>
      <c r="AI275" s="54">
        <f t="shared" si="43"/>
        <v>1624999.8656196522</v>
      </c>
      <c r="AJ275" s="54">
        <f t="shared" si="44"/>
        <v>2281460.3421216798</v>
      </c>
      <c r="AK275" s="54">
        <f t="shared" si="45"/>
        <v>2334248.8832722432</v>
      </c>
      <c r="AL275" s="54">
        <f t="shared" si="46"/>
        <v>3199209.5340450788</v>
      </c>
      <c r="AM275" s="54">
        <f t="shared" si="47"/>
        <v>12761262.496123839</v>
      </c>
    </row>
    <row r="276" spans="1:39" x14ac:dyDescent="0.25">
      <c r="A276" s="24"/>
      <c r="B276" s="24"/>
      <c r="C276" s="28">
        <v>5</v>
      </c>
      <c r="D276" s="45">
        <f t="shared" si="51"/>
        <v>8.7547867969359372E-2</v>
      </c>
      <c r="E276" s="24">
        <f t="shared" ca="1" si="52"/>
        <v>4</v>
      </c>
      <c r="F276" s="45">
        <f t="shared" ca="1" si="53"/>
        <v>-1.1255274744901316</v>
      </c>
      <c r="G276" s="24"/>
      <c r="H276" s="24"/>
      <c r="I276" s="24"/>
      <c r="J276" s="24">
        <v>9</v>
      </c>
      <c r="K276" s="57">
        <v>6.658E-2</v>
      </c>
      <c r="L276">
        <v>0.55983375212711517</v>
      </c>
      <c r="M276" s="24"/>
      <c r="N276" s="24"/>
      <c r="O276" s="24"/>
      <c r="P276" s="24"/>
      <c r="Q276" s="55">
        <v>18</v>
      </c>
      <c r="R276" s="54">
        <v>178972.53251097817</v>
      </c>
      <c r="S276" s="54">
        <v>376838.78959848918</v>
      </c>
      <c r="T276" s="54">
        <v>962255.64986878261</v>
      </c>
      <c r="U276" s="54">
        <v>1122229.8329478838</v>
      </c>
      <c r="V276" s="54">
        <v>1672627.7323695384</v>
      </c>
      <c r="W276" s="54">
        <v>2231129.8007777403</v>
      </c>
      <c r="X276" s="54">
        <v>3734287.2499155952</v>
      </c>
      <c r="Y276" s="54">
        <v>4628448.637054774</v>
      </c>
      <c r="Z276" s="54">
        <v>5696295.0738192936</v>
      </c>
      <c r="AA276" s="54">
        <f t="shared" si="37"/>
        <v>20603085.298863076</v>
      </c>
      <c r="AC276" s="55">
        <v>18</v>
      </c>
      <c r="AD276" s="54">
        <f t="shared" si="38"/>
        <v>168205.68651702351</v>
      </c>
      <c r="AE276" s="54">
        <f t="shared" si="39"/>
        <v>331607.92014485871</v>
      </c>
      <c r="AF276" s="54">
        <f t="shared" si="40"/>
        <v>791708.35566679854</v>
      </c>
      <c r="AG276" s="54">
        <f t="shared" si="41"/>
        <v>864159.68495086289</v>
      </c>
      <c r="AH276" s="54">
        <f t="shared" si="42"/>
        <v>1206929.5710071742</v>
      </c>
      <c r="AI276" s="54">
        <f t="shared" si="43"/>
        <v>1510083.9940749579</v>
      </c>
      <c r="AJ276" s="54">
        <f t="shared" si="44"/>
        <v>2372773.2308881707</v>
      </c>
      <c r="AK276" s="54">
        <f t="shared" si="45"/>
        <v>2761402.1529905368</v>
      </c>
      <c r="AL276" s="54">
        <f t="shared" si="46"/>
        <v>3188978.2443994577</v>
      </c>
      <c r="AM276" s="54">
        <f t="shared" si="47"/>
        <v>13195848.840639843</v>
      </c>
    </row>
    <row r="277" spans="1:39" x14ac:dyDescent="0.25">
      <c r="A277" s="24"/>
      <c r="B277" s="24"/>
      <c r="C277" s="28">
        <v>6</v>
      </c>
      <c r="D277" s="45">
        <f t="shared" si="51"/>
        <v>-0.45829360843939237</v>
      </c>
      <c r="E277" s="24">
        <f t="shared" ca="1" si="52"/>
        <v>6</v>
      </c>
      <c r="F277" s="45">
        <f t="shared" ca="1" si="53"/>
        <v>-0.45829360843939237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55">
        <v>19</v>
      </c>
      <c r="R277" s="54">
        <v>67784.023768979125</v>
      </c>
      <c r="S277" s="54">
        <v>324142.55839436594</v>
      </c>
      <c r="T277" s="54">
        <v>746403.73831561767</v>
      </c>
      <c r="U277" s="54">
        <v>909629.64373451006</v>
      </c>
      <c r="V277" s="54">
        <v>1541449.425672939</v>
      </c>
      <c r="W277" s="54">
        <v>2116105.4313992476</v>
      </c>
      <c r="X277" s="54">
        <v>3174349.4175351551</v>
      </c>
      <c r="Y277" s="54">
        <v>4196184.077048203</v>
      </c>
      <c r="Z277" s="54">
        <v>4314042.6260639606</v>
      </c>
      <c r="AA277" s="54">
        <f t="shared" si="37"/>
        <v>17390090.941932976</v>
      </c>
      <c r="AC277" s="55">
        <v>19</v>
      </c>
      <c r="AD277" s="54">
        <f t="shared" si="38"/>
        <v>63706.190514167283</v>
      </c>
      <c r="AE277" s="54">
        <f t="shared" si="39"/>
        <v>285236.66508459678</v>
      </c>
      <c r="AF277" s="54">
        <f t="shared" si="40"/>
        <v>614113.38702557003</v>
      </c>
      <c r="AG277" s="54">
        <f t="shared" si="41"/>
        <v>700449.44740663003</v>
      </c>
      <c r="AH277" s="54">
        <f t="shared" si="42"/>
        <v>1112274.3322096656</v>
      </c>
      <c r="AI277" s="54">
        <f t="shared" si="43"/>
        <v>1432232.6476107228</v>
      </c>
      <c r="AJ277" s="54">
        <f t="shared" si="44"/>
        <v>2016987.6657407961</v>
      </c>
      <c r="AK277" s="54">
        <f t="shared" si="45"/>
        <v>2503506.6073627016</v>
      </c>
      <c r="AL277" s="54">
        <f t="shared" si="46"/>
        <v>2415146.6701857005</v>
      </c>
      <c r="AM277" s="54">
        <f t="shared" si="47"/>
        <v>11143653.61314055</v>
      </c>
    </row>
    <row r="278" spans="1:39" x14ac:dyDescent="0.25">
      <c r="A278" s="24"/>
      <c r="B278" s="24"/>
      <c r="C278" s="28">
        <v>7</v>
      </c>
      <c r="D278" s="45">
        <f t="shared" si="51"/>
        <v>-0.56280378214006754</v>
      </c>
      <c r="E278" s="24">
        <f t="shared" ca="1" si="52"/>
        <v>9</v>
      </c>
      <c r="F278" s="45">
        <f t="shared" ca="1" si="53"/>
        <v>-0.33964325357626246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55">
        <v>20</v>
      </c>
      <c r="R278" s="54">
        <v>150570.76347075589</v>
      </c>
      <c r="S278" s="54">
        <v>358514.67933421303</v>
      </c>
      <c r="T278" s="54">
        <v>623897.23454954941</v>
      </c>
      <c r="U278" s="54">
        <v>880005.26078985538</v>
      </c>
      <c r="V278" s="54">
        <v>1727944.320538478</v>
      </c>
      <c r="W278" s="54">
        <v>2272158.6294162069</v>
      </c>
      <c r="X278" s="54">
        <v>3103438.7587618902</v>
      </c>
      <c r="Y278" s="54">
        <v>3575209.3800531076</v>
      </c>
      <c r="Z278" s="54">
        <v>4880441.5757144317</v>
      </c>
      <c r="AA278" s="54">
        <f t="shared" si="37"/>
        <v>17572180.602628488</v>
      </c>
      <c r="AC278" s="55">
        <v>20</v>
      </c>
      <c r="AD278" s="54">
        <f t="shared" si="38"/>
        <v>141512.54543731347</v>
      </c>
      <c r="AE278" s="54">
        <f t="shared" si="39"/>
        <v>315483.19981095695</v>
      </c>
      <c r="AF278" s="54">
        <f t="shared" si="40"/>
        <v>513319.5671416875</v>
      </c>
      <c r="AG278" s="54">
        <f t="shared" si="41"/>
        <v>677637.54499527661</v>
      </c>
      <c r="AH278" s="54">
        <f t="shared" si="42"/>
        <v>1246844.744441336</v>
      </c>
      <c r="AI278" s="54">
        <f t="shared" si="43"/>
        <v>1537853.323049451</v>
      </c>
      <c r="AJ278" s="54">
        <f t="shared" si="44"/>
        <v>1971930.8981004248</v>
      </c>
      <c r="AK278" s="54">
        <f t="shared" si="45"/>
        <v>2133023.7523717778</v>
      </c>
      <c r="AL278" s="54">
        <f t="shared" si="46"/>
        <v>2732235.9193693805</v>
      </c>
      <c r="AM278" s="54">
        <f t="shared" si="47"/>
        <v>11269841.494717605</v>
      </c>
    </row>
    <row r="279" spans="1:39" x14ac:dyDescent="0.25">
      <c r="A279" s="24"/>
      <c r="B279" s="24"/>
      <c r="C279" s="28">
        <v>8</v>
      </c>
      <c r="D279" s="45">
        <f t="shared" si="51"/>
        <v>-0.27329873282557809</v>
      </c>
      <c r="E279" s="24">
        <f t="shared" ca="1" si="52"/>
        <v>46</v>
      </c>
      <c r="F279" s="45">
        <f t="shared" ca="1" si="53"/>
        <v>0.70059243037738927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55">
        <v>21</v>
      </c>
      <c r="R279" s="54">
        <v>187687.68719385471</v>
      </c>
      <c r="S279" s="54">
        <v>487413.35818005912</v>
      </c>
      <c r="T279" s="54">
        <v>1022988.7487313077</v>
      </c>
      <c r="U279" s="54">
        <v>1193435.4744931329</v>
      </c>
      <c r="V279" s="54">
        <v>2178363.8274870701</v>
      </c>
      <c r="W279" s="54">
        <v>3006683.7338584717</v>
      </c>
      <c r="X279" s="54">
        <v>3766713.960034878</v>
      </c>
      <c r="Y279" s="54">
        <v>4623878.2704656934</v>
      </c>
      <c r="Z279" s="54">
        <v>4110413.7702771192</v>
      </c>
      <c r="AA279" s="54">
        <f t="shared" si="37"/>
        <v>20577578.830721587</v>
      </c>
      <c r="AC279" s="55">
        <v>21</v>
      </c>
      <c r="AD279" s="54">
        <f t="shared" si="38"/>
        <v>176396.54438760417</v>
      </c>
      <c r="AE279" s="54">
        <f t="shared" si="39"/>
        <v>428910.54323023028</v>
      </c>
      <c r="AF279" s="54">
        <f t="shared" si="40"/>
        <v>841677.30294349743</v>
      </c>
      <c r="AG279" s="54">
        <f t="shared" si="41"/>
        <v>918990.73912345688</v>
      </c>
      <c r="AH279" s="54">
        <f t="shared" si="42"/>
        <v>1571857.0659365668</v>
      </c>
      <c r="AI279" s="54">
        <f t="shared" si="43"/>
        <v>2034998.1342020121</v>
      </c>
      <c r="AJ279" s="54">
        <f t="shared" si="44"/>
        <v>2393377.2242576</v>
      </c>
      <c r="AK279" s="54">
        <f t="shared" si="45"/>
        <v>2758675.4034619792</v>
      </c>
      <c r="AL279" s="54">
        <f t="shared" si="46"/>
        <v>2301148.3638092019</v>
      </c>
      <c r="AM279" s="54">
        <f t="shared" si="47"/>
        <v>13426031.32135215</v>
      </c>
    </row>
    <row r="280" spans="1:39" x14ac:dyDescent="0.25">
      <c r="A280" s="24"/>
      <c r="B280" s="24"/>
      <c r="C280" s="28">
        <v>9</v>
      </c>
      <c r="D280" s="45">
        <f t="shared" si="51"/>
        <v>-0.33964325357626246</v>
      </c>
      <c r="E280" s="24">
        <f t="shared" ca="1" si="52"/>
        <v>45</v>
      </c>
      <c r="F280" s="45">
        <f t="shared" ca="1" si="53"/>
        <v>-9.5186452530491933E-2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55">
        <v>22</v>
      </c>
      <c r="R280" s="54">
        <v>158991.20008801203</v>
      </c>
      <c r="S280" s="54">
        <v>406531.35341904312</v>
      </c>
      <c r="T280" s="54">
        <v>856189.09998172522</v>
      </c>
      <c r="U280" s="54">
        <v>1061178.8509828448</v>
      </c>
      <c r="V280" s="54">
        <v>1617674.1717279898</v>
      </c>
      <c r="W280" s="54">
        <v>2180247.809616724</v>
      </c>
      <c r="X280" s="54">
        <v>3550222.5761255901</v>
      </c>
      <c r="Y280" s="54">
        <v>3414752.4539332259</v>
      </c>
      <c r="Z280" s="54">
        <v>5364399.3355238494</v>
      </c>
      <c r="AA280" s="54">
        <f t="shared" si="37"/>
        <v>18610186.851399004</v>
      </c>
      <c r="AC280" s="55">
        <v>22</v>
      </c>
      <c r="AD280" s="54">
        <f t="shared" si="38"/>
        <v>149426.41524798831</v>
      </c>
      <c r="AE280" s="54">
        <f t="shared" si="39"/>
        <v>357736.57145167695</v>
      </c>
      <c r="AF280" s="54">
        <f t="shared" si="40"/>
        <v>704440.72173419059</v>
      </c>
      <c r="AG280" s="54">
        <f t="shared" si="41"/>
        <v>817148.10515506996</v>
      </c>
      <c r="AH280" s="54">
        <f t="shared" si="42"/>
        <v>1167276.3498588789</v>
      </c>
      <c r="AI280" s="54">
        <f t="shared" si="43"/>
        <v>1475645.8002898495</v>
      </c>
      <c r="AJ280" s="54">
        <f t="shared" si="44"/>
        <v>2255818.1865939861</v>
      </c>
      <c r="AK280" s="54">
        <f t="shared" si="45"/>
        <v>2037292.7340555338</v>
      </c>
      <c r="AL280" s="54">
        <f t="shared" si="46"/>
        <v>3003171.8079145201</v>
      </c>
      <c r="AM280" s="54">
        <f t="shared" si="47"/>
        <v>11967956.692301694</v>
      </c>
    </row>
    <row r="281" spans="1:39" x14ac:dyDescent="0.25">
      <c r="A281" s="24"/>
      <c r="B281" s="24"/>
      <c r="C281" s="28">
        <v>10</v>
      </c>
      <c r="D281" s="45">
        <f t="shared" si="51"/>
        <v>7.1170271052340668E-3</v>
      </c>
      <c r="E281" s="24">
        <f t="shared" ca="1" si="52"/>
        <v>13</v>
      </c>
      <c r="F281" s="45">
        <f t="shared" ca="1" si="53"/>
        <v>3.163458497063408E-2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55">
        <v>23</v>
      </c>
      <c r="R281" s="54">
        <v>125793.14650766924</v>
      </c>
      <c r="S281" s="54">
        <v>282711.57923987601</v>
      </c>
      <c r="T281" s="54">
        <v>819793.05309350882</v>
      </c>
      <c r="U281" s="54">
        <v>1061477.74295808</v>
      </c>
      <c r="V281" s="54">
        <v>1302699.6748163849</v>
      </c>
      <c r="W281" s="54">
        <v>2045332.349292608</v>
      </c>
      <c r="X281" s="54">
        <v>3638989.3585503362</v>
      </c>
      <c r="Y281" s="54">
        <v>3516993.8497977769</v>
      </c>
      <c r="Z281" s="54">
        <v>4096774.0109851374</v>
      </c>
      <c r="AA281" s="54">
        <f t="shared" si="37"/>
        <v>16890564.765241377</v>
      </c>
      <c r="AC281" s="55">
        <v>23</v>
      </c>
      <c r="AD281" s="54">
        <f t="shared" si="38"/>
        <v>118225.53031237418</v>
      </c>
      <c r="AE281" s="54">
        <f t="shared" si="39"/>
        <v>248778.52646881432</v>
      </c>
      <c r="AF281" s="54">
        <f t="shared" si="40"/>
        <v>674495.4006144125</v>
      </c>
      <c r="AG281" s="54">
        <f t="shared" si="41"/>
        <v>817378.26335223275</v>
      </c>
      <c r="AH281" s="54">
        <f t="shared" si="42"/>
        <v>939998.02182519331</v>
      </c>
      <c r="AI281" s="54">
        <f t="shared" si="43"/>
        <v>1384331.6700596476</v>
      </c>
      <c r="AJ281" s="54">
        <f t="shared" si="44"/>
        <v>2312220.7692111302</v>
      </c>
      <c r="AK281" s="54">
        <f t="shared" si="45"/>
        <v>2098291.4904001183</v>
      </c>
      <c r="AL281" s="54">
        <f t="shared" si="46"/>
        <v>2293512.3661866607</v>
      </c>
      <c r="AM281" s="54">
        <f t="shared" si="47"/>
        <v>10887232.038430583</v>
      </c>
    </row>
    <row r="282" spans="1:39" x14ac:dyDescent="0.25">
      <c r="A282" s="24"/>
      <c r="B282" s="24"/>
      <c r="C282" s="28">
        <v>11</v>
      </c>
      <c r="D282" s="45">
        <f>D148</f>
        <v>0.51899819372462364</v>
      </c>
      <c r="E282" s="24">
        <f t="shared" ca="1" si="52"/>
        <v>49</v>
      </c>
      <c r="F282" s="45">
        <f t="shared" ca="1" si="53"/>
        <v>0.38552357732725062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55">
        <v>24</v>
      </c>
      <c r="R282" s="54">
        <v>79405.36696118582</v>
      </c>
      <c r="S282" s="54">
        <v>243070.95102581475</v>
      </c>
      <c r="T282" s="54">
        <v>664183.54242339265</v>
      </c>
      <c r="U282" s="54">
        <v>977837.63740953989</v>
      </c>
      <c r="V282" s="54">
        <v>1227391.3755370434</v>
      </c>
      <c r="W282" s="54">
        <v>1876928.0573123395</v>
      </c>
      <c r="X282" s="54">
        <v>2570471.790744348</v>
      </c>
      <c r="Y282" s="54">
        <v>2985959.8099445095</v>
      </c>
      <c r="Z282" s="54">
        <v>5166940.350210092</v>
      </c>
      <c r="AA282" s="54">
        <f t="shared" si="37"/>
        <v>15792188.881568268</v>
      </c>
      <c r="AC282" s="55">
        <v>24</v>
      </c>
      <c r="AD282" s="54">
        <f t="shared" si="38"/>
        <v>74628.402892064754</v>
      </c>
      <c r="AE282" s="54">
        <f t="shared" si="39"/>
        <v>213895.8481508359</v>
      </c>
      <c r="AF282" s="54">
        <f t="shared" si="40"/>
        <v>546465.65110288444</v>
      </c>
      <c r="AG282" s="54">
        <f t="shared" si="41"/>
        <v>752972.1986246343</v>
      </c>
      <c r="AH282" s="54">
        <f t="shared" si="42"/>
        <v>885657.29101970012</v>
      </c>
      <c r="AI282" s="54">
        <f t="shared" si="43"/>
        <v>1270351.4678480676</v>
      </c>
      <c r="AJ282" s="54">
        <f t="shared" si="44"/>
        <v>1633282.6715377148</v>
      </c>
      <c r="AK282" s="54">
        <f t="shared" si="45"/>
        <v>1781468.58580477</v>
      </c>
      <c r="AL282" s="54">
        <f t="shared" si="46"/>
        <v>2892627.6032751063</v>
      </c>
      <c r="AM282" s="54">
        <f t="shared" si="47"/>
        <v>10051349.720255777</v>
      </c>
    </row>
    <row r="283" spans="1:39" x14ac:dyDescent="0.25">
      <c r="A283" s="24"/>
      <c r="B283" s="24"/>
      <c r="C283" s="28">
        <v>12</v>
      </c>
      <c r="D283" s="45">
        <f>D149</f>
        <v>-1.0222717770195413</v>
      </c>
      <c r="E283" s="24">
        <f t="shared" ca="1" si="52"/>
        <v>41</v>
      </c>
      <c r="F283" s="45">
        <f t="shared" ca="1" si="53"/>
        <v>0.93414963530575024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55">
        <v>25</v>
      </c>
      <c r="R283" s="54">
        <v>15980.500499735586</v>
      </c>
      <c r="S283" s="54">
        <v>189675.29642502498</v>
      </c>
      <c r="T283" s="54">
        <v>556736.03840919212</v>
      </c>
      <c r="U283" s="54">
        <v>795000.833956399</v>
      </c>
      <c r="V283" s="54">
        <v>1260791.0958015081</v>
      </c>
      <c r="W283" s="54">
        <v>1845032.5428432766</v>
      </c>
      <c r="X283" s="54">
        <v>2784877.1814383194</v>
      </c>
      <c r="Y283" s="54">
        <v>3553845.6746572959</v>
      </c>
      <c r="Z283" s="54">
        <v>4143971.3460850883</v>
      </c>
      <c r="AA283" s="54">
        <f t="shared" si="37"/>
        <v>15145910.51011584</v>
      </c>
      <c r="AC283" s="55">
        <v>25</v>
      </c>
      <c r="AD283" s="54">
        <f t="shared" si="38"/>
        <v>15019.12622976813</v>
      </c>
      <c r="AE283" s="54">
        <f t="shared" si="39"/>
        <v>166909.11946028142</v>
      </c>
      <c r="AF283" s="54">
        <f t="shared" si="40"/>
        <v>458061.81919482077</v>
      </c>
      <c r="AG283" s="54">
        <f t="shared" si="41"/>
        <v>612180.90095038456</v>
      </c>
      <c r="AH283" s="54">
        <f t="shared" si="42"/>
        <v>909757.75836842868</v>
      </c>
      <c r="AI283" s="54">
        <f t="shared" si="43"/>
        <v>1248763.7924623825</v>
      </c>
      <c r="AJ283" s="54">
        <f t="shared" si="44"/>
        <v>1769516.2651393514</v>
      </c>
      <c r="AK283" s="54">
        <f t="shared" si="45"/>
        <v>2120277.8440336031</v>
      </c>
      <c r="AL283" s="54">
        <f t="shared" si="46"/>
        <v>2319935.027386067</v>
      </c>
      <c r="AM283" s="54">
        <f t="shared" si="47"/>
        <v>9620421.6532250885</v>
      </c>
    </row>
    <row r="284" spans="1:39" x14ac:dyDescent="0.25">
      <c r="A284" s="24"/>
      <c r="B284" s="24"/>
      <c r="C284" s="28">
        <v>13</v>
      </c>
      <c r="D284" s="45">
        <f t="shared" ref="D284:D290" si="54">D150</f>
        <v>3.163458497063408E-2</v>
      </c>
      <c r="E284" s="24">
        <f t="shared" ca="1" si="52"/>
        <v>24</v>
      </c>
      <c r="F284" s="45">
        <f t="shared" ca="1" si="53"/>
        <v>0.48392004260505878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55">
        <v>26</v>
      </c>
      <c r="R284" s="54">
        <v>174508.53768470231</v>
      </c>
      <c r="S284" s="54">
        <v>411785.34805116057</v>
      </c>
      <c r="T284" s="54">
        <v>762558.62723231129</v>
      </c>
      <c r="U284" s="54">
        <v>871350.13989999425</v>
      </c>
      <c r="V284" s="54">
        <v>1398138.0859305728</v>
      </c>
      <c r="W284" s="54">
        <v>1975085.5804274287</v>
      </c>
      <c r="X284" s="54">
        <v>3253373.2407573247</v>
      </c>
      <c r="Y284" s="54">
        <v>3498225.7255773302</v>
      </c>
      <c r="Z284" s="54">
        <v>4045245.0298581892</v>
      </c>
      <c r="AA284" s="54">
        <f t="shared" si="37"/>
        <v>16390270.315419015</v>
      </c>
      <c r="AC284" s="55">
        <v>26</v>
      </c>
      <c r="AD284" s="54">
        <f t="shared" si="38"/>
        <v>164010.24208861036</v>
      </c>
      <c r="AE284" s="54">
        <f t="shared" si="39"/>
        <v>362359.944311634</v>
      </c>
      <c r="AF284" s="54">
        <f t="shared" si="40"/>
        <v>627405.03207016853</v>
      </c>
      <c r="AG284" s="54">
        <f t="shared" si="41"/>
        <v>670972.77248450927</v>
      </c>
      <c r="AH284" s="54">
        <f t="shared" si="42"/>
        <v>1008864.1767707843</v>
      </c>
      <c r="AI284" s="54">
        <f t="shared" si="43"/>
        <v>1336786.914366002</v>
      </c>
      <c r="AJ284" s="54">
        <f t="shared" si="44"/>
        <v>2067199.5535242658</v>
      </c>
      <c r="AK284" s="54">
        <f t="shared" si="45"/>
        <v>2087094.1448759572</v>
      </c>
      <c r="AL284" s="54">
        <f t="shared" si="46"/>
        <v>2264664.7033390743</v>
      </c>
      <c r="AM284" s="54">
        <f t="shared" si="47"/>
        <v>10589357.483831005</v>
      </c>
    </row>
    <row r="285" spans="1:39" x14ac:dyDescent="0.25">
      <c r="A285" s="24"/>
      <c r="B285" s="24"/>
      <c r="C285" s="28">
        <v>14</v>
      </c>
      <c r="D285" s="45">
        <f t="shared" si="54"/>
        <v>-1.0179824119611933</v>
      </c>
      <c r="E285" s="24">
        <f t="shared" ca="1" si="52"/>
        <v>32</v>
      </c>
      <c r="F285" s="45">
        <f t="shared" ca="1" si="53"/>
        <v>-8.5754633037477559E-2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55">
        <v>27</v>
      </c>
      <c r="R285" s="54">
        <v>276144.38848565053</v>
      </c>
      <c r="S285" s="54">
        <v>697663.70453699585</v>
      </c>
      <c r="T285" s="54">
        <v>981550.86114360485</v>
      </c>
      <c r="U285" s="54">
        <v>1502083.8320163433</v>
      </c>
      <c r="V285" s="54">
        <v>1670136.1543080332</v>
      </c>
      <c r="W285" s="54">
        <v>2575832.1235544635</v>
      </c>
      <c r="X285" s="54">
        <v>3454038.6570737064</v>
      </c>
      <c r="Y285" s="54">
        <v>4632249.5782574937</v>
      </c>
      <c r="Z285" s="54">
        <v>4449664.8831509445</v>
      </c>
      <c r="AA285" s="54">
        <f t="shared" si="37"/>
        <v>20239364.182527237</v>
      </c>
      <c r="AC285" s="55">
        <v>27</v>
      </c>
      <c r="AD285" s="54">
        <f t="shared" si="38"/>
        <v>259531.76049628344</v>
      </c>
      <c r="AE285" s="54">
        <f t="shared" si="39"/>
        <v>613925.14891730761</v>
      </c>
      <c r="AF285" s="54">
        <f t="shared" si="40"/>
        <v>807583.74178972351</v>
      </c>
      <c r="AG285" s="54">
        <f t="shared" si="41"/>
        <v>1156661.7219890901</v>
      </c>
      <c r="AH285" s="54">
        <f t="shared" si="42"/>
        <v>1205131.7057782849</v>
      </c>
      <c r="AI285" s="54">
        <f t="shared" si="43"/>
        <v>1743387.0767392386</v>
      </c>
      <c r="AJ285" s="54">
        <f t="shared" si="44"/>
        <v>2194702.7412373433</v>
      </c>
      <c r="AK285" s="54">
        <f t="shared" si="45"/>
        <v>2763669.8517474276</v>
      </c>
      <c r="AL285" s="54">
        <f t="shared" si="46"/>
        <v>2491072.5872426545</v>
      </c>
      <c r="AM285" s="54">
        <f t="shared" si="47"/>
        <v>13235666.335937355</v>
      </c>
    </row>
    <row r="286" spans="1:39" x14ac:dyDescent="0.25">
      <c r="A286" s="24"/>
      <c r="B286" s="24"/>
      <c r="C286" s="28">
        <v>15</v>
      </c>
      <c r="D286" s="45">
        <f t="shared" si="54"/>
        <v>0.24662857700263671</v>
      </c>
      <c r="E286" s="24">
        <f t="shared" ca="1" si="52"/>
        <v>29</v>
      </c>
      <c r="F286" s="45">
        <f t="shared" ca="1" si="53"/>
        <v>-1.3638062865522178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55">
        <v>28</v>
      </c>
      <c r="R286" s="54">
        <v>134877.05649966188</v>
      </c>
      <c r="S286" s="54">
        <v>333436.54263430834</v>
      </c>
      <c r="T286" s="54">
        <v>632325.98886403441</v>
      </c>
      <c r="U286" s="54">
        <v>817261.75692025106</v>
      </c>
      <c r="V286" s="54">
        <v>1256527.7568390751</v>
      </c>
      <c r="W286" s="54">
        <v>2080303.6286552325</v>
      </c>
      <c r="X286" s="54">
        <v>2884340.3766981848</v>
      </c>
      <c r="Y286" s="54">
        <v>3717271.9959971774</v>
      </c>
      <c r="Z286" s="54">
        <v>4766593.7053761426</v>
      </c>
      <c r="AA286" s="54">
        <f t="shared" si="37"/>
        <v>16622938.808484068</v>
      </c>
      <c r="AC286" s="55">
        <v>28</v>
      </c>
      <c r="AD286" s="54">
        <f t="shared" si="38"/>
        <v>126762.95946434891</v>
      </c>
      <c r="AE286" s="54">
        <f t="shared" si="39"/>
        <v>293415.1192903067</v>
      </c>
      <c r="AF286" s="54">
        <f t="shared" si="40"/>
        <v>520254.43441895454</v>
      </c>
      <c r="AG286" s="54">
        <f t="shared" si="41"/>
        <v>629322.65891330189</v>
      </c>
      <c r="AH286" s="54">
        <f t="shared" si="42"/>
        <v>906681.43136188202</v>
      </c>
      <c r="AI286" s="54">
        <f t="shared" si="43"/>
        <v>1408001.0994220336</v>
      </c>
      <c r="AJ286" s="54">
        <f t="shared" si="44"/>
        <v>1832715.3688442274</v>
      </c>
      <c r="AK286" s="54">
        <f t="shared" si="45"/>
        <v>2217780.4482518579</v>
      </c>
      <c r="AL286" s="54">
        <f t="shared" si="46"/>
        <v>2668500.0389462151</v>
      </c>
      <c r="AM286" s="54">
        <f t="shared" si="47"/>
        <v>10603433.558913128</v>
      </c>
    </row>
    <row r="287" spans="1:39" x14ac:dyDescent="0.25">
      <c r="A287" s="24"/>
      <c r="B287" s="24"/>
      <c r="C287" s="28">
        <v>16</v>
      </c>
      <c r="D287" s="45">
        <f t="shared" si="54"/>
        <v>0.5649075209269806</v>
      </c>
      <c r="E287" s="24">
        <f t="shared" ca="1" si="52"/>
        <v>30</v>
      </c>
      <c r="F287" s="45">
        <f t="shared" ca="1" si="53"/>
        <v>0.48123337251523407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55">
        <v>29</v>
      </c>
      <c r="R287" s="54">
        <v>161235.90534942131</v>
      </c>
      <c r="S287" s="54">
        <v>473975.62829207536</v>
      </c>
      <c r="T287" s="54">
        <v>1012601.5133340936</v>
      </c>
      <c r="U287" s="54">
        <v>1243817.094261067</v>
      </c>
      <c r="V287" s="54">
        <v>2013724.7597656306</v>
      </c>
      <c r="W287" s="54">
        <v>2327380.6342040394</v>
      </c>
      <c r="X287" s="54">
        <v>3683317.6157537056</v>
      </c>
      <c r="Y287" s="54">
        <v>3469906.0275078886</v>
      </c>
      <c r="Z287" s="54">
        <v>5679263.3871461814</v>
      </c>
      <c r="AA287" s="54">
        <f t="shared" si="37"/>
        <v>20065222.565614101</v>
      </c>
      <c r="AC287" s="55">
        <v>29</v>
      </c>
      <c r="AD287" s="54">
        <f t="shared" si="38"/>
        <v>151536.08081636575</v>
      </c>
      <c r="AE287" s="54">
        <f t="shared" si="39"/>
        <v>417085.70517581847</v>
      </c>
      <c r="AF287" s="54">
        <f t="shared" si="40"/>
        <v>833131.06987396569</v>
      </c>
      <c r="AG287" s="54">
        <f t="shared" si="41"/>
        <v>957786.50393716421</v>
      </c>
      <c r="AH287" s="54">
        <f t="shared" si="42"/>
        <v>1453057.3141863327</v>
      </c>
      <c r="AI287" s="54">
        <f t="shared" si="43"/>
        <v>1575228.9457145995</v>
      </c>
      <c r="AJ287" s="54">
        <f t="shared" si="44"/>
        <v>2340387.0282653738</v>
      </c>
      <c r="AK287" s="54">
        <f t="shared" si="45"/>
        <v>2070198.1865639384</v>
      </c>
      <c r="AL287" s="54">
        <f t="shared" si="46"/>
        <v>3179443.3313441956</v>
      </c>
      <c r="AM287" s="54">
        <f t="shared" si="47"/>
        <v>12977854.165877756</v>
      </c>
    </row>
    <row r="288" spans="1:39" x14ac:dyDescent="0.25">
      <c r="A288" s="24"/>
      <c r="B288" s="24"/>
      <c r="C288" s="28">
        <v>17</v>
      </c>
      <c r="D288" s="45">
        <f t="shared" si="54"/>
        <v>1.0507659237389675</v>
      </c>
      <c r="E288" s="24">
        <f t="shared" ca="1" si="52"/>
        <v>30</v>
      </c>
      <c r="F288" s="45">
        <f t="shared" ca="1" si="53"/>
        <v>0.48123337251523407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55">
        <v>30</v>
      </c>
      <c r="R288" s="54">
        <v>173133.48091035895</v>
      </c>
      <c r="S288" s="54">
        <v>454381.45159401372</v>
      </c>
      <c r="T288" s="54">
        <v>876885.31785542797</v>
      </c>
      <c r="U288" s="54">
        <v>1123392.9189640572</v>
      </c>
      <c r="V288" s="54">
        <v>1659595.3726945659</v>
      </c>
      <c r="W288" s="54">
        <v>2315113.378940247</v>
      </c>
      <c r="X288" s="54">
        <v>3913918.3744282732</v>
      </c>
      <c r="Y288" s="54">
        <v>4188436.5596554875</v>
      </c>
      <c r="Z288" s="54">
        <v>5274761.7362164259</v>
      </c>
      <c r="AA288" s="54">
        <f t="shared" si="37"/>
        <v>19979618.591258857</v>
      </c>
      <c r="AC288" s="55">
        <v>30</v>
      </c>
      <c r="AD288" s="54">
        <f t="shared" si="38"/>
        <v>162717.90764218284</v>
      </c>
      <c r="AE288" s="54">
        <f t="shared" si="39"/>
        <v>399843.36080697563</v>
      </c>
      <c r="AF288" s="54">
        <f t="shared" si="40"/>
        <v>721468.80426459236</v>
      </c>
      <c r="AG288" s="54">
        <f t="shared" si="41"/>
        <v>865055.30545193888</v>
      </c>
      <c r="AH288" s="54">
        <f t="shared" si="42"/>
        <v>1197525.7210247021</v>
      </c>
      <c r="AI288" s="54">
        <f t="shared" si="43"/>
        <v>1566926.1630532648</v>
      </c>
      <c r="AJ288" s="54">
        <f t="shared" si="44"/>
        <v>2486911.1895274417</v>
      </c>
      <c r="AK288" s="54">
        <f t="shared" si="45"/>
        <v>2498884.3218225101</v>
      </c>
      <c r="AL288" s="54">
        <f t="shared" si="46"/>
        <v>2952989.6543625784</v>
      </c>
      <c r="AM288" s="54">
        <f t="shared" si="47"/>
        <v>12852322.427956186</v>
      </c>
    </row>
    <row r="289" spans="1:39" x14ac:dyDescent="0.25">
      <c r="A289" s="24"/>
      <c r="B289" s="24"/>
      <c r="C289" s="28">
        <v>18</v>
      </c>
      <c r="D289" s="45">
        <f t="shared" si="54"/>
        <v>-0.61349921637169713</v>
      </c>
      <c r="E289" s="24">
        <f t="shared" ca="1" si="52"/>
        <v>45</v>
      </c>
      <c r="F289" s="45">
        <f t="shared" ca="1" si="53"/>
        <v>-9.5186452530491933E-2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55">
        <v>31</v>
      </c>
      <c r="R289" s="54">
        <v>246532.61637625191</v>
      </c>
      <c r="S289" s="54">
        <v>350264.40464625973</v>
      </c>
      <c r="T289" s="54">
        <v>837013.53115954716</v>
      </c>
      <c r="U289" s="54">
        <v>1072496.2732155779</v>
      </c>
      <c r="V289" s="54">
        <v>1353200.6880349698</v>
      </c>
      <c r="W289" s="54">
        <v>2114469.4021266364</v>
      </c>
      <c r="X289" s="54">
        <v>3194995.3496570336</v>
      </c>
      <c r="Y289" s="54">
        <v>4014797.8014805191</v>
      </c>
      <c r="Z289" s="54">
        <v>4737811.6350165596</v>
      </c>
      <c r="AA289" s="54">
        <f t="shared" si="37"/>
        <v>17921581.701713353</v>
      </c>
      <c r="AC289" s="55">
        <v>31</v>
      </c>
      <c r="AD289" s="54">
        <f t="shared" si="38"/>
        <v>231701.40917496258</v>
      </c>
      <c r="AE289" s="54">
        <f t="shared" si="39"/>
        <v>308223.18171990284</v>
      </c>
      <c r="AF289" s="54">
        <f t="shared" si="40"/>
        <v>688663.77299582539</v>
      </c>
      <c r="AG289" s="54">
        <f t="shared" si="41"/>
        <v>825862.95103062841</v>
      </c>
      <c r="AH289" s="54">
        <f t="shared" si="42"/>
        <v>976438.38750834949</v>
      </c>
      <c r="AI289" s="54">
        <f t="shared" si="43"/>
        <v>1431125.342416042</v>
      </c>
      <c r="AJ289" s="54">
        <f t="shared" si="44"/>
        <v>2030106.1303331049</v>
      </c>
      <c r="AK289" s="54">
        <f t="shared" si="45"/>
        <v>2395288.824007486</v>
      </c>
      <c r="AL289" s="54">
        <f t="shared" si="46"/>
        <v>2652386.864502823</v>
      </c>
      <c r="AM289" s="54">
        <f t="shared" si="47"/>
        <v>11539796.863689125</v>
      </c>
    </row>
    <row r="290" spans="1:39" x14ac:dyDescent="0.25">
      <c r="A290" s="24"/>
      <c r="B290" s="24"/>
      <c r="C290" s="28">
        <v>19</v>
      </c>
      <c r="D290" s="45">
        <f t="shared" si="54"/>
        <v>0.33737137552277008</v>
      </c>
      <c r="E290" s="24">
        <f t="shared" ca="1" si="52"/>
        <v>20</v>
      </c>
      <c r="F290" s="45">
        <f t="shared" ca="1" si="53"/>
        <v>-0.29601174277927639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55">
        <v>32</v>
      </c>
      <c r="R290" s="54">
        <v>327730.8346992638</v>
      </c>
      <c r="S290" s="54">
        <v>450686.46942968294</v>
      </c>
      <c r="T290" s="54">
        <v>849437.12695685867</v>
      </c>
      <c r="U290" s="54">
        <v>1013534.424800626</v>
      </c>
      <c r="V290" s="54">
        <v>1580782.8450065032</v>
      </c>
      <c r="W290" s="54">
        <v>2265279.1406405726</v>
      </c>
      <c r="X290" s="54">
        <v>3493853.1019707667</v>
      </c>
      <c r="Y290" s="54">
        <v>3761463.802626403</v>
      </c>
      <c r="Z290" s="54">
        <v>4880290.5445473781</v>
      </c>
      <c r="AA290" s="54">
        <f t="shared" si="37"/>
        <v>18623058.290678054</v>
      </c>
      <c r="AC290" s="55">
        <v>32</v>
      </c>
      <c r="AD290" s="54">
        <f t="shared" si="38"/>
        <v>308014.80690901761</v>
      </c>
      <c r="AE290" s="54">
        <f t="shared" si="39"/>
        <v>396591.87665962556</v>
      </c>
      <c r="AF290" s="54">
        <f t="shared" si="40"/>
        <v>698885.44807926053</v>
      </c>
      <c r="AG290" s="54">
        <f t="shared" si="41"/>
        <v>780460.08358364296</v>
      </c>
      <c r="AH290" s="54">
        <f t="shared" si="42"/>
        <v>1140656.4198695726</v>
      </c>
      <c r="AI290" s="54">
        <f t="shared" si="43"/>
        <v>1533197.1143950366</v>
      </c>
      <c r="AJ290" s="54">
        <f t="shared" si="44"/>
        <v>2220000.9153551892</v>
      </c>
      <c r="AK290" s="54">
        <f t="shared" si="45"/>
        <v>2244145.9455360919</v>
      </c>
      <c r="AL290" s="54">
        <f t="shared" si="46"/>
        <v>2732151.3670244408</v>
      </c>
      <c r="AM290" s="54">
        <f t="shared" si="47"/>
        <v>12054103.977411877</v>
      </c>
    </row>
    <row r="291" spans="1:39" x14ac:dyDescent="0.25">
      <c r="A291" s="24"/>
      <c r="B291" s="24"/>
      <c r="C291" s="28">
        <v>20</v>
      </c>
      <c r="D291" s="45">
        <f>E148</f>
        <v>-0.29601174277927639</v>
      </c>
      <c r="E291" s="24">
        <f t="shared" ca="1" si="52"/>
        <v>6</v>
      </c>
      <c r="F291" s="45">
        <f t="shared" ca="1" si="53"/>
        <v>-0.45829360843939237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55">
        <v>33</v>
      </c>
      <c r="R291" s="54">
        <v>102435.88768036664</v>
      </c>
      <c r="S291" s="54">
        <v>253646.22257147171</v>
      </c>
      <c r="T291" s="54">
        <v>660735.53485867381</v>
      </c>
      <c r="U291" s="54">
        <v>918981.47680708207</v>
      </c>
      <c r="V291" s="54">
        <v>1424307.6110218167</v>
      </c>
      <c r="W291" s="54">
        <v>2031772.8210430462</v>
      </c>
      <c r="X291" s="54">
        <v>3545269.5209330618</v>
      </c>
      <c r="Y291" s="54">
        <v>3420301.4748698054</v>
      </c>
      <c r="Z291" s="54">
        <v>5143355.4033206804</v>
      </c>
      <c r="AA291" s="54">
        <f t="shared" si="37"/>
        <v>17500805.953106005</v>
      </c>
      <c r="AC291" s="55">
        <v>33</v>
      </c>
      <c r="AD291" s="54">
        <f t="shared" si="38"/>
        <v>96273.425701230852</v>
      </c>
      <c r="AE291" s="54">
        <f t="shared" si="39"/>
        <v>223201.8004546283</v>
      </c>
      <c r="AF291" s="54">
        <f t="shared" si="40"/>
        <v>543628.75801759842</v>
      </c>
      <c r="AG291" s="54">
        <f t="shared" si="41"/>
        <v>707650.71481588995</v>
      </c>
      <c r="AH291" s="54">
        <f t="shared" si="42"/>
        <v>1027747.5021399575</v>
      </c>
      <c r="AI291" s="54">
        <f t="shared" si="43"/>
        <v>1375154.2449857085</v>
      </c>
      <c r="AJ291" s="54">
        <f t="shared" si="44"/>
        <v>2252671.005891107</v>
      </c>
      <c r="AK291" s="54">
        <f t="shared" si="45"/>
        <v>2040603.3635045863</v>
      </c>
      <c r="AL291" s="54">
        <f t="shared" si="46"/>
        <v>2879423.9539642883</v>
      </c>
      <c r="AM291" s="54">
        <f t="shared" si="47"/>
        <v>11146354.769474994</v>
      </c>
    </row>
    <row r="292" spans="1:39" x14ac:dyDescent="0.25">
      <c r="A292" s="24"/>
      <c r="B292" s="24"/>
      <c r="C292" s="28">
        <v>21</v>
      </c>
      <c r="D292" s="45">
        <f>E149</f>
        <v>0.21581558131613604</v>
      </c>
      <c r="E292" s="24">
        <f t="shared" ca="1" si="52"/>
        <v>29</v>
      </c>
      <c r="F292" s="45">
        <f t="shared" ca="1" si="53"/>
        <v>-1.3638062865522178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55">
        <v>34</v>
      </c>
      <c r="R292" s="54">
        <v>191153.29819135834</v>
      </c>
      <c r="S292" s="54">
        <v>413858.33413423132</v>
      </c>
      <c r="T292" s="54">
        <v>822367.26941290312</v>
      </c>
      <c r="U292" s="54">
        <v>1195361.655218347</v>
      </c>
      <c r="V292" s="54">
        <v>1738094.0797695862</v>
      </c>
      <c r="W292" s="54">
        <v>2198512.939084176</v>
      </c>
      <c r="X292" s="54">
        <v>2802353.4776159828</v>
      </c>
      <c r="Y292" s="54">
        <v>3188284.1427567722</v>
      </c>
      <c r="Z292" s="54">
        <v>5436778.0810292345</v>
      </c>
      <c r="AA292" s="54">
        <f t="shared" si="37"/>
        <v>17986763.27721259</v>
      </c>
      <c r="AC292" s="55">
        <v>34</v>
      </c>
      <c r="AD292" s="54">
        <f t="shared" si="38"/>
        <v>179653.66696869236</v>
      </c>
      <c r="AE292" s="54">
        <f t="shared" si="39"/>
        <v>364184.11587377265</v>
      </c>
      <c r="AF292" s="54">
        <f t="shared" si="40"/>
        <v>676613.37058386521</v>
      </c>
      <c r="AG292" s="54">
        <f t="shared" si="41"/>
        <v>920473.97159490804</v>
      </c>
      <c r="AH292" s="54">
        <f t="shared" si="42"/>
        <v>1254168.5764677688</v>
      </c>
      <c r="AI292" s="54">
        <f t="shared" si="43"/>
        <v>1488008.0929941516</v>
      </c>
      <c r="AJ292" s="54">
        <f t="shared" si="44"/>
        <v>1780620.7370158441</v>
      </c>
      <c r="AK292" s="54">
        <f t="shared" si="45"/>
        <v>1902178.3294016381</v>
      </c>
      <c r="AL292" s="54">
        <f t="shared" si="46"/>
        <v>3043691.8725850531</v>
      </c>
      <c r="AM292" s="54">
        <f t="shared" si="47"/>
        <v>11609592.733485693</v>
      </c>
    </row>
    <row r="293" spans="1:39" x14ac:dyDescent="0.25">
      <c r="A293" s="24"/>
      <c r="B293" s="24"/>
      <c r="C293" s="28">
        <v>22</v>
      </c>
      <c r="D293" s="45">
        <f t="shared" ref="D293:D298" si="55">E150</f>
        <v>4.2436171337971298E-2</v>
      </c>
      <c r="E293" s="24">
        <f t="shared" ca="1" si="52"/>
        <v>37</v>
      </c>
      <c r="F293" s="45">
        <f t="shared" ca="1" si="53"/>
        <v>0.30062460404756114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55">
        <v>35</v>
      </c>
      <c r="R293" s="54">
        <v>34438.711326303892</v>
      </c>
      <c r="S293" s="54">
        <v>393233.24713421986</v>
      </c>
      <c r="T293" s="54">
        <v>683796.53964653332</v>
      </c>
      <c r="U293" s="54">
        <v>810203.68983838242</v>
      </c>
      <c r="V293" s="54">
        <v>1638866.7500268053</v>
      </c>
      <c r="W293" s="54">
        <v>2119378.3526979247</v>
      </c>
      <c r="X293" s="54">
        <v>2949062.8772327364</v>
      </c>
      <c r="Y293" s="54">
        <v>3417833.6407060968</v>
      </c>
      <c r="Z293" s="54">
        <v>4016295.5005783369</v>
      </c>
      <c r="AA293" s="54">
        <f t="shared" si="37"/>
        <v>16063109.309187338</v>
      </c>
      <c r="AC293" s="55">
        <v>35</v>
      </c>
      <c r="AD293" s="54">
        <f t="shared" si="38"/>
        <v>32366.905692901284</v>
      </c>
      <c r="AE293" s="54">
        <f t="shared" si="39"/>
        <v>346034.5983833684</v>
      </c>
      <c r="AF293" s="54">
        <f t="shared" si="40"/>
        <v>562602.49974944489</v>
      </c>
      <c r="AG293" s="54">
        <f t="shared" si="41"/>
        <v>623887.67862071074</v>
      </c>
      <c r="AH293" s="54">
        <f t="shared" si="42"/>
        <v>1182568.4252799232</v>
      </c>
      <c r="AI293" s="54">
        <f t="shared" si="43"/>
        <v>1434447.8419330239</v>
      </c>
      <c r="AJ293" s="54">
        <f t="shared" si="44"/>
        <v>1873840.1689538069</v>
      </c>
      <c r="AK293" s="54">
        <f t="shared" si="45"/>
        <v>2039131.0164813674</v>
      </c>
      <c r="AL293" s="54">
        <f t="shared" si="46"/>
        <v>2248457.7797400206</v>
      </c>
      <c r="AM293" s="54">
        <f t="shared" si="47"/>
        <v>10343336.914834568</v>
      </c>
    </row>
    <row r="294" spans="1:39" x14ac:dyDescent="0.25">
      <c r="A294" s="24"/>
      <c r="B294" s="24"/>
      <c r="C294" s="28">
        <v>23</v>
      </c>
      <c r="D294" s="45">
        <f t="shared" si="55"/>
        <v>-1.4197526647924497</v>
      </c>
      <c r="E294" s="24">
        <f t="shared" ca="1" si="52"/>
        <v>38</v>
      </c>
      <c r="F294" s="45">
        <f t="shared" ca="1" si="53"/>
        <v>3.866004049709924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55">
        <v>36</v>
      </c>
      <c r="R294" s="54">
        <v>52690.344253346324</v>
      </c>
      <c r="S294" s="54">
        <v>214510.39670052566</v>
      </c>
      <c r="T294" s="54">
        <v>578059.86689660605</v>
      </c>
      <c r="U294" s="54">
        <v>784070.00907971524</v>
      </c>
      <c r="V294" s="54">
        <v>1120377.9953040238</v>
      </c>
      <c r="W294" s="54">
        <v>1885723.2276339196</v>
      </c>
      <c r="X294" s="54">
        <v>2947856.8557422245</v>
      </c>
      <c r="Y294" s="54">
        <v>2688022.9232938858</v>
      </c>
      <c r="Z294" s="54">
        <v>4485749.7386001246</v>
      </c>
      <c r="AA294" s="54">
        <f t="shared" si="37"/>
        <v>14757061.357504372</v>
      </c>
      <c r="AC294" s="55">
        <v>36</v>
      </c>
      <c r="AD294" s="54">
        <f t="shared" si="38"/>
        <v>49520.534819547116</v>
      </c>
      <c r="AE294" s="54">
        <f t="shared" si="39"/>
        <v>188763.33451527214</v>
      </c>
      <c r="AF294" s="54">
        <f t="shared" si="40"/>
        <v>475606.27652338357</v>
      </c>
      <c r="AG294" s="54">
        <f t="shared" si="41"/>
        <v>603763.7497534008</v>
      </c>
      <c r="AH294" s="54">
        <f t="shared" si="42"/>
        <v>808438.90548349114</v>
      </c>
      <c r="AI294" s="54">
        <f t="shared" si="43"/>
        <v>1276304.2572927477</v>
      </c>
      <c r="AJ294" s="54">
        <f t="shared" si="44"/>
        <v>1873073.8606017572</v>
      </c>
      <c r="AK294" s="54">
        <f t="shared" si="45"/>
        <v>1603714.9528345973</v>
      </c>
      <c r="AL294" s="54">
        <f t="shared" si="46"/>
        <v>2511274.1072637336</v>
      </c>
      <c r="AM294" s="54">
        <f t="shared" si="47"/>
        <v>9390459.9790879302</v>
      </c>
    </row>
    <row r="295" spans="1:39" x14ac:dyDescent="0.25">
      <c r="A295" s="24"/>
      <c r="B295" s="24"/>
      <c r="C295" s="28">
        <v>24</v>
      </c>
      <c r="D295" s="45">
        <f t="shared" si="55"/>
        <v>0.48392004260505878</v>
      </c>
      <c r="E295" s="24">
        <f t="shared" ca="1" si="52"/>
        <v>13</v>
      </c>
      <c r="F295" s="45">
        <f t="shared" ca="1" si="53"/>
        <v>3.163458497063408E-2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55">
        <v>37</v>
      </c>
      <c r="R295" s="54">
        <v>135755.04556320142</v>
      </c>
      <c r="S295" s="54">
        <v>377357.57799065951</v>
      </c>
      <c r="T295" s="54">
        <v>808912.70148421638</v>
      </c>
      <c r="U295" s="54">
        <v>1089913.7229818534</v>
      </c>
      <c r="V295" s="54">
        <v>1562867.7939668838</v>
      </c>
      <c r="W295" s="54">
        <v>2425983.4778969511</v>
      </c>
      <c r="X295" s="54">
        <v>3764011.2014396992</v>
      </c>
      <c r="Y295" s="54">
        <v>4025203.5422548912</v>
      </c>
      <c r="Z295" s="54">
        <v>5024478.7715894952</v>
      </c>
      <c r="AA295" s="54">
        <f t="shared" si="37"/>
        <v>19214483.835167851</v>
      </c>
      <c r="AC295" s="55">
        <v>37</v>
      </c>
      <c r="AD295" s="54">
        <f t="shared" si="38"/>
        <v>127588.12940028893</v>
      </c>
      <c r="AE295" s="54">
        <f t="shared" si="39"/>
        <v>332064.43986753956</v>
      </c>
      <c r="AF295" s="54">
        <f t="shared" si="40"/>
        <v>665543.4497655459</v>
      </c>
      <c r="AG295" s="54">
        <f t="shared" si="41"/>
        <v>839275.05028228951</v>
      </c>
      <c r="AH295" s="54">
        <f t="shared" si="42"/>
        <v>1127729.332480445</v>
      </c>
      <c r="AI295" s="54">
        <f t="shared" si="43"/>
        <v>1641965.796246127</v>
      </c>
      <c r="AJ295" s="54">
        <f t="shared" si="44"/>
        <v>2391659.8862985722</v>
      </c>
      <c r="AK295" s="54">
        <f t="shared" si="45"/>
        <v>2401497.0456452435</v>
      </c>
      <c r="AL295" s="54">
        <f t="shared" si="46"/>
        <v>2812872.8031819854</v>
      </c>
      <c r="AM295" s="54">
        <f t="shared" si="47"/>
        <v>12340195.933168037</v>
      </c>
    </row>
    <row r="296" spans="1:39" x14ac:dyDescent="0.25">
      <c r="A296" s="24"/>
      <c r="B296" s="24"/>
      <c r="C296" s="28">
        <v>25</v>
      </c>
      <c r="D296" s="45">
        <f t="shared" si="55"/>
        <v>0.30077391314047036</v>
      </c>
      <c r="E296" s="24">
        <f t="shared" ca="1" si="52"/>
        <v>19</v>
      </c>
      <c r="F296" s="45">
        <f t="shared" ca="1" si="53"/>
        <v>0.33737137552277008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55">
        <v>38</v>
      </c>
      <c r="R296" s="54">
        <v>182994.02452217136</v>
      </c>
      <c r="S296" s="54">
        <v>482999.20469248854</v>
      </c>
      <c r="T296" s="54">
        <v>1038989.8705704324</v>
      </c>
      <c r="U296" s="54">
        <v>1169738.1925269598</v>
      </c>
      <c r="V296" s="54">
        <v>1539004.5416825777</v>
      </c>
      <c r="W296" s="54">
        <v>2454782.3741372367</v>
      </c>
      <c r="X296" s="54">
        <v>3438648.1260499535</v>
      </c>
      <c r="Y296" s="54">
        <v>3382968.9455067916</v>
      </c>
      <c r="Z296" s="54">
        <v>3820486.9513282836</v>
      </c>
      <c r="AA296" s="54">
        <f t="shared" si="37"/>
        <v>17510612.231016897</v>
      </c>
      <c r="AC296" s="55">
        <v>38</v>
      </c>
      <c r="AD296" s="54">
        <f t="shared" si="38"/>
        <v>171985.24874970288</v>
      </c>
      <c r="AE296" s="54">
        <f t="shared" si="39"/>
        <v>425026.20781249623</v>
      </c>
      <c r="AF296" s="54">
        <f t="shared" si="40"/>
        <v>854842.43412439001</v>
      </c>
      <c r="AG296" s="54">
        <f t="shared" si="41"/>
        <v>900742.93005899154</v>
      </c>
      <c r="AH296" s="54">
        <f t="shared" si="42"/>
        <v>1110510.1603449143</v>
      </c>
      <c r="AI296" s="54">
        <f t="shared" si="43"/>
        <v>1661457.6036005542</v>
      </c>
      <c r="AJ296" s="54">
        <f t="shared" si="44"/>
        <v>2184923.5685121762</v>
      </c>
      <c r="AK296" s="54">
        <f t="shared" si="45"/>
        <v>2018330.2143257703</v>
      </c>
      <c r="AL296" s="54">
        <f t="shared" si="46"/>
        <v>2138837.5449147965</v>
      </c>
      <c r="AM296" s="54">
        <f t="shared" si="47"/>
        <v>11466655.912443792</v>
      </c>
    </row>
    <row r="297" spans="1:39" x14ac:dyDescent="0.25">
      <c r="A297" s="24"/>
      <c r="B297" s="24"/>
      <c r="C297" s="28">
        <v>26</v>
      </c>
      <c r="D297" s="45">
        <f t="shared" si="55"/>
        <v>-0.65141310272110353</v>
      </c>
      <c r="E297" s="24">
        <f t="shared" ca="1" si="52"/>
        <v>48</v>
      </c>
      <c r="F297" s="45">
        <f t="shared" ca="1" si="53"/>
        <v>-0.84865574256960807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55">
        <v>39</v>
      </c>
      <c r="R297" s="54">
        <v>85060.132180282846</v>
      </c>
      <c r="S297" s="54">
        <v>247088.53585136402</v>
      </c>
      <c r="T297" s="54">
        <v>788249.6802424388</v>
      </c>
      <c r="U297" s="54">
        <v>991399.47212253883</v>
      </c>
      <c r="V297" s="54">
        <v>1516126.8087246213</v>
      </c>
      <c r="W297" s="54">
        <v>2042019.7428748785</v>
      </c>
      <c r="X297" s="54">
        <v>2886597.4805776812</v>
      </c>
      <c r="Y297" s="54">
        <v>3477402.9454681841</v>
      </c>
      <c r="Z297" s="54">
        <v>6172587.9082816718</v>
      </c>
      <c r="AA297" s="54">
        <f t="shared" si="37"/>
        <v>18206532.706323661</v>
      </c>
      <c r="AC297" s="55">
        <v>39</v>
      </c>
      <c r="AD297" s="54">
        <f t="shared" si="38"/>
        <v>79942.981908330607</v>
      </c>
      <c r="AE297" s="54">
        <f t="shared" si="39"/>
        <v>217431.21389549668</v>
      </c>
      <c r="AF297" s="54">
        <f t="shared" si="40"/>
        <v>648542.68019597605</v>
      </c>
      <c r="AG297" s="54">
        <f t="shared" si="41"/>
        <v>763415.3275353635</v>
      </c>
      <c r="AH297" s="54">
        <f t="shared" si="42"/>
        <v>1094002.1162115992</v>
      </c>
      <c r="AI297" s="54">
        <f t="shared" si="43"/>
        <v>1382089.6158643519</v>
      </c>
      <c r="AJ297" s="54">
        <f t="shared" si="44"/>
        <v>1834149.5369481205</v>
      </c>
      <c r="AK297" s="54">
        <f t="shared" si="45"/>
        <v>2074670.9607091704</v>
      </c>
      <c r="AL297" s="54">
        <f t="shared" si="46"/>
        <v>3455623.0490277898</v>
      </c>
      <c r="AM297" s="54">
        <f t="shared" si="47"/>
        <v>11549867.482296199</v>
      </c>
    </row>
    <row r="298" spans="1:39" x14ac:dyDescent="0.25">
      <c r="A298" s="24"/>
      <c r="B298" s="24"/>
      <c r="C298" s="28">
        <v>27</v>
      </c>
      <c r="D298" s="45">
        <f t="shared" si="55"/>
        <v>1.2774070240224393</v>
      </c>
      <c r="E298" s="24">
        <f t="shared" ca="1" si="52"/>
        <v>33</v>
      </c>
      <c r="F298" s="45">
        <f t="shared" ca="1" si="53"/>
        <v>0.81029633789939992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55">
        <v>40</v>
      </c>
      <c r="R298" s="54">
        <v>302753.78855787311</v>
      </c>
      <c r="S298" s="54">
        <v>466798.13573549595</v>
      </c>
      <c r="T298" s="54">
        <v>664830.94746128935</v>
      </c>
      <c r="U298" s="54">
        <v>885700.96473893244</v>
      </c>
      <c r="V298" s="54">
        <v>1396610.9419082319</v>
      </c>
      <c r="W298" s="54">
        <v>1984308.1109195976</v>
      </c>
      <c r="X298" s="54">
        <v>3126430.2881218446</v>
      </c>
      <c r="Y298" s="54">
        <v>3844210.4504869077</v>
      </c>
      <c r="Z298" s="54">
        <v>3531425.4858895973</v>
      </c>
      <c r="AA298" s="54">
        <f t="shared" si="37"/>
        <v>16203069.113819771</v>
      </c>
      <c r="AC298" s="55">
        <v>40</v>
      </c>
      <c r="AD298" s="54">
        <f t="shared" si="38"/>
        <v>284540.36010739853</v>
      </c>
      <c r="AE298" s="54">
        <f t="shared" si="39"/>
        <v>410769.70628122898</v>
      </c>
      <c r="AF298" s="54">
        <f t="shared" si="40"/>
        <v>546998.31202108588</v>
      </c>
      <c r="AG298" s="54">
        <f t="shared" si="41"/>
        <v>682023.45382224</v>
      </c>
      <c r="AH298" s="54">
        <f t="shared" si="42"/>
        <v>1007762.224887481</v>
      </c>
      <c r="AI298" s="54">
        <f t="shared" si="43"/>
        <v>1343028.9517751378</v>
      </c>
      <c r="AJ298" s="54">
        <f t="shared" si="44"/>
        <v>1986539.7596452115</v>
      </c>
      <c r="AK298" s="54">
        <f t="shared" si="45"/>
        <v>2293513.8416655706</v>
      </c>
      <c r="AL298" s="54">
        <f t="shared" si="46"/>
        <v>1977011.180122894</v>
      </c>
      <c r="AM298" s="54">
        <f t="shared" si="47"/>
        <v>10532187.790328247</v>
      </c>
    </row>
    <row r="299" spans="1:39" x14ac:dyDescent="0.25">
      <c r="A299" s="24"/>
      <c r="B299" s="24"/>
      <c r="C299" s="28">
        <v>28</v>
      </c>
      <c r="D299" s="45">
        <f>F148</f>
        <v>-1.1645117199917387</v>
      </c>
      <c r="E299" s="24">
        <f t="shared" ca="1" si="52"/>
        <v>43</v>
      </c>
      <c r="F299" s="45">
        <f t="shared" ca="1" si="53"/>
        <v>-1.7406728008328194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55">
        <v>41</v>
      </c>
      <c r="R299" s="54">
        <v>109924.44205897674</v>
      </c>
      <c r="S299" s="54">
        <v>217580.56796674989</v>
      </c>
      <c r="T299" s="54">
        <v>578334.08971450571</v>
      </c>
      <c r="U299" s="54">
        <v>681850.64952204842</v>
      </c>
      <c r="V299" s="54">
        <v>1161947.7054210026</v>
      </c>
      <c r="W299" s="54">
        <v>1744089.190617701</v>
      </c>
      <c r="X299" s="54">
        <v>3048436.2073344719</v>
      </c>
      <c r="Y299" s="54">
        <v>3589698.9425162533</v>
      </c>
      <c r="Z299" s="54">
        <v>5629894.5529905679</v>
      </c>
      <c r="AA299" s="54">
        <f t="shared" si="37"/>
        <v>16761756.348142277</v>
      </c>
      <c r="AC299" s="55">
        <v>41</v>
      </c>
      <c r="AD299" s="54">
        <f t="shared" si="38"/>
        <v>103311.4745716457</v>
      </c>
      <c r="AE299" s="54">
        <f t="shared" si="39"/>
        <v>191465.00200859437</v>
      </c>
      <c r="AF299" s="54">
        <f t="shared" si="40"/>
        <v>475831.8969146749</v>
      </c>
      <c r="AG299" s="54">
        <f t="shared" si="41"/>
        <v>525050.95228730945</v>
      </c>
      <c r="AH299" s="54">
        <f t="shared" si="42"/>
        <v>838434.64896390191</v>
      </c>
      <c r="AI299" s="54">
        <f t="shared" si="43"/>
        <v>1180442.8276978151</v>
      </c>
      <c r="AJ299" s="54">
        <f t="shared" si="44"/>
        <v>1936982.1721660506</v>
      </c>
      <c r="AK299" s="54">
        <f t="shared" si="45"/>
        <v>2141668.4435240775</v>
      </c>
      <c r="AL299" s="54">
        <f t="shared" si="46"/>
        <v>3151804.9916807176</v>
      </c>
      <c r="AM299" s="54">
        <f t="shared" si="47"/>
        <v>10544992.409814788</v>
      </c>
    </row>
    <row r="300" spans="1:39" x14ac:dyDescent="0.25">
      <c r="A300" s="24"/>
      <c r="B300" s="24"/>
      <c r="C300" s="28">
        <v>29</v>
      </c>
      <c r="D300" s="45">
        <f>F149</f>
        <v>-1.3638062865522178</v>
      </c>
      <c r="E300" s="24">
        <f t="shared" ca="1" si="52"/>
        <v>20</v>
      </c>
      <c r="F300" s="45">
        <f t="shared" ca="1" si="53"/>
        <v>-0.29601174277927639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55">
        <v>42</v>
      </c>
      <c r="R300" s="54">
        <v>274036.25497035403</v>
      </c>
      <c r="S300" s="54">
        <v>586407.05586309172</v>
      </c>
      <c r="T300" s="54">
        <v>874314.81858086959</v>
      </c>
      <c r="U300" s="54">
        <v>1004218.8583549624</v>
      </c>
      <c r="V300" s="54">
        <v>1707295.9603843186</v>
      </c>
      <c r="W300" s="54">
        <v>2470745.959908884</v>
      </c>
      <c r="X300" s="54">
        <v>3090334.150893813</v>
      </c>
      <c r="Y300" s="54">
        <v>3929229.7116459808</v>
      </c>
      <c r="Z300" s="54">
        <v>4934102.1469668942</v>
      </c>
      <c r="AA300" s="54">
        <f t="shared" si="37"/>
        <v>18870684.917569168</v>
      </c>
      <c r="AC300" s="55">
        <v>42</v>
      </c>
      <c r="AD300" s="54">
        <f t="shared" si="38"/>
        <v>257550.45062579677</v>
      </c>
      <c r="AE300" s="54">
        <f t="shared" si="39"/>
        <v>516022.3138393432</v>
      </c>
      <c r="AF300" s="54">
        <f t="shared" si="40"/>
        <v>719353.89254214021</v>
      </c>
      <c r="AG300" s="54">
        <f t="shared" si="41"/>
        <v>773286.74285745912</v>
      </c>
      <c r="AH300" s="54">
        <f t="shared" si="42"/>
        <v>1231945.3642740848</v>
      </c>
      <c r="AI300" s="54">
        <f t="shared" si="43"/>
        <v>1672262.1544399557</v>
      </c>
      <c r="AJ300" s="54">
        <f t="shared" si="44"/>
        <v>1963604.2053021237</v>
      </c>
      <c r="AK300" s="54">
        <f t="shared" si="45"/>
        <v>2344237.6131104501</v>
      </c>
      <c r="AL300" s="54">
        <f t="shared" si="46"/>
        <v>2762276.918314931</v>
      </c>
      <c r="AM300" s="54">
        <f t="shared" si="47"/>
        <v>12240539.655306283</v>
      </c>
    </row>
    <row r="301" spans="1:39" x14ac:dyDescent="0.25">
      <c r="A301" s="24"/>
      <c r="B301" s="24"/>
      <c r="C301" s="28">
        <v>30</v>
      </c>
      <c r="D301" s="45">
        <f t="shared" ref="D301:D305" si="56">F150</f>
        <v>0.48123337251523407</v>
      </c>
      <c r="E301" s="24">
        <f t="shared" ca="1" si="52"/>
        <v>55</v>
      </c>
      <c r="F301" s="45">
        <f t="shared" ca="1" si="53"/>
        <v>7.1170271052430406E-3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55">
        <v>43</v>
      </c>
      <c r="R301" s="54">
        <v>103467.68602741603</v>
      </c>
      <c r="S301" s="54">
        <v>201101.9132713275</v>
      </c>
      <c r="T301" s="54">
        <v>568010.61976792477</v>
      </c>
      <c r="U301" s="54">
        <v>773525.89133300912</v>
      </c>
      <c r="V301" s="54">
        <v>1203063.6788971145</v>
      </c>
      <c r="W301" s="54">
        <v>1760463.0768016428</v>
      </c>
      <c r="X301" s="54">
        <v>2819298.3076908309</v>
      </c>
      <c r="Y301" s="54">
        <v>3590318.2077349648</v>
      </c>
      <c r="Z301" s="54">
        <v>3809507.9452294875</v>
      </c>
      <c r="AA301" s="54">
        <f t="shared" si="37"/>
        <v>14828757.326753719</v>
      </c>
      <c r="AC301" s="55">
        <v>43</v>
      </c>
      <c r="AD301" s="54">
        <f t="shared" si="38"/>
        <v>97243.151875843309</v>
      </c>
      <c r="AE301" s="54">
        <f t="shared" si="39"/>
        <v>176964.23255182867</v>
      </c>
      <c r="AF301" s="54">
        <f t="shared" si="40"/>
        <v>467338.12769929256</v>
      </c>
      <c r="AG301" s="54">
        <f t="shared" si="41"/>
        <v>595644.37776509486</v>
      </c>
      <c r="AH301" s="54">
        <f t="shared" si="42"/>
        <v>868102.9865555343</v>
      </c>
      <c r="AI301" s="54">
        <f t="shared" si="43"/>
        <v>1191525.0800340783</v>
      </c>
      <c r="AJ301" s="54">
        <f t="shared" si="44"/>
        <v>1791387.5143183821</v>
      </c>
      <c r="AK301" s="54">
        <f t="shared" si="45"/>
        <v>2142037.9064785829</v>
      </c>
      <c r="AL301" s="54">
        <f t="shared" si="46"/>
        <v>2132691.1267358805</v>
      </c>
      <c r="AM301" s="54">
        <f t="shared" si="47"/>
        <v>9462934.5040145181</v>
      </c>
    </row>
    <row r="302" spans="1:39" x14ac:dyDescent="0.25">
      <c r="A302" s="24"/>
      <c r="B302" s="24"/>
      <c r="C302" s="28">
        <v>31</v>
      </c>
      <c r="D302" s="45">
        <f t="shared" si="56"/>
        <v>1.1250709258340283</v>
      </c>
      <c r="E302" s="24">
        <f t="shared" ca="1" si="52"/>
        <v>9</v>
      </c>
      <c r="F302" s="45">
        <f t="shared" ca="1" si="53"/>
        <v>-0.33964325357626246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55">
        <v>44</v>
      </c>
      <c r="R302" s="54">
        <v>279227.79891066067</v>
      </c>
      <c r="S302" s="54">
        <v>654261.93850199692</v>
      </c>
      <c r="T302" s="54">
        <v>1077391.4861172866</v>
      </c>
      <c r="U302" s="54">
        <v>1107593.655396699</v>
      </c>
      <c r="V302" s="54">
        <v>1762640.1707711304</v>
      </c>
      <c r="W302" s="54">
        <v>2446918.7987846667</v>
      </c>
      <c r="X302" s="54">
        <v>3833537.1120195324</v>
      </c>
      <c r="Y302" s="54">
        <v>3995623.9279440399</v>
      </c>
      <c r="Z302" s="54">
        <v>6177959.9245762415</v>
      </c>
      <c r="AA302" s="54">
        <f t="shared" si="37"/>
        <v>21335154.813022256</v>
      </c>
      <c r="AC302" s="55">
        <v>44</v>
      </c>
      <c r="AD302" s="54">
        <f t="shared" si="38"/>
        <v>262429.67538901017</v>
      </c>
      <c r="AE302" s="54">
        <f t="shared" si="39"/>
        <v>575732.77126739942</v>
      </c>
      <c r="AF302" s="54">
        <f t="shared" si="40"/>
        <v>886437.86295215983</v>
      </c>
      <c r="AG302" s="54">
        <f t="shared" si="41"/>
        <v>852889.27116379316</v>
      </c>
      <c r="AH302" s="54">
        <f t="shared" si="42"/>
        <v>1271880.4692632013</v>
      </c>
      <c r="AI302" s="54">
        <f t="shared" si="43"/>
        <v>1656135.3407398369</v>
      </c>
      <c r="AJ302" s="54">
        <f t="shared" si="44"/>
        <v>2435836.7822994576</v>
      </c>
      <c r="AK302" s="54">
        <f t="shared" si="45"/>
        <v>2383849.4023315236</v>
      </c>
      <c r="AL302" s="54">
        <f t="shared" si="46"/>
        <v>3458630.4850664665</v>
      </c>
      <c r="AM302" s="54">
        <f t="shared" si="47"/>
        <v>13783822.060472848</v>
      </c>
    </row>
    <row r="303" spans="1:39" x14ac:dyDescent="0.25">
      <c r="A303" s="24"/>
      <c r="B303" s="24"/>
      <c r="C303" s="28">
        <v>32</v>
      </c>
      <c r="D303" s="45">
        <f t="shared" si="56"/>
        <v>-8.5754633037477559E-2</v>
      </c>
      <c r="E303" s="24">
        <f t="shared" ca="1" si="52"/>
        <v>16</v>
      </c>
      <c r="F303" s="45">
        <f t="shared" ca="1" si="53"/>
        <v>0.5649075209269806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55">
        <v>45</v>
      </c>
      <c r="R303" s="54">
        <v>156621.43343106937</v>
      </c>
      <c r="S303" s="54">
        <v>276239.42455526348</v>
      </c>
      <c r="T303" s="54">
        <v>917874.45680734701</v>
      </c>
      <c r="U303" s="54">
        <v>906229.19470278919</v>
      </c>
      <c r="V303" s="54">
        <v>1328166.2581178648</v>
      </c>
      <c r="W303" s="54">
        <v>1933985.3970941338</v>
      </c>
      <c r="X303" s="54">
        <v>2884893.3093694085</v>
      </c>
      <c r="Y303" s="54">
        <v>2932210.5499061863</v>
      </c>
      <c r="Z303" s="54">
        <v>4398070.8557525184</v>
      </c>
      <c r="AA303" s="54">
        <f t="shared" si="37"/>
        <v>15734290.879736582</v>
      </c>
      <c r="AC303" s="55">
        <v>45</v>
      </c>
      <c r="AD303" s="54">
        <f t="shared" si="38"/>
        <v>147199.21187871296</v>
      </c>
      <c r="AE303" s="54">
        <f t="shared" si="39"/>
        <v>243083.20578246223</v>
      </c>
      <c r="AF303" s="54">
        <f t="shared" si="40"/>
        <v>755193.15163968643</v>
      </c>
      <c r="AG303" s="54">
        <f t="shared" si="41"/>
        <v>697830.97222652857</v>
      </c>
      <c r="AH303" s="54">
        <f t="shared" si="42"/>
        <v>958374.12062126596</v>
      </c>
      <c r="AI303" s="54">
        <f t="shared" si="43"/>
        <v>1308969.2907640401</v>
      </c>
      <c r="AJ303" s="54">
        <f t="shared" si="44"/>
        <v>1833066.7033166338</v>
      </c>
      <c r="AK303" s="54">
        <f t="shared" si="45"/>
        <v>1749400.9678985851</v>
      </c>
      <c r="AL303" s="54">
        <f t="shared" si="46"/>
        <v>2462188.5092968447</v>
      </c>
      <c r="AM303" s="54">
        <f t="shared" si="47"/>
        <v>10155306.133424759</v>
      </c>
    </row>
    <row r="304" spans="1:39" x14ac:dyDescent="0.25">
      <c r="A304" s="24"/>
      <c r="B304" s="24"/>
      <c r="C304" s="28">
        <v>33</v>
      </c>
      <c r="D304" s="45">
        <f t="shared" si="56"/>
        <v>0.81029633789939992</v>
      </c>
      <c r="E304" s="24">
        <f t="shared" ca="1" si="52"/>
        <v>17</v>
      </c>
      <c r="F304" s="45">
        <f t="shared" ca="1" si="53"/>
        <v>1.0507659237389675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55">
        <v>46</v>
      </c>
      <c r="R304" s="54">
        <v>279235.76982303336</v>
      </c>
      <c r="S304" s="54">
        <v>549251.4682828635</v>
      </c>
      <c r="T304" s="54">
        <v>1028165.7521099392</v>
      </c>
      <c r="U304" s="54">
        <v>1318194.4742172677</v>
      </c>
      <c r="V304" s="54">
        <v>1936977.6026518485</v>
      </c>
      <c r="W304" s="54">
        <v>2267585.4987392602</v>
      </c>
      <c r="X304" s="54">
        <v>3445295.8892835639</v>
      </c>
      <c r="Y304" s="54">
        <v>4326401.1114444993</v>
      </c>
      <c r="Z304" s="54">
        <v>3834494.6146803764</v>
      </c>
      <c r="AA304" s="54">
        <f t="shared" si="37"/>
        <v>18985602.181232654</v>
      </c>
      <c r="AC304" s="55">
        <v>46</v>
      </c>
      <c r="AD304" s="54">
        <f t="shared" si="38"/>
        <v>262437.16677759925</v>
      </c>
      <c r="AE304" s="54">
        <f t="shared" si="39"/>
        <v>483326.40391890379</v>
      </c>
      <c r="AF304" s="54">
        <f t="shared" si="40"/>
        <v>845936.74983033747</v>
      </c>
      <c r="AG304" s="54">
        <f t="shared" si="41"/>
        <v>1015059.9174068326</v>
      </c>
      <c r="AH304" s="54">
        <f t="shared" si="42"/>
        <v>1397678.3367732686</v>
      </c>
      <c r="AI304" s="54">
        <f t="shared" si="43"/>
        <v>1534758.1147672334</v>
      </c>
      <c r="AJ304" s="54">
        <f t="shared" si="44"/>
        <v>2189147.5699320855</v>
      </c>
      <c r="AK304" s="54">
        <f t="shared" si="45"/>
        <v>2581196.0509181968</v>
      </c>
      <c r="AL304" s="54">
        <f t="shared" si="46"/>
        <v>2146679.5076477318</v>
      </c>
      <c r="AM304" s="54">
        <f t="shared" si="47"/>
        <v>12456219.817972189</v>
      </c>
    </row>
    <row r="305" spans="1:39" x14ac:dyDescent="0.25">
      <c r="A305" s="24"/>
      <c r="B305" s="24"/>
      <c r="C305" s="28">
        <v>34</v>
      </c>
      <c r="D305" s="45">
        <f t="shared" si="56"/>
        <v>-5.5152776167776509E-2</v>
      </c>
      <c r="E305" s="24">
        <f t="shared" ca="1" si="52"/>
        <v>23</v>
      </c>
      <c r="F305" s="45">
        <f t="shared" ca="1" si="53"/>
        <v>-1.4197526647924497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55">
        <v>47</v>
      </c>
      <c r="R305" s="54">
        <v>207872.09895492159</v>
      </c>
      <c r="S305" s="54">
        <v>526959.60188170802</v>
      </c>
      <c r="T305" s="54">
        <v>1019325.9445121726</v>
      </c>
      <c r="U305" s="54">
        <v>926500.17176178377</v>
      </c>
      <c r="V305" s="54">
        <v>1544408.9150383538</v>
      </c>
      <c r="W305" s="54">
        <v>2262057.2530249879</v>
      </c>
      <c r="X305" s="54">
        <v>3068580.7628772128</v>
      </c>
      <c r="Y305" s="54">
        <v>3967090.7136701522</v>
      </c>
      <c r="Z305" s="54">
        <v>6310402.106792789</v>
      </c>
      <c r="AA305" s="54">
        <f t="shared" si="37"/>
        <v>19833197.568514083</v>
      </c>
      <c r="AC305" s="55">
        <v>47</v>
      </c>
      <c r="AD305" s="54">
        <f t="shared" si="38"/>
        <v>195366.67790238964</v>
      </c>
      <c r="AE305" s="54">
        <f t="shared" si="39"/>
        <v>463710.16573569988</v>
      </c>
      <c r="AF305" s="54">
        <f t="shared" si="40"/>
        <v>838663.68311610923</v>
      </c>
      <c r="AG305" s="54">
        <f t="shared" si="41"/>
        <v>713440.39610268071</v>
      </c>
      <c r="AH305" s="54">
        <f t="shared" si="42"/>
        <v>1114409.8314370639</v>
      </c>
      <c r="AI305" s="54">
        <f t="shared" si="43"/>
        <v>1531016.4609353826</v>
      </c>
      <c r="AJ305" s="54">
        <f t="shared" si="44"/>
        <v>1949782.0611250577</v>
      </c>
      <c r="AK305" s="54">
        <f t="shared" si="45"/>
        <v>2366826.0570367617</v>
      </c>
      <c r="AL305" s="54">
        <f t="shared" si="46"/>
        <v>3532776.0888766595</v>
      </c>
      <c r="AM305" s="54">
        <f t="shared" si="47"/>
        <v>12705991.422267804</v>
      </c>
    </row>
    <row r="306" spans="1:39" x14ac:dyDescent="0.25">
      <c r="A306" s="24"/>
      <c r="B306" s="24"/>
      <c r="C306" s="28">
        <v>35</v>
      </c>
      <c r="D306" s="45">
        <f t="shared" ref="D306:D311" si="57">G148</f>
        <v>-0.78745599120378051</v>
      </c>
      <c r="E306" s="24">
        <f t="shared" ca="1" si="52"/>
        <v>3</v>
      </c>
      <c r="F306" s="45">
        <f t="shared" ca="1" si="53"/>
        <v>0.80516021556095807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55">
        <v>48</v>
      </c>
      <c r="R306" s="54">
        <v>198997.22553016618</v>
      </c>
      <c r="S306" s="54">
        <v>320551.82374532148</v>
      </c>
      <c r="T306" s="54">
        <v>874271.23291416001</v>
      </c>
      <c r="U306" s="54">
        <v>1092862.4392536506</v>
      </c>
      <c r="V306" s="54">
        <v>1319963.153967008</v>
      </c>
      <c r="W306" s="54">
        <v>2069873.2845216319</v>
      </c>
      <c r="X306" s="54">
        <v>2989407.8923477419</v>
      </c>
      <c r="Y306" s="54">
        <v>3143160.5653817384</v>
      </c>
      <c r="Z306" s="54">
        <v>4929047.1122300224</v>
      </c>
      <c r="AA306" s="54">
        <f t="shared" si="37"/>
        <v>16938134.729891442</v>
      </c>
      <c r="AC306" s="55">
        <v>48</v>
      </c>
      <c r="AD306" s="54">
        <f t="shared" si="38"/>
        <v>187025.70984310878</v>
      </c>
      <c r="AE306" s="54">
        <f t="shared" si="39"/>
        <v>282076.91592493519</v>
      </c>
      <c r="AF306" s="54">
        <f t="shared" si="40"/>
        <v>719318.03186776955</v>
      </c>
      <c r="AG306" s="54">
        <f t="shared" si="41"/>
        <v>841545.6740436916</v>
      </c>
      <c r="AH306" s="54">
        <f t="shared" si="42"/>
        <v>952454.94997610687</v>
      </c>
      <c r="AI306" s="54">
        <f t="shared" si="43"/>
        <v>1400941.5837796209</v>
      </c>
      <c r="AJ306" s="54">
        <f t="shared" si="44"/>
        <v>1899475.4683986546</v>
      </c>
      <c r="AK306" s="54">
        <f t="shared" si="45"/>
        <v>1875256.9236596609</v>
      </c>
      <c r="AL306" s="54">
        <f t="shared" si="46"/>
        <v>2759446.939251055</v>
      </c>
      <c r="AM306" s="54">
        <f t="shared" si="47"/>
        <v>10917542.196744604</v>
      </c>
    </row>
    <row r="307" spans="1:39" x14ac:dyDescent="0.25">
      <c r="A307" s="24"/>
      <c r="B307" s="24"/>
      <c r="C307" s="28">
        <v>36</v>
      </c>
      <c r="D307" s="45">
        <f t="shared" si="57"/>
        <v>-1.2663090726868429</v>
      </c>
      <c r="E307" s="24">
        <f t="shared" ca="1" si="52"/>
        <v>52</v>
      </c>
      <c r="F307" s="45">
        <f t="shared" ca="1" si="53"/>
        <v>9.225381422861656E-2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55">
        <v>49</v>
      </c>
      <c r="R307" s="54">
        <v>215618.8664466897</v>
      </c>
      <c r="S307" s="54">
        <v>437260.78579883464</v>
      </c>
      <c r="T307" s="54">
        <v>734434.28150291182</v>
      </c>
      <c r="U307" s="54">
        <v>948529.77300401498</v>
      </c>
      <c r="V307" s="54">
        <v>1473382.3592572408</v>
      </c>
      <c r="W307" s="54">
        <v>2148302.8373246612</v>
      </c>
      <c r="X307" s="54">
        <v>3106196.2705528</v>
      </c>
      <c r="Y307" s="54">
        <v>4442894.3360721078</v>
      </c>
      <c r="Z307" s="54">
        <v>5220894.2479581572</v>
      </c>
      <c r="AA307" s="54">
        <f t="shared" si="37"/>
        <v>18727513.757917419</v>
      </c>
      <c r="AC307" s="55">
        <v>49</v>
      </c>
      <c r="AD307" s="54">
        <f t="shared" si="38"/>
        <v>202647.40598931373</v>
      </c>
      <c r="AE307" s="54">
        <f t="shared" si="39"/>
        <v>384777.63898496359</v>
      </c>
      <c r="AF307" s="54">
        <f t="shared" si="40"/>
        <v>604265.36070044071</v>
      </c>
      <c r="AG307" s="54">
        <f t="shared" si="41"/>
        <v>730404.0275355333</v>
      </c>
      <c r="AH307" s="54">
        <f t="shared" si="42"/>
        <v>1063158.7079264103</v>
      </c>
      <c r="AI307" s="54">
        <f t="shared" si="43"/>
        <v>1454024.6506227183</v>
      </c>
      <c r="AJ307" s="54">
        <f t="shared" si="44"/>
        <v>1973683.0263443023</v>
      </c>
      <c r="AK307" s="54">
        <f t="shared" si="45"/>
        <v>2650697.6629097657</v>
      </c>
      <c r="AL307" s="54">
        <f t="shared" si="46"/>
        <v>2922832.8162932885</v>
      </c>
      <c r="AM307" s="54">
        <f t="shared" si="47"/>
        <v>11986491.297306735</v>
      </c>
    </row>
    <row r="308" spans="1:39" x14ac:dyDescent="0.25">
      <c r="A308" s="24"/>
      <c r="B308" s="24"/>
      <c r="C308" s="28">
        <v>37</v>
      </c>
      <c r="D308" s="45">
        <f t="shared" si="57"/>
        <v>0.30062460404756114</v>
      </c>
      <c r="E308" s="24">
        <f t="shared" ca="1" si="52"/>
        <v>34</v>
      </c>
      <c r="F308" s="45">
        <f t="shared" ca="1" si="53"/>
        <v>-5.5152776167776509E-2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55">
        <v>50</v>
      </c>
      <c r="R308" s="54">
        <v>525942.45304738265</v>
      </c>
      <c r="S308" s="54">
        <v>648644.1975270207</v>
      </c>
      <c r="T308" s="54">
        <v>1354414.0929030003</v>
      </c>
      <c r="U308" s="54">
        <v>1425692.3914833283</v>
      </c>
      <c r="V308" s="54">
        <v>1861678.4512632312</v>
      </c>
      <c r="W308" s="54">
        <v>2758081.9799451632</v>
      </c>
      <c r="X308" s="54">
        <v>3630171.5285276743</v>
      </c>
      <c r="Y308" s="54">
        <v>3962171.1322738845</v>
      </c>
      <c r="Z308" s="54">
        <v>4755563.6329613701</v>
      </c>
      <c r="AA308" s="54">
        <f t="shared" si="37"/>
        <v>20922359.859932058</v>
      </c>
      <c r="AC308" s="55">
        <v>50</v>
      </c>
      <c r="AD308" s="54">
        <f t="shared" si="38"/>
        <v>494302.17107675929</v>
      </c>
      <c r="AE308" s="54">
        <f t="shared" si="39"/>
        <v>570789.31148554082</v>
      </c>
      <c r="AF308" s="54">
        <f t="shared" si="40"/>
        <v>1114361.8169770129</v>
      </c>
      <c r="AG308" s="54">
        <f t="shared" si="41"/>
        <v>1097837.4052174126</v>
      </c>
      <c r="AH308" s="54">
        <f t="shared" si="42"/>
        <v>1343344.2068746083</v>
      </c>
      <c r="AI308" s="54">
        <f t="shared" si="43"/>
        <v>1866738.3003937835</v>
      </c>
      <c r="AJ308" s="54">
        <f t="shared" si="44"/>
        <v>2306617.9032203667</v>
      </c>
      <c r="AK308" s="54">
        <f t="shared" si="45"/>
        <v>2363890.9606956881</v>
      </c>
      <c r="AL308" s="54">
        <f t="shared" si="46"/>
        <v>2662325.0321200187</v>
      </c>
      <c r="AM308" s="54">
        <f t="shared" si="47"/>
        <v>13820207.108061191</v>
      </c>
    </row>
    <row r="309" spans="1:39" x14ac:dyDescent="0.25">
      <c r="A309" s="24"/>
      <c r="B309" s="24"/>
      <c r="C309" s="28">
        <v>38</v>
      </c>
      <c r="D309" s="45">
        <f t="shared" si="57"/>
        <v>3.866004049709924</v>
      </c>
      <c r="E309" s="24">
        <f t="shared" ca="1" si="52"/>
        <v>10</v>
      </c>
      <c r="F309" s="45">
        <f t="shared" ca="1" si="53"/>
        <v>7.1170271052340668E-3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55">
        <v>51</v>
      </c>
      <c r="R309" s="54">
        <v>230336.21014225669</v>
      </c>
      <c r="S309" s="54">
        <v>593608.45322194323</v>
      </c>
      <c r="T309" s="54">
        <v>1079275.0773399826</v>
      </c>
      <c r="U309" s="54">
        <v>1099462.2648372538</v>
      </c>
      <c r="V309" s="54">
        <v>1293416.3322767913</v>
      </c>
      <c r="W309" s="54">
        <v>1913043.6421997081</v>
      </c>
      <c r="X309" s="54">
        <v>3883579.7199259866</v>
      </c>
      <c r="Y309" s="54">
        <v>4174507.4270727453</v>
      </c>
      <c r="Z309" s="54">
        <v>5440545.3156614257</v>
      </c>
      <c r="AA309" s="54">
        <f t="shared" si="37"/>
        <v>19707774.442678094</v>
      </c>
      <c r="AC309" s="55">
        <v>51</v>
      </c>
      <c r="AD309" s="54">
        <f t="shared" si="38"/>
        <v>216479.36592913291</v>
      </c>
      <c r="AE309" s="54">
        <f t="shared" si="39"/>
        <v>522359.34831196163</v>
      </c>
      <c r="AF309" s="54">
        <f t="shared" si="40"/>
        <v>887987.61213770357</v>
      </c>
      <c r="AG309" s="54">
        <f t="shared" si="41"/>
        <v>846627.79094132897</v>
      </c>
      <c r="AH309" s="54">
        <f t="shared" si="42"/>
        <v>933299.37608831341</v>
      </c>
      <c r="AI309" s="54">
        <f t="shared" si="43"/>
        <v>1294795.3915749884</v>
      </c>
      <c r="AJ309" s="54">
        <f t="shared" si="44"/>
        <v>2467633.9506739448</v>
      </c>
      <c r="AK309" s="54">
        <f t="shared" si="45"/>
        <v>2490573.9915759265</v>
      </c>
      <c r="AL309" s="54">
        <f t="shared" si="46"/>
        <v>3045800.8976843362</v>
      </c>
      <c r="AM309" s="54">
        <f t="shared" si="47"/>
        <v>12705557.724917635</v>
      </c>
    </row>
    <row r="310" spans="1:39" x14ac:dyDescent="0.25">
      <c r="A310" s="24"/>
      <c r="B310" s="24"/>
      <c r="C310" s="28">
        <v>39</v>
      </c>
      <c r="D310" s="45">
        <f t="shared" si="57"/>
        <v>-0.90247440215447272</v>
      </c>
      <c r="E310" s="24">
        <f t="shared" ca="1" si="52"/>
        <v>53</v>
      </c>
      <c r="F310" s="45">
        <f t="shared" ca="1" si="53"/>
        <v>-1.6731376991914593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55">
        <v>52</v>
      </c>
      <c r="R310" s="54">
        <v>156739.58530221507</v>
      </c>
      <c r="S310" s="54">
        <v>362681.31750410981</v>
      </c>
      <c r="T310" s="54">
        <v>833995.62623049971</v>
      </c>
      <c r="U310" s="54">
        <v>979341.43824218493</v>
      </c>
      <c r="V310" s="54">
        <v>1522970.4377727499</v>
      </c>
      <c r="W310" s="54">
        <v>2088179.4337882372</v>
      </c>
      <c r="X310" s="54">
        <v>3167026.5098911496</v>
      </c>
      <c r="Y310" s="54">
        <v>3473873.0969528481</v>
      </c>
      <c r="Z310" s="54">
        <v>4703853.9926716546</v>
      </c>
      <c r="AA310" s="54">
        <f t="shared" si="37"/>
        <v>17288661.438355647</v>
      </c>
      <c r="AC310" s="55">
        <v>52</v>
      </c>
      <c r="AD310" s="54">
        <f t="shared" si="38"/>
        <v>147310.25582674512</v>
      </c>
      <c r="AE310" s="54">
        <f t="shared" si="39"/>
        <v>319149.7284583603</v>
      </c>
      <c r="AF310" s="54">
        <f t="shared" si="40"/>
        <v>686180.7524500268</v>
      </c>
      <c r="AG310" s="54">
        <f t="shared" si="41"/>
        <v>754130.1825024588</v>
      </c>
      <c r="AH310" s="54">
        <f t="shared" si="42"/>
        <v>1098940.3209964074</v>
      </c>
      <c r="AI310" s="54">
        <f t="shared" si="43"/>
        <v>1413331.6397015182</v>
      </c>
      <c r="AJ310" s="54">
        <f t="shared" si="44"/>
        <v>2012334.6762766473</v>
      </c>
      <c r="AK310" s="54">
        <f t="shared" si="45"/>
        <v>2072564.999931742</v>
      </c>
      <c r="AL310" s="54">
        <f t="shared" si="46"/>
        <v>2633376.230175484</v>
      </c>
      <c r="AM310" s="54">
        <f t="shared" si="47"/>
        <v>11137318.78631939</v>
      </c>
    </row>
    <row r="311" spans="1:39" x14ac:dyDescent="0.25">
      <c r="A311" s="24"/>
      <c r="B311" s="24"/>
      <c r="C311" s="28">
        <v>40</v>
      </c>
      <c r="D311" s="45">
        <f t="shared" si="57"/>
        <v>-1.4352846354757753</v>
      </c>
      <c r="E311" s="24">
        <f t="shared" ca="1" si="52"/>
        <v>25</v>
      </c>
      <c r="F311" s="45">
        <f t="shared" ca="1" si="53"/>
        <v>0.30077391314047036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55">
        <v>53</v>
      </c>
      <c r="R311" s="54">
        <v>218596.0630724784</v>
      </c>
      <c r="S311" s="54">
        <v>389547.01891694125</v>
      </c>
      <c r="T311" s="54">
        <v>982778.20249515586</v>
      </c>
      <c r="U311" s="54">
        <v>1074001.9990074839</v>
      </c>
      <c r="V311" s="54">
        <v>1562850.5160139035</v>
      </c>
      <c r="W311" s="54">
        <v>2282319.4399552764</v>
      </c>
      <c r="X311" s="54">
        <v>3365590.7575472267</v>
      </c>
      <c r="Y311" s="54">
        <v>3912561.6635791594</v>
      </c>
      <c r="Z311" s="54">
        <v>3872406.1353392047</v>
      </c>
      <c r="AA311" s="54">
        <f t="shared" si="37"/>
        <v>17660651.795926828</v>
      </c>
      <c r="AC311" s="55">
        <v>53</v>
      </c>
      <c r="AD311" s="54">
        <f t="shared" si="38"/>
        <v>205445.49682096823</v>
      </c>
      <c r="AE311" s="54">
        <f t="shared" si="39"/>
        <v>342790.81747213716</v>
      </c>
      <c r="AF311" s="54">
        <f t="shared" si="40"/>
        <v>808593.55285543227</v>
      </c>
      <c r="AG311" s="54">
        <f t="shared" si="41"/>
        <v>827022.41720035044</v>
      </c>
      <c r="AH311" s="54">
        <f t="shared" si="42"/>
        <v>1127716.8651083126</v>
      </c>
      <c r="AI311" s="54">
        <f t="shared" si="43"/>
        <v>1544730.411669095</v>
      </c>
      <c r="AJ311" s="54">
        <f t="shared" si="44"/>
        <v>2138502.7774210996</v>
      </c>
      <c r="AK311" s="54">
        <f t="shared" si="45"/>
        <v>2334293.2046429166</v>
      </c>
      <c r="AL311" s="54">
        <f t="shared" si="46"/>
        <v>2167903.6565070082</v>
      </c>
      <c r="AM311" s="54">
        <f t="shared" si="47"/>
        <v>11496999.199697319</v>
      </c>
    </row>
    <row r="312" spans="1:39" x14ac:dyDescent="0.25">
      <c r="A312" s="24"/>
      <c r="B312" s="24"/>
      <c r="C312" s="28">
        <v>41</v>
      </c>
      <c r="D312" s="45">
        <f>H148</f>
        <v>0.93414963530575024</v>
      </c>
      <c r="E312" s="24">
        <f t="shared" ca="1" si="52"/>
        <v>42</v>
      </c>
      <c r="F312" s="45">
        <f t="shared" ca="1" si="53"/>
        <v>1.1309628349255705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55">
        <v>54</v>
      </c>
      <c r="R312" s="54">
        <v>169480.40267933812</v>
      </c>
      <c r="S312" s="54">
        <v>286226.32600561436</v>
      </c>
      <c r="T312" s="54">
        <v>710735.93332965299</v>
      </c>
      <c r="U312" s="54">
        <v>1022213.2509680614</v>
      </c>
      <c r="V312" s="54">
        <v>1400438.3262632256</v>
      </c>
      <c r="W312" s="54">
        <v>2474743.4701786824</v>
      </c>
      <c r="X312" s="54">
        <v>3196453.8856185693</v>
      </c>
      <c r="Y312" s="54">
        <v>3499685.551225428</v>
      </c>
      <c r="Z312" s="54">
        <v>4756930.500537632</v>
      </c>
      <c r="AA312" s="54">
        <f t="shared" si="37"/>
        <v>17516907.646806203</v>
      </c>
      <c r="AC312" s="55">
        <v>54</v>
      </c>
      <c r="AD312" s="54">
        <f t="shared" si="38"/>
        <v>159284.59570806488</v>
      </c>
      <c r="AE312" s="54">
        <f t="shared" si="39"/>
        <v>251871.4083509162</v>
      </c>
      <c r="AF312" s="54">
        <f t="shared" si="40"/>
        <v>584767.23640589544</v>
      </c>
      <c r="AG312" s="54">
        <f t="shared" si="41"/>
        <v>787143.11006039719</v>
      </c>
      <c r="AH312" s="54">
        <f t="shared" si="42"/>
        <v>1010523.9771101994</v>
      </c>
      <c r="AI312" s="54">
        <f t="shared" si="43"/>
        <v>1674967.768551904</v>
      </c>
      <c r="AJ312" s="54">
        <f t="shared" si="44"/>
        <v>2031032.88686098</v>
      </c>
      <c r="AK312" s="54">
        <f t="shared" si="45"/>
        <v>2087965.0988399647</v>
      </c>
      <c r="AL312" s="54">
        <f t="shared" si="46"/>
        <v>2663090.2507238984</v>
      </c>
      <c r="AM312" s="54">
        <f t="shared" si="47"/>
        <v>11250646.33261222</v>
      </c>
    </row>
    <row r="313" spans="1:39" x14ac:dyDescent="0.25">
      <c r="A313" s="24"/>
      <c r="B313" s="24"/>
      <c r="C313" s="28">
        <v>42</v>
      </c>
      <c r="D313" s="45">
        <f>H149</f>
        <v>1.1309628349255705</v>
      </c>
      <c r="E313" s="24">
        <f t="shared" ca="1" si="52"/>
        <v>39</v>
      </c>
      <c r="F313" s="45">
        <f t="shared" ca="1" si="53"/>
        <v>-0.90247440215447272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55">
        <v>55</v>
      </c>
      <c r="R313" s="54">
        <v>154721.57762202527</v>
      </c>
      <c r="S313" s="54">
        <v>481866.69060793612</v>
      </c>
      <c r="T313" s="54">
        <v>968430.6212018244</v>
      </c>
      <c r="U313" s="54">
        <v>1303126.4665756803</v>
      </c>
      <c r="V313" s="54">
        <v>1373885.2499510488</v>
      </c>
      <c r="W313" s="54">
        <v>2059883.8666153867</v>
      </c>
      <c r="X313" s="54">
        <v>3258412.3411334963</v>
      </c>
      <c r="Y313" s="54">
        <v>3852722.3341627577</v>
      </c>
      <c r="Z313" s="54">
        <v>5436042.9350297768</v>
      </c>
      <c r="AA313" s="54">
        <f t="shared" si="37"/>
        <v>18889092.082899936</v>
      </c>
      <c r="AC313" s="55">
        <v>55</v>
      </c>
      <c r="AD313" s="54">
        <f t="shared" si="38"/>
        <v>145413.64989241198</v>
      </c>
      <c r="AE313" s="54">
        <f t="shared" si="39"/>
        <v>424029.62611634616</v>
      </c>
      <c r="AF313" s="54">
        <f t="shared" si="40"/>
        <v>796788.89367251331</v>
      </c>
      <c r="AG313" s="54">
        <f t="shared" si="41"/>
        <v>1003456.9780141172</v>
      </c>
      <c r="AH313" s="54">
        <f t="shared" si="42"/>
        <v>991363.89003154275</v>
      </c>
      <c r="AI313" s="54">
        <f t="shared" si="43"/>
        <v>1394180.4979454</v>
      </c>
      <c r="AJ313" s="54">
        <f t="shared" si="44"/>
        <v>2070401.4075007129</v>
      </c>
      <c r="AK313" s="54">
        <f t="shared" si="45"/>
        <v>2298592.1596402633</v>
      </c>
      <c r="AL313" s="54">
        <f t="shared" si="46"/>
        <v>3043280.3130418155</v>
      </c>
      <c r="AM313" s="54">
        <f t="shared" si="47"/>
        <v>12167507.415855123</v>
      </c>
    </row>
    <row r="314" spans="1:39" x14ac:dyDescent="0.25">
      <c r="A314" s="24"/>
      <c r="B314" s="24"/>
      <c r="C314" s="28">
        <v>43</v>
      </c>
      <c r="D314" s="45">
        <f>H150</f>
        <v>-1.7406728008328194</v>
      </c>
      <c r="E314" s="24">
        <f t="shared" ca="1" si="52"/>
        <v>44</v>
      </c>
      <c r="F314" s="45">
        <f t="shared" ca="1" si="53"/>
        <v>-8.7536124521405939E-2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55">
        <v>56</v>
      </c>
      <c r="R314" s="54">
        <v>146583.13836441282</v>
      </c>
      <c r="S314" s="54">
        <v>421478.89778861962</v>
      </c>
      <c r="T314" s="54">
        <v>866484.40700265951</v>
      </c>
      <c r="U314" s="54">
        <v>1212314.0360358777</v>
      </c>
      <c r="V314" s="54">
        <v>1476383.1124944538</v>
      </c>
      <c r="W314" s="54">
        <v>1990699.0724781873</v>
      </c>
      <c r="X314" s="54">
        <v>3063561.5307866642</v>
      </c>
      <c r="Y314" s="54">
        <v>4015869.5208777697</v>
      </c>
      <c r="Z314" s="54">
        <v>4966339.7220225343</v>
      </c>
      <c r="AA314" s="54">
        <f t="shared" si="37"/>
        <v>18159713.437851179</v>
      </c>
      <c r="AC314" s="55">
        <v>56</v>
      </c>
      <c r="AD314" s="54">
        <f t="shared" si="38"/>
        <v>137764.81270327611</v>
      </c>
      <c r="AE314" s="54">
        <f t="shared" si="39"/>
        <v>370890.00532442</v>
      </c>
      <c r="AF314" s="54">
        <f t="shared" si="40"/>
        <v>712911.31953607441</v>
      </c>
      <c r="AG314" s="54">
        <f t="shared" si="41"/>
        <v>933527.95005488419</v>
      </c>
      <c r="AH314" s="54">
        <f t="shared" si="42"/>
        <v>1065323.9822114164</v>
      </c>
      <c r="AI314" s="54">
        <f t="shared" si="43"/>
        <v>1347354.5130907593</v>
      </c>
      <c r="AJ314" s="54">
        <f t="shared" si="44"/>
        <v>1946592.8314951363</v>
      </c>
      <c r="AK314" s="54">
        <f t="shared" si="45"/>
        <v>2395928.2279380546</v>
      </c>
      <c r="AL314" s="54">
        <f t="shared" si="46"/>
        <v>2780324.6009178096</v>
      </c>
      <c r="AM314" s="54">
        <f t="shared" si="47"/>
        <v>11690618.243271831</v>
      </c>
    </row>
    <row r="315" spans="1:39" x14ac:dyDescent="0.25">
      <c r="A315" s="24"/>
      <c r="B315" s="24"/>
      <c r="C315" s="28">
        <v>44</v>
      </c>
      <c r="D315" s="45">
        <f>H151</f>
        <v>-8.7536124521405939E-2</v>
      </c>
      <c r="E315" s="24">
        <f t="shared" ca="1" si="52"/>
        <v>18</v>
      </c>
      <c r="F315" s="45">
        <f t="shared" ca="1" si="53"/>
        <v>-0.61349921637169713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55">
        <v>57</v>
      </c>
      <c r="R315" s="54">
        <v>163200.65898796078</v>
      </c>
      <c r="S315" s="54">
        <v>420375.09625986591</v>
      </c>
      <c r="T315" s="54">
        <v>997966.15582430176</v>
      </c>
      <c r="U315" s="54">
        <v>1232500.0272111185</v>
      </c>
      <c r="V315" s="54">
        <v>1692064.6835359847</v>
      </c>
      <c r="W315" s="54">
        <v>2550011.0987919001</v>
      </c>
      <c r="X315" s="54">
        <v>3606924.6555833509</v>
      </c>
      <c r="Y315" s="54">
        <v>3611257.02727482</v>
      </c>
      <c r="Z315" s="54">
        <v>5359634.7866190597</v>
      </c>
      <c r="AA315" s="54">
        <f t="shared" si="37"/>
        <v>19633934.190088362</v>
      </c>
      <c r="AC315" s="55">
        <v>57</v>
      </c>
      <c r="AD315" s="54">
        <f t="shared" si="38"/>
        <v>153382.63643007187</v>
      </c>
      <c r="AE315" s="54">
        <f t="shared" si="39"/>
        <v>369918.68989908195</v>
      </c>
      <c r="AF315" s="54">
        <f t="shared" si="40"/>
        <v>821089.63906474877</v>
      </c>
      <c r="AG315" s="54">
        <f t="shared" si="41"/>
        <v>949071.93156586855</v>
      </c>
      <c r="AH315" s="54">
        <f t="shared" si="42"/>
        <v>1220954.8264056204</v>
      </c>
      <c r="AI315" s="54">
        <f t="shared" si="43"/>
        <v>1725910.7666693502</v>
      </c>
      <c r="AJ315" s="54">
        <f t="shared" si="44"/>
        <v>2291846.7958757468</v>
      </c>
      <c r="AK315" s="54">
        <f t="shared" si="45"/>
        <v>2154530.3215170759</v>
      </c>
      <c r="AL315" s="54">
        <f t="shared" si="46"/>
        <v>3000504.4526239587</v>
      </c>
      <c r="AM315" s="54">
        <f t="shared" si="47"/>
        <v>12687210.060051523</v>
      </c>
    </row>
    <row r="316" spans="1:39" x14ac:dyDescent="0.25">
      <c r="A316" s="24"/>
      <c r="B316" s="24"/>
      <c r="C316" s="28">
        <v>45</v>
      </c>
      <c r="D316" s="45">
        <f>H152</f>
        <v>-9.5186452530491933E-2</v>
      </c>
      <c r="E316" s="24">
        <f t="shared" ca="1" si="52"/>
        <v>44</v>
      </c>
      <c r="F316" s="45">
        <f t="shared" ca="1" si="53"/>
        <v>-8.7536124521405939E-2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55">
        <v>58</v>
      </c>
      <c r="R316" s="54">
        <v>124284.3943189038</v>
      </c>
      <c r="S316" s="54">
        <v>360007.31367746089</v>
      </c>
      <c r="T316" s="54">
        <v>661995.67573799007</v>
      </c>
      <c r="U316" s="54">
        <v>717396.23208981566</v>
      </c>
      <c r="V316" s="54">
        <v>1226467.400471013</v>
      </c>
      <c r="W316" s="54">
        <v>1915553.6138119278</v>
      </c>
      <c r="X316" s="54">
        <v>2809360.216678571</v>
      </c>
      <c r="Y316" s="54">
        <v>3651150.0423455308</v>
      </c>
      <c r="Z316" s="54">
        <v>5191907.904038243</v>
      </c>
      <c r="AA316" s="54">
        <f t="shared" si="37"/>
        <v>16658122.793169456</v>
      </c>
      <c r="AC316" s="55">
        <v>58</v>
      </c>
      <c r="AD316" s="54">
        <f t="shared" si="38"/>
        <v>116807.54346190713</v>
      </c>
      <c r="AE316" s="54">
        <f t="shared" si="39"/>
        <v>316796.67757323454</v>
      </c>
      <c r="AF316" s="54">
        <f t="shared" si="40"/>
        <v>544665.55532152485</v>
      </c>
      <c r="AG316" s="54">
        <f t="shared" si="41"/>
        <v>552422.40377730306</v>
      </c>
      <c r="AH316" s="54">
        <f t="shared" si="42"/>
        <v>884990.57193542097</v>
      </c>
      <c r="AI316" s="54">
        <f t="shared" si="43"/>
        <v>1296494.202623935</v>
      </c>
      <c r="AJ316" s="54">
        <f t="shared" si="44"/>
        <v>1785072.8323611885</v>
      </c>
      <c r="AK316" s="54">
        <f t="shared" si="45"/>
        <v>2178331.0950254202</v>
      </c>
      <c r="AL316" s="54">
        <f t="shared" si="46"/>
        <v>2906605.2826161557</v>
      </c>
      <c r="AM316" s="54">
        <f t="shared" si="47"/>
        <v>10582186.16469609</v>
      </c>
    </row>
    <row r="317" spans="1:39" x14ac:dyDescent="0.25">
      <c r="C317" s="28">
        <v>46</v>
      </c>
      <c r="D317" s="45">
        <f>I148</f>
        <v>0.70059243037738927</v>
      </c>
      <c r="E317" s="24">
        <f t="shared" ca="1" si="52"/>
        <v>44</v>
      </c>
      <c r="F317" s="45">
        <f t="shared" ca="1" si="53"/>
        <v>-8.7536124521405939E-2</v>
      </c>
      <c r="Q317" s="55">
        <v>59</v>
      </c>
      <c r="R317" s="54">
        <v>144983.02839707304</v>
      </c>
      <c r="S317" s="54">
        <v>323914.78784366231</v>
      </c>
      <c r="T317" s="54">
        <v>697917.64534864295</v>
      </c>
      <c r="U317" s="54">
        <v>878088.15144087281</v>
      </c>
      <c r="V317" s="54">
        <v>1504550.4395474931</v>
      </c>
      <c r="W317" s="54">
        <v>2211342.6520251092</v>
      </c>
      <c r="X317" s="54">
        <v>3148429.8379632551</v>
      </c>
      <c r="Y317" s="54">
        <v>3906378.8184096972</v>
      </c>
      <c r="Z317" s="54">
        <v>4335593.0833670776</v>
      </c>
      <c r="AA317" s="54">
        <f t="shared" si="37"/>
        <v>17151198.444342881</v>
      </c>
      <c r="AC317" s="55">
        <v>59</v>
      </c>
      <c r="AD317" s="54">
        <f t="shared" si="38"/>
        <v>136260.9640859325</v>
      </c>
      <c r="AE317" s="54">
        <f t="shared" si="39"/>
        <v>285036.23317399237</v>
      </c>
      <c r="AF317" s="54">
        <f t="shared" si="40"/>
        <v>574220.82319305243</v>
      </c>
      <c r="AG317" s="54">
        <f t="shared" si="41"/>
        <v>676161.29782879259</v>
      </c>
      <c r="AH317" s="54">
        <f t="shared" si="42"/>
        <v>1085648.8753712247</v>
      </c>
      <c r="AI317" s="54">
        <f t="shared" si="43"/>
        <v>1496691.560963575</v>
      </c>
      <c r="AJ317" s="54">
        <f t="shared" si="44"/>
        <v>2000518.3155145997</v>
      </c>
      <c r="AK317" s="54">
        <f t="shared" si="45"/>
        <v>2330604.4261122718</v>
      </c>
      <c r="AL317" s="54">
        <f t="shared" si="46"/>
        <v>2427211.3435577597</v>
      </c>
      <c r="AM317" s="54">
        <f t="shared" si="47"/>
        <v>11012353.839801202</v>
      </c>
    </row>
    <row r="318" spans="1:39" x14ac:dyDescent="0.25">
      <c r="C318" s="28">
        <v>47</v>
      </c>
      <c r="D318" s="45">
        <f>I149</f>
        <v>-0.16583420657231282</v>
      </c>
      <c r="E318" s="24">
        <f t="shared" ca="1" si="52"/>
        <v>6</v>
      </c>
      <c r="F318" s="45">
        <f t="shared" ca="1" si="53"/>
        <v>-0.45829360843939237</v>
      </c>
      <c r="Q318" s="55">
        <v>60</v>
      </c>
      <c r="R318" s="54">
        <v>72305.682063244283</v>
      </c>
      <c r="S318" s="54">
        <v>294217.04440239538</v>
      </c>
      <c r="T318" s="54">
        <v>974863.52728288248</v>
      </c>
      <c r="U318" s="54">
        <v>1283938.8931881906</v>
      </c>
      <c r="V318" s="54">
        <v>2057755.3078466896</v>
      </c>
      <c r="W318" s="54">
        <v>2889603.7804864394</v>
      </c>
      <c r="X318" s="54">
        <v>3360396.3211686923</v>
      </c>
      <c r="Y318" s="54">
        <v>3946593.6478406973</v>
      </c>
      <c r="Z318" s="54">
        <v>4876938.6656294828</v>
      </c>
      <c r="AA318" s="54">
        <f t="shared" si="37"/>
        <v>19756612.869908713</v>
      </c>
      <c r="AC318" s="55">
        <v>60</v>
      </c>
      <c r="AD318" s="54">
        <f t="shared" si="38"/>
        <v>67955.829421945557</v>
      </c>
      <c r="AE318" s="54">
        <f t="shared" si="39"/>
        <v>258903.023941347</v>
      </c>
      <c r="AF318" s="54">
        <f t="shared" si="40"/>
        <v>802081.65084810171</v>
      </c>
      <c r="AG318" s="54">
        <f t="shared" si="41"/>
        <v>988681.81620082876</v>
      </c>
      <c r="AH318" s="54">
        <f t="shared" si="42"/>
        <v>1484828.7415507468</v>
      </c>
      <c r="AI318" s="54">
        <f t="shared" si="43"/>
        <v>1955755.517500591</v>
      </c>
      <c r="AJ318" s="54">
        <f t="shared" si="44"/>
        <v>2135202.2226528991</v>
      </c>
      <c r="AK318" s="54">
        <f t="shared" si="45"/>
        <v>2354597.1989139109</v>
      </c>
      <c r="AL318" s="54">
        <f t="shared" si="46"/>
        <v>2730274.8720731596</v>
      </c>
      <c r="AM318" s="54">
        <f t="shared" si="47"/>
        <v>12778280.873103529</v>
      </c>
    </row>
    <row r="319" spans="1:39" x14ac:dyDescent="0.25">
      <c r="C319" s="28">
        <v>48</v>
      </c>
      <c r="D319" s="45">
        <f>I150</f>
        <v>-0.84865574256960807</v>
      </c>
      <c r="E319" s="24">
        <f t="shared" ca="1" si="52"/>
        <v>36</v>
      </c>
      <c r="F319" s="45">
        <f t="shared" ca="1" si="53"/>
        <v>-1.2663090726868429</v>
      </c>
      <c r="Q319" s="55">
        <v>61</v>
      </c>
      <c r="R319" s="54">
        <v>171730.11252078321</v>
      </c>
      <c r="S319" s="54">
        <v>365625.02032603044</v>
      </c>
      <c r="T319" s="54">
        <v>1079807.6432364481</v>
      </c>
      <c r="U319" s="54">
        <v>1144609.2202720931</v>
      </c>
      <c r="V319" s="54">
        <v>1810598.9880779218</v>
      </c>
      <c r="W319" s="54">
        <v>3055875.364703685</v>
      </c>
      <c r="X319" s="54">
        <v>3408975.3695969568</v>
      </c>
      <c r="Y319" s="54">
        <v>3830691.549883611</v>
      </c>
      <c r="Z319" s="54">
        <v>4513943.5802142201</v>
      </c>
      <c r="AA319" s="54">
        <f t="shared" si="37"/>
        <v>19381856.84883175</v>
      </c>
      <c r="AC319" s="55">
        <v>61</v>
      </c>
      <c r="AD319" s="54">
        <f t="shared" si="38"/>
        <v>161398.96478490165</v>
      </c>
      <c r="AE319" s="54">
        <f t="shared" si="39"/>
        <v>321740.10714878573</v>
      </c>
      <c r="AF319" s="54">
        <f t="shared" si="40"/>
        <v>888425.78765814076</v>
      </c>
      <c r="AG319" s="54">
        <f t="shared" si="41"/>
        <v>881392.66498016869</v>
      </c>
      <c r="AH319" s="54">
        <f t="shared" si="42"/>
        <v>1306486.4450448519</v>
      </c>
      <c r="AI319" s="54">
        <f t="shared" si="43"/>
        <v>2068292.2501946839</v>
      </c>
      <c r="AJ319" s="54">
        <f t="shared" si="44"/>
        <v>2166069.4425474619</v>
      </c>
      <c r="AK319" s="54">
        <f t="shared" si="45"/>
        <v>2285448.2619952811</v>
      </c>
      <c r="AL319" s="54">
        <f t="shared" si="46"/>
        <v>2527057.9714014307</v>
      </c>
      <c r="AM319" s="54">
        <f t="shared" si="47"/>
        <v>12606311.895755706</v>
      </c>
    </row>
    <row r="320" spans="1:39" x14ac:dyDescent="0.25">
      <c r="C320" s="28">
        <v>49</v>
      </c>
      <c r="D320" s="45">
        <f>I151</f>
        <v>0.38552357732725062</v>
      </c>
      <c r="E320" s="24">
        <f t="shared" ca="1" si="52"/>
        <v>21</v>
      </c>
      <c r="F320" s="45">
        <f t="shared" ca="1" si="53"/>
        <v>0.21581558131613604</v>
      </c>
      <c r="Q320" s="55">
        <v>62</v>
      </c>
      <c r="R320" s="54">
        <v>152000.42736663856</v>
      </c>
      <c r="S320" s="54">
        <v>530937.34555565473</v>
      </c>
      <c r="T320" s="54">
        <v>898480.65664919093</v>
      </c>
      <c r="U320" s="54">
        <v>1272450.5270116329</v>
      </c>
      <c r="V320" s="54">
        <v>1766038.6939822137</v>
      </c>
      <c r="W320" s="54">
        <v>2663247.6333708474</v>
      </c>
      <c r="X320" s="54">
        <v>3495814.5432754727</v>
      </c>
      <c r="Y320" s="54">
        <v>4084428.2247991785</v>
      </c>
      <c r="Z320" s="54">
        <v>5666757.161622677</v>
      </c>
      <c r="AA320" s="54">
        <f t="shared" si="37"/>
        <v>20530155.213633507</v>
      </c>
      <c r="AC320" s="55">
        <v>62</v>
      </c>
      <c r="AD320" s="54">
        <f>R320*$L$268</f>
        <v>142856.2018840411</v>
      </c>
      <c r="AE320" s="54">
        <f t="shared" si="39"/>
        <v>467210.47234689631</v>
      </c>
      <c r="AF320" s="54">
        <f t="shared" si="40"/>
        <v>739236.65023027617</v>
      </c>
      <c r="AG320" s="54">
        <f t="shared" si="41"/>
        <v>979835.33698216837</v>
      </c>
      <c r="AH320" s="54">
        <f t="shared" si="42"/>
        <v>1274332.7651816721</v>
      </c>
      <c r="AI320" s="54">
        <f t="shared" si="43"/>
        <v>1802552.0621926214</v>
      </c>
      <c r="AJ320" s="54">
        <f t="shared" si="44"/>
        <v>2221247.2188959438</v>
      </c>
      <c r="AK320" s="54">
        <f t="shared" si="45"/>
        <v>2436831.383068515</v>
      </c>
      <c r="AL320" s="54">
        <f t="shared" si="46"/>
        <v>3172441.9241844243</v>
      </c>
      <c r="AM320" s="54">
        <f t="shared" si="47"/>
        <v>13236544.014966561</v>
      </c>
    </row>
    <row r="321" spans="3:39" x14ac:dyDescent="0.25">
      <c r="C321" s="28">
        <v>50</v>
      </c>
      <c r="D321" s="45">
        <f>J148</f>
        <v>-1.3914032485901502</v>
      </c>
      <c r="E321" s="24">
        <f t="shared" ca="1" si="52"/>
        <v>11</v>
      </c>
      <c r="F321" s="45">
        <f t="shared" ca="1" si="53"/>
        <v>0.51899819372462364</v>
      </c>
      <c r="Q321" s="55">
        <v>63</v>
      </c>
      <c r="R321" s="54">
        <v>177495.66541145742</v>
      </c>
      <c r="S321" s="54">
        <v>350009.15475765616</v>
      </c>
      <c r="T321" s="54">
        <v>900895.58246959094</v>
      </c>
      <c r="U321" s="54">
        <v>944645.9721733965</v>
      </c>
      <c r="V321" s="54">
        <v>1458074.3581311647</v>
      </c>
      <c r="W321" s="54">
        <v>2161781.1501264321</v>
      </c>
      <c r="X321" s="54">
        <v>3081714.1500825859</v>
      </c>
      <c r="Y321" s="54">
        <v>3706096.6407880173</v>
      </c>
      <c r="Z321" s="54">
        <v>4399786.1729530292</v>
      </c>
      <c r="AA321" s="54">
        <f t="shared" si="37"/>
        <v>17180498.846893329</v>
      </c>
      <c r="AC321" s="55">
        <v>63</v>
      </c>
      <c r="AD321" s="54">
        <f t="shared" si="38"/>
        <v>166817.66657405233</v>
      </c>
      <c r="AE321" s="54">
        <f t="shared" si="39"/>
        <v>307998.56873680942</v>
      </c>
      <c r="AF321" s="54">
        <f t="shared" si="40"/>
        <v>741223.56186918099</v>
      </c>
      <c r="AG321" s="54">
        <f t="shared" si="41"/>
        <v>727413.35307325947</v>
      </c>
      <c r="AH321" s="54">
        <f t="shared" si="42"/>
        <v>1052112.8075897594</v>
      </c>
      <c r="AI321" s="54">
        <f t="shared" si="43"/>
        <v>1463147.1070669803</v>
      </c>
      <c r="AJ321" s="54">
        <f t="shared" si="44"/>
        <v>1958127.0403690895</v>
      </c>
      <c r="AK321" s="54">
        <f t="shared" si="45"/>
        <v>2211113.0630532946</v>
      </c>
      <c r="AL321" s="54">
        <f t="shared" si="46"/>
        <v>2463148.8017612947</v>
      </c>
      <c r="AM321" s="54">
        <f t="shared" si="47"/>
        <v>11091101.97009372</v>
      </c>
    </row>
    <row r="322" spans="3:39" x14ac:dyDescent="0.25">
      <c r="C322" s="28">
        <v>51</v>
      </c>
      <c r="D322" s="45">
        <f>J149</f>
        <v>1.1378575303905423</v>
      </c>
      <c r="E322" s="24">
        <f t="shared" ca="1" si="52"/>
        <v>51</v>
      </c>
      <c r="F322" s="45">
        <f t="shared" ca="1" si="53"/>
        <v>1.1378575303905423</v>
      </c>
      <c r="Q322" s="55">
        <v>64</v>
      </c>
      <c r="R322" s="54">
        <v>252763.55073864944</v>
      </c>
      <c r="S322" s="54">
        <v>413090.73888491094</v>
      </c>
      <c r="T322" s="54">
        <v>727074.3143923413</v>
      </c>
      <c r="U322" s="54">
        <v>1000909.5746517926</v>
      </c>
      <c r="V322" s="54">
        <v>1587629.8003128143</v>
      </c>
      <c r="W322" s="54">
        <v>2172260.8703442309</v>
      </c>
      <c r="X322" s="54">
        <v>3129387.7205027081</v>
      </c>
      <c r="Y322" s="54">
        <v>3319606.6382194599</v>
      </c>
      <c r="Z322" s="54">
        <v>4396249.7222192939</v>
      </c>
      <c r="AA322" s="54">
        <f t="shared" si="37"/>
        <v>16998972.930266201</v>
      </c>
      <c r="AC322" s="55">
        <v>64</v>
      </c>
      <c r="AD322" s="54">
        <f t="shared" si="38"/>
        <v>237557.49545460049</v>
      </c>
      <c r="AE322" s="54">
        <f t="shared" si="39"/>
        <v>363508.65286103077</v>
      </c>
      <c r="AF322" s="54">
        <f t="shared" si="40"/>
        <v>598209.85200099472</v>
      </c>
      <c r="AG322" s="54">
        <f t="shared" si="41"/>
        <v>770738.46845021739</v>
      </c>
      <c r="AH322" s="54">
        <f t="shared" si="42"/>
        <v>1145597.0248055223</v>
      </c>
      <c r="AI322" s="54">
        <f t="shared" si="43"/>
        <v>1470240.0416679906</v>
      </c>
      <c r="AJ322" s="54">
        <f t="shared" si="44"/>
        <v>1988418.9178127127</v>
      </c>
      <c r="AK322" s="54">
        <f t="shared" si="45"/>
        <v>1980527.3076756008</v>
      </c>
      <c r="AL322" s="54">
        <f t="shared" si="46"/>
        <v>2461168.9772778153</v>
      </c>
      <c r="AM322" s="54">
        <f t="shared" si="47"/>
        <v>11015966.738006484</v>
      </c>
    </row>
    <row r="323" spans="3:39" x14ac:dyDescent="0.25">
      <c r="C323" s="28">
        <v>52</v>
      </c>
      <c r="D323" s="45">
        <f>J150</f>
        <v>9.225381422861656E-2</v>
      </c>
      <c r="E323" s="24">
        <f t="shared" ca="1" si="52"/>
        <v>26</v>
      </c>
      <c r="F323" s="45">
        <f t="shared" ca="1" si="53"/>
        <v>-0.65141310272110353</v>
      </c>
      <c r="Q323" s="55">
        <v>65</v>
      </c>
      <c r="R323" s="54">
        <v>69610.333670145832</v>
      </c>
      <c r="S323" s="54">
        <v>359801.16308098007</v>
      </c>
      <c r="T323" s="54">
        <v>742206.12659750413</v>
      </c>
      <c r="U323" s="54">
        <v>1029414.3549997564</v>
      </c>
      <c r="V323" s="54">
        <v>1526780.9042693628</v>
      </c>
      <c r="W323" s="54">
        <v>1887444.7342287377</v>
      </c>
      <c r="X323" s="54">
        <v>3598778.7085666126</v>
      </c>
      <c r="Y323" s="54">
        <v>3978252.5915229642</v>
      </c>
      <c r="Z323" s="54">
        <v>5355186.6942163371</v>
      </c>
      <c r="AA323" s="54">
        <f t="shared" si="37"/>
        <v>18547475.611152403</v>
      </c>
      <c r="AC323" s="55">
        <v>65</v>
      </c>
      <c r="AD323" s="54">
        <f t="shared" si="38"/>
        <v>65422.631056236161</v>
      </c>
      <c r="AE323" s="54">
        <f t="shared" si="39"/>
        <v>316615.2706363094</v>
      </c>
      <c r="AF323" s="54">
        <f t="shared" si="40"/>
        <v>610659.74737011199</v>
      </c>
      <c r="AG323" s="54">
        <f t="shared" si="41"/>
        <v>792688.23424853396</v>
      </c>
      <c r="AH323" s="54">
        <f t="shared" si="42"/>
        <v>1101689.8656829463</v>
      </c>
      <c r="AI323" s="54">
        <f t="shared" si="43"/>
        <v>1277469.4156594295</v>
      </c>
      <c r="AJ323" s="54">
        <f t="shared" si="44"/>
        <v>2286670.8456266094</v>
      </c>
      <c r="AK323" s="54">
        <f t="shared" si="45"/>
        <v>2373485.4014415829</v>
      </c>
      <c r="AL323" s="54">
        <f t="shared" si="46"/>
        <v>2998014.2603643341</v>
      </c>
      <c r="AM323" s="54">
        <f t="shared" si="47"/>
        <v>11822715.672086094</v>
      </c>
    </row>
    <row r="324" spans="3:39" x14ac:dyDescent="0.25">
      <c r="C324" s="28">
        <v>53</v>
      </c>
      <c r="D324" s="45">
        <f>K148</f>
        <v>-1.6731376991914593</v>
      </c>
      <c r="E324" s="24">
        <f t="shared" ca="1" si="52"/>
        <v>50</v>
      </c>
      <c r="F324" s="45">
        <f t="shared" ca="1" si="53"/>
        <v>-1.3914032485901502</v>
      </c>
      <c r="Q324" s="55">
        <v>66</v>
      </c>
      <c r="R324" s="54">
        <v>126626.17079586536</v>
      </c>
      <c r="S324" s="54">
        <v>317336.013998284</v>
      </c>
      <c r="T324" s="54">
        <v>784442.81496325787</v>
      </c>
      <c r="U324" s="54">
        <v>1033977.1433428051</v>
      </c>
      <c r="V324" s="54">
        <v>1431174.4076034045</v>
      </c>
      <c r="W324" s="54">
        <v>2076241.3135869969</v>
      </c>
      <c r="X324" s="54">
        <v>3469224.2295795642</v>
      </c>
      <c r="Y324" s="54">
        <v>3276494.3655471932</v>
      </c>
      <c r="Z324" s="54">
        <v>5533426.6254010946</v>
      </c>
      <c r="AA324" s="54">
        <f t="shared" ref="AA324:AA358" si="58">SUM(R324:Z324)</f>
        <v>18048943.084818467</v>
      </c>
      <c r="AC324" s="55">
        <v>66</v>
      </c>
      <c r="AD324" s="54">
        <f t="shared" ref="AD324:AD358" si="59">R324*$L$268</f>
        <v>119008.44051828964</v>
      </c>
      <c r="AE324" s="54">
        <f t="shared" ref="AE324:AE358" si="60">S324*$L$269</f>
        <v>279247.09051621635</v>
      </c>
      <c r="AF324" s="54">
        <f t="shared" ref="AF324:AF358" si="61">T324*$L$270</f>
        <v>645410.53225708229</v>
      </c>
      <c r="AG324" s="54">
        <f t="shared" ref="AG324:AG358" si="62">U324*$L$271</f>
        <v>796201.75493855961</v>
      </c>
      <c r="AH324" s="54">
        <f t="shared" ref="AH324:AH358" si="63">V324*$L$272</f>
        <v>1032702.4240822528</v>
      </c>
      <c r="AI324" s="54">
        <f t="shared" ref="AI324:AI358" si="64">W324*$L$273</f>
        <v>1405251.6238149696</v>
      </c>
      <c r="AJ324" s="54">
        <f t="shared" ref="AJ324:AJ358" si="65">X324*$L$274</f>
        <v>2204351.6829298781</v>
      </c>
      <c r="AK324" s="54">
        <f t="shared" ref="AK324:AK358" si="66">Y324*$L$275</f>
        <v>1954805.8766059307</v>
      </c>
      <c r="AL324" s="54">
        <f t="shared" ref="AL324:AL358" si="67">Z324*$L$276</f>
        <v>3097798.9898183756</v>
      </c>
      <c r="AM324" s="54">
        <f t="shared" ref="AM324:AM358" si="68">SUM(AD324:AL324)</f>
        <v>11534778.415481554</v>
      </c>
    </row>
    <row r="325" spans="3:39" x14ac:dyDescent="0.25">
      <c r="C325" s="28">
        <v>54</v>
      </c>
      <c r="D325" s="45">
        <f>K149</f>
        <v>1.46619614109657</v>
      </c>
      <c r="E325" s="24">
        <f t="shared" ca="1" si="52"/>
        <v>32</v>
      </c>
      <c r="F325" s="45">
        <f t="shared" ca="1" si="53"/>
        <v>-8.5754633037477559E-2</v>
      </c>
      <c r="Q325" s="55">
        <v>67</v>
      </c>
      <c r="R325" s="54">
        <v>107220.64331401791</v>
      </c>
      <c r="S325" s="54">
        <v>353637.16306944285</v>
      </c>
      <c r="T325" s="54">
        <v>728819.98717169184</v>
      </c>
      <c r="U325" s="54">
        <v>1094833.240826901</v>
      </c>
      <c r="V325" s="54">
        <v>1764377.6692537107</v>
      </c>
      <c r="W325" s="54">
        <v>1842656.1289862939</v>
      </c>
      <c r="X325" s="54">
        <v>3247539.1818098184</v>
      </c>
      <c r="Y325" s="54">
        <v>3504936.3617189652</v>
      </c>
      <c r="Z325" s="54">
        <v>4627500.8483257471</v>
      </c>
      <c r="AA325" s="54">
        <f t="shared" si="58"/>
        <v>17271521.224476591</v>
      </c>
      <c r="AC325" s="55">
        <v>67</v>
      </c>
      <c r="AD325" s="54">
        <f t="shared" si="59"/>
        <v>100770.33422055987</v>
      </c>
      <c r="AE325" s="54">
        <f t="shared" si="60"/>
        <v>311191.11770933343</v>
      </c>
      <c r="AF325" s="54">
        <f t="shared" si="61"/>
        <v>599646.1269928437</v>
      </c>
      <c r="AG325" s="54">
        <f t="shared" si="62"/>
        <v>843063.2662664603</v>
      </c>
      <c r="AH325" s="54">
        <f t="shared" si="63"/>
        <v>1273134.2080704824</v>
      </c>
      <c r="AI325" s="54">
        <f t="shared" si="64"/>
        <v>1247155.3766151841</v>
      </c>
      <c r="AJ325" s="54">
        <f t="shared" si="65"/>
        <v>2063492.581357521</v>
      </c>
      <c r="AK325" s="54">
        <f t="shared" si="66"/>
        <v>2091097.8114481845</v>
      </c>
      <c r="AL325" s="54">
        <f t="shared" si="67"/>
        <v>2590631.1628896114</v>
      </c>
      <c r="AM325" s="54">
        <f t="shared" si="68"/>
        <v>11120181.985570179</v>
      </c>
    </row>
    <row r="326" spans="3:39" x14ac:dyDescent="0.25">
      <c r="C326" s="28">
        <v>55</v>
      </c>
      <c r="D326" s="45">
        <f>L148</f>
        <v>7.1170271052430406E-3</v>
      </c>
      <c r="E326" s="24">
        <f t="shared" ca="1" si="52"/>
        <v>26</v>
      </c>
      <c r="F326" s="45">
        <f t="shared" ca="1" si="53"/>
        <v>-0.65141310272110353</v>
      </c>
      <c r="Q326" s="55">
        <v>68</v>
      </c>
      <c r="R326" s="54">
        <v>279768.46949745901</v>
      </c>
      <c r="S326" s="54">
        <v>577920.97923938837</v>
      </c>
      <c r="T326" s="54">
        <v>1015888.7382965451</v>
      </c>
      <c r="U326" s="54">
        <v>1298221.1513203522</v>
      </c>
      <c r="V326" s="54">
        <v>1855669.4585052002</v>
      </c>
      <c r="W326" s="54">
        <v>3090451.9647125676</v>
      </c>
      <c r="X326" s="54">
        <v>3904596.1535045309</v>
      </c>
      <c r="Y326" s="54">
        <v>3939231.7471036226</v>
      </c>
      <c r="Z326" s="54">
        <v>4063206.7885761298</v>
      </c>
      <c r="AA326" s="54">
        <f t="shared" si="58"/>
        <v>20024955.450755797</v>
      </c>
      <c r="AC326" s="55">
        <v>68</v>
      </c>
      <c r="AD326" s="54">
        <f t="shared" si="59"/>
        <v>262937.81966096093</v>
      </c>
      <c r="AE326" s="54">
        <f t="shared" si="60"/>
        <v>508554.79643654492</v>
      </c>
      <c r="AF326" s="54">
        <f t="shared" si="61"/>
        <v>835835.67698132247</v>
      </c>
      <c r="AG326" s="54">
        <f t="shared" si="62"/>
        <v>999679.6985646002</v>
      </c>
      <c r="AH326" s="54">
        <f t="shared" si="63"/>
        <v>1339008.2563751142</v>
      </c>
      <c r="AI326" s="54">
        <f t="shared" si="64"/>
        <v>2091694.5507801294</v>
      </c>
      <c r="AJ326" s="54">
        <f t="shared" si="65"/>
        <v>2480987.8325974732</v>
      </c>
      <c r="AK326" s="54">
        <f t="shared" si="66"/>
        <v>2350204.978077169</v>
      </c>
      <c r="AL326" s="54">
        <f t="shared" si="67"/>
        <v>2274720.3021169407</v>
      </c>
      <c r="AM326" s="54">
        <f t="shared" si="68"/>
        <v>13143623.911590256</v>
      </c>
    </row>
    <row r="327" spans="3:39" x14ac:dyDescent="0.25">
      <c r="Q327" s="55">
        <v>69</v>
      </c>
      <c r="R327" s="54">
        <v>307270.16874925606</v>
      </c>
      <c r="S327" s="54">
        <v>581705.22585307807</v>
      </c>
      <c r="T327" s="54">
        <v>894144.45228704251</v>
      </c>
      <c r="U327" s="54">
        <v>1109782.1346584866</v>
      </c>
      <c r="V327" s="54">
        <v>1640560.3208362088</v>
      </c>
      <c r="W327" s="54">
        <v>1969946.9252730571</v>
      </c>
      <c r="X327" s="54">
        <v>3359893.5375005491</v>
      </c>
      <c r="Y327" s="54">
        <v>3420063.0189883718</v>
      </c>
      <c r="Z327" s="54">
        <v>6181116.3075339599</v>
      </c>
      <c r="AA327" s="54">
        <f t="shared" si="58"/>
        <v>19464482.091680009</v>
      </c>
      <c r="AC327" s="55">
        <v>69</v>
      </c>
      <c r="AD327" s="54">
        <f t="shared" si="59"/>
        <v>288785.0384387892</v>
      </c>
      <c r="AE327" s="54">
        <f t="shared" si="60"/>
        <v>511884.8308797027</v>
      </c>
      <c r="AF327" s="54">
        <f t="shared" si="61"/>
        <v>735668.98167373415</v>
      </c>
      <c r="AG327" s="54">
        <f t="shared" si="62"/>
        <v>854574.48349184194</v>
      </c>
      <c r="AH327" s="54">
        <f t="shared" si="63"/>
        <v>1183790.4668919968</v>
      </c>
      <c r="AI327" s="54">
        <f t="shared" si="64"/>
        <v>1333308.9450891886</v>
      </c>
      <c r="AJ327" s="54">
        <f t="shared" si="65"/>
        <v>2134882.7529525636</v>
      </c>
      <c r="AK327" s="54">
        <f t="shared" si="66"/>
        <v>2040461.0971350058</v>
      </c>
      <c r="AL327" s="54">
        <f t="shared" si="67"/>
        <v>3460397.5347808362</v>
      </c>
      <c r="AM327" s="54">
        <f t="shared" si="68"/>
        <v>12543754.131333658</v>
      </c>
    </row>
    <row r="328" spans="3:39" x14ac:dyDescent="0.25">
      <c r="Q328" s="55">
        <v>70</v>
      </c>
      <c r="R328" s="54">
        <v>153417.20283020381</v>
      </c>
      <c r="S328" s="54">
        <v>400529.4881034214</v>
      </c>
      <c r="T328" s="54">
        <v>896929.04260531906</v>
      </c>
      <c r="U328" s="54">
        <v>1160397.340201824</v>
      </c>
      <c r="V328" s="54">
        <v>1385634.3301045271</v>
      </c>
      <c r="W328" s="54">
        <v>2004473.9909668146</v>
      </c>
      <c r="X328" s="54">
        <v>3395209.8991697067</v>
      </c>
      <c r="Y328" s="54">
        <v>3798209.1955809612</v>
      </c>
      <c r="Z328" s="54">
        <v>5276281.5131067112</v>
      </c>
      <c r="AA328" s="54">
        <f t="shared" si="58"/>
        <v>18471082.002669491</v>
      </c>
      <c r="AC328" s="55">
        <v>70</v>
      </c>
      <c r="AD328" s="54">
        <f t="shared" si="59"/>
        <v>144187.74525634517</v>
      </c>
      <c r="AE328" s="54">
        <f t="shared" si="60"/>
        <v>352455.09266223636</v>
      </c>
      <c r="AF328" s="54">
        <f t="shared" si="61"/>
        <v>737960.03958790598</v>
      </c>
      <c r="AG328" s="54">
        <f t="shared" si="62"/>
        <v>893550.11824319942</v>
      </c>
      <c r="AH328" s="54">
        <f t="shared" si="63"/>
        <v>999841.75512665138</v>
      </c>
      <c r="AI328" s="54">
        <f t="shared" si="64"/>
        <v>1356677.7196214201</v>
      </c>
      <c r="AJ328" s="54">
        <f t="shared" si="65"/>
        <v>2157322.8364203889</v>
      </c>
      <c r="AK328" s="54">
        <f t="shared" si="66"/>
        <v>2266068.8002924034</v>
      </c>
      <c r="AL328" s="54">
        <f t="shared" si="67"/>
        <v>2953840.4767614626</v>
      </c>
      <c r="AM328" s="54">
        <f t="shared" si="68"/>
        <v>11861904.583972013</v>
      </c>
    </row>
    <row r="329" spans="3:39" x14ac:dyDescent="0.25">
      <c r="Q329" s="55">
        <v>71</v>
      </c>
      <c r="R329" s="54">
        <v>267240.11555393599</v>
      </c>
      <c r="S329" s="54">
        <v>522100.95146756526</v>
      </c>
      <c r="T329" s="54">
        <v>897143.28832524829</v>
      </c>
      <c r="U329" s="54">
        <v>1175199.8292635391</v>
      </c>
      <c r="V329" s="54">
        <v>1776723.5196614033</v>
      </c>
      <c r="W329" s="54">
        <v>2706498.4652167195</v>
      </c>
      <c r="X329" s="54">
        <v>3264510.5858536302</v>
      </c>
      <c r="Y329" s="54">
        <v>3273973.3552890765</v>
      </c>
      <c r="Z329" s="54">
        <v>4713298.4937052801</v>
      </c>
      <c r="AA329" s="54">
        <f t="shared" si="58"/>
        <v>18596688.6043364</v>
      </c>
      <c r="AC329" s="55">
        <v>71</v>
      </c>
      <c r="AD329" s="54">
        <f t="shared" si="59"/>
        <v>251163.16158112799</v>
      </c>
      <c r="AE329" s="54">
        <f t="shared" si="60"/>
        <v>459434.68507124524</v>
      </c>
      <c r="AF329" s="54">
        <f t="shared" si="61"/>
        <v>738136.31304149074</v>
      </c>
      <c r="AG329" s="54">
        <f t="shared" si="62"/>
        <v>904948.59822341776</v>
      </c>
      <c r="AH329" s="54">
        <f t="shared" si="63"/>
        <v>1282042.6888088509</v>
      </c>
      <c r="AI329" s="54">
        <f t="shared" si="64"/>
        <v>1831825.2980564029</v>
      </c>
      <c r="AJ329" s="54">
        <f t="shared" si="65"/>
        <v>2074276.2438105512</v>
      </c>
      <c r="AK329" s="54">
        <f t="shared" si="66"/>
        <v>1953301.8039240516</v>
      </c>
      <c r="AL329" s="54">
        <f t="shared" si="67"/>
        <v>2638663.5806261073</v>
      </c>
      <c r="AM329" s="54">
        <f t="shared" si="68"/>
        <v>12133792.373143246</v>
      </c>
    </row>
    <row r="330" spans="3:39" x14ac:dyDescent="0.25">
      <c r="Q330" s="55">
        <v>72</v>
      </c>
      <c r="R330" s="54">
        <v>72209.048830690794</v>
      </c>
      <c r="S330" s="54">
        <v>289320.38740265369</v>
      </c>
      <c r="T330" s="54">
        <v>839759.64752082992</v>
      </c>
      <c r="U330" s="54">
        <v>1116342.2662023213</v>
      </c>
      <c r="V330" s="54">
        <v>1668843.4264277173</v>
      </c>
      <c r="W330" s="54">
        <v>2325598.2450381843</v>
      </c>
      <c r="X330" s="54">
        <v>3551197.1871816535</v>
      </c>
      <c r="Y330" s="54">
        <v>3568209.6034557438</v>
      </c>
      <c r="Z330" s="54">
        <v>5540451.3872663565</v>
      </c>
      <c r="AA330" s="54">
        <f t="shared" si="58"/>
        <v>18971931.19932615</v>
      </c>
      <c r="AC330" s="55">
        <v>72</v>
      </c>
      <c r="AD330" s="54">
        <f t="shared" si="59"/>
        <v>67865.009568228488</v>
      </c>
      <c r="AE330" s="54">
        <f t="shared" si="60"/>
        <v>254594.09851178285</v>
      </c>
      <c r="AF330" s="54">
        <f t="shared" si="61"/>
        <v>690923.17596130271</v>
      </c>
      <c r="AG330" s="54">
        <f t="shared" si="62"/>
        <v>859626.03446804883</v>
      </c>
      <c r="AH330" s="54">
        <f t="shared" si="63"/>
        <v>1204198.9031732436</v>
      </c>
      <c r="AI330" s="54">
        <f t="shared" si="64"/>
        <v>1574022.5805136005</v>
      </c>
      <c r="AJ330" s="54">
        <f t="shared" si="65"/>
        <v>2256437.456315245</v>
      </c>
      <c r="AK330" s="54">
        <f t="shared" si="66"/>
        <v>2128847.5802497268</v>
      </c>
      <c r="AL330" s="54">
        <f t="shared" si="67"/>
        <v>3101731.6886112047</v>
      </c>
      <c r="AM330" s="54">
        <f t="shared" si="68"/>
        <v>12138246.527372383</v>
      </c>
    </row>
    <row r="331" spans="3:39" x14ac:dyDescent="0.25">
      <c r="Q331" s="55">
        <v>73</v>
      </c>
      <c r="R331" s="54">
        <v>174751.02511411067</v>
      </c>
      <c r="S331" s="54">
        <v>488539.57909669448</v>
      </c>
      <c r="T331" s="54">
        <v>780009.09183579404</v>
      </c>
      <c r="U331" s="54">
        <v>1054480.5134831667</v>
      </c>
      <c r="V331" s="54">
        <v>1459682.3772881636</v>
      </c>
      <c r="W331" s="54">
        <v>2401497.5867438968</v>
      </c>
      <c r="X331" s="54">
        <v>2998989.6080559525</v>
      </c>
      <c r="Y331" s="54">
        <v>4606686.8872414725</v>
      </c>
      <c r="Z331" s="54">
        <v>4727347.6996987714</v>
      </c>
      <c r="AA331" s="54">
        <f t="shared" si="58"/>
        <v>18691984.368558023</v>
      </c>
      <c r="AC331" s="55">
        <v>73</v>
      </c>
      <c r="AD331" s="54">
        <f t="shared" si="59"/>
        <v>164238.14166606581</v>
      </c>
      <c r="AE331" s="54">
        <f t="shared" si="60"/>
        <v>429901.58710919775</v>
      </c>
      <c r="AF331" s="54">
        <f t="shared" si="61"/>
        <v>641762.62886757776</v>
      </c>
      <c r="AG331" s="54">
        <f t="shared" si="62"/>
        <v>811990.13033255842</v>
      </c>
      <c r="AH331" s="54">
        <f t="shared" si="63"/>
        <v>1053273.1171038069</v>
      </c>
      <c r="AI331" s="54">
        <f t="shared" si="64"/>
        <v>1625393.1377221812</v>
      </c>
      <c r="AJ331" s="54">
        <f t="shared" si="65"/>
        <v>1905563.7088089059</v>
      </c>
      <c r="AK331" s="54">
        <f t="shared" si="66"/>
        <v>2748418.7653590539</v>
      </c>
      <c r="AL331" s="54">
        <f t="shared" si="67"/>
        <v>2646528.8003318501</v>
      </c>
      <c r="AM331" s="54">
        <f t="shared" si="68"/>
        <v>12027070.017301196</v>
      </c>
    </row>
    <row r="332" spans="3:39" x14ac:dyDescent="0.25">
      <c r="Q332" s="55">
        <v>74</v>
      </c>
      <c r="R332" s="54">
        <v>92020.544493488036</v>
      </c>
      <c r="S332" s="54">
        <v>285152.10569909867</v>
      </c>
      <c r="T332" s="54">
        <v>667955.43489328213</v>
      </c>
      <c r="U332" s="54">
        <v>1037776.1528603062</v>
      </c>
      <c r="V332" s="54">
        <v>1403934.0785746127</v>
      </c>
      <c r="W332" s="54">
        <v>2070391.179627425</v>
      </c>
      <c r="X332" s="54">
        <v>2355901.6862499053</v>
      </c>
      <c r="Y332" s="54">
        <v>3055382.9109642487</v>
      </c>
      <c r="Z332" s="54">
        <v>4880383.8209306505</v>
      </c>
      <c r="AA332" s="54">
        <f t="shared" si="58"/>
        <v>15848897.914293017</v>
      </c>
      <c r="AC332" s="55">
        <v>74</v>
      </c>
      <c r="AD332" s="54">
        <f t="shared" si="59"/>
        <v>86484.661322250773</v>
      </c>
      <c r="AE332" s="54">
        <f t="shared" si="60"/>
        <v>250926.12359931038</v>
      </c>
      <c r="AF332" s="54">
        <f t="shared" si="61"/>
        <v>549569.02470790863</v>
      </c>
      <c r="AG332" s="54">
        <f t="shared" si="62"/>
        <v>799127.13686246146</v>
      </c>
      <c r="AH332" s="54">
        <f t="shared" si="63"/>
        <v>1013046.4313036096</v>
      </c>
      <c r="AI332" s="54">
        <f t="shared" si="64"/>
        <v>1401292.1080340124</v>
      </c>
      <c r="AJ332" s="54">
        <f t="shared" si="65"/>
        <v>1496944.4184735459</v>
      </c>
      <c r="AK332" s="54">
        <f t="shared" si="66"/>
        <v>1822887.4532603619</v>
      </c>
      <c r="AL332" s="54">
        <f t="shared" si="67"/>
        <v>2732203.5862920731</v>
      </c>
      <c r="AM332" s="54">
        <f t="shared" si="68"/>
        <v>10152480.943855535</v>
      </c>
    </row>
    <row r="333" spans="3:39" x14ac:dyDescent="0.25">
      <c r="Q333" s="55">
        <v>75</v>
      </c>
      <c r="R333" s="54">
        <v>262633.6851621028</v>
      </c>
      <c r="S333" s="54">
        <v>253954.93623561505</v>
      </c>
      <c r="T333" s="54">
        <v>868993.00867773686</v>
      </c>
      <c r="U333" s="54">
        <v>1077297.2823505374</v>
      </c>
      <c r="V333" s="54">
        <v>1803925.3055788307</v>
      </c>
      <c r="W333" s="54">
        <v>2220319.1815692941</v>
      </c>
      <c r="X333" s="54">
        <v>2839744.9479315639</v>
      </c>
      <c r="Y333" s="54">
        <v>3643266.551813853</v>
      </c>
      <c r="Z333" s="54">
        <v>4846338.8788401643</v>
      </c>
      <c r="AA333" s="54">
        <f t="shared" si="58"/>
        <v>17816473.778159697</v>
      </c>
      <c r="AC333" s="55">
        <v>75</v>
      </c>
      <c r="AD333" s="54">
        <f t="shared" si="59"/>
        <v>246833.85039811922</v>
      </c>
      <c r="AE333" s="54">
        <f t="shared" si="60"/>
        <v>223473.46011099211</v>
      </c>
      <c r="AF333" s="54">
        <f t="shared" si="61"/>
        <v>714975.30420321482</v>
      </c>
      <c r="AG333" s="54">
        <f t="shared" si="62"/>
        <v>829559.91079742997</v>
      </c>
      <c r="AH333" s="54">
        <f t="shared" si="63"/>
        <v>1301670.8697678263</v>
      </c>
      <c r="AI333" s="54">
        <f t="shared" si="64"/>
        <v>1502767.0988288708</v>
      </c>
      <c r="AJ333" s="54">
        <f t="shared" si="65"/>
        <v>1804379.3484698415</v>
      </c>
      <c r="AK333" s="54">
        <f t="shared" si="66"/>
        <v>2173627.6858630124</v>
      </c>
      <c r="AL333" s="54">
        <f t="shared" si="67"/>
        <v>2713144.0786206056</v>
      </c>
      <c r="AM333" s="54">
        <f t="shared" si="68"/>
        <v>11510431.607059911</v>
      </c>
    </row>
    <row r="334" spans="3:39" x14ac:dyDescent="0.25">
      <c r="Q334" s="55">
        <v>76</v>
      </c>
      <c r="R334" s="54">
        <v>255425.34648675099</v>
      </c>
      <c r="S334" s="54">
        <v>404907.17632609699</v>
      </c>
      <c r="T334" s="54">
        <v>862552.74532546289</v>
      </c>
      <c r="U334" s="54">
        <v>1089400.3308432307</v>
      </c>
      <c r="V334" s="54">
        <v>1511838.5659795348</v>
      </c>
      <c r="W334" s="54">
        <v>2241376.5250589</v>
      </c>
      <c r="X334" s="54">
        <v>3405376.4786103358</v>
      </c>
      <c r="Y334" s="54">
        <v>3548907.083247494</v>
      </c>
      <c r="Z334" s="54">
        <v>7448860.8407522999</v>
      </c>
      <c r="AA334" s="54">
        <f t="shared" si="58"/>
        <v>20768645.092630107</v>
      </c>
      <c r="AC334" s="55">
        <v>76</v>
      </c>
      <c r="AD334" s="54">
        <f t="shared" si="59"/>
        <v>240059.15967589684</v>
      </c>
      <c r="AE334" s="54">
        <f t="shared" si="60"/>
        <v>356307.33963530092</v>
      </c>
      <c r="AF334" s="54">
        <f t="shared" si="61"/>
        <v>709676.49373700947</v>
      </c>
      <c r="AG334" s="54">
        <f t="shared" si="62"/>
        <v>838879.71879515285</v>
      </c>
      <c r="AH334" s="54">
        <f t="shared" si="63"/>
        <v>1090907.8192102157</v>
      </c>
      <c r="AI334" s="54">
        <f t="shared" si="64"/>
        <v>1517019.2312464055</v>
      </c>
      <c r="AJ334" s="54">
        <f t="shared" si="65"/>
        <v>2163782.7003601459</v>
      </c>
      <c r="AK334" s="54">
        <f t="shared" si="66"/>
        <v>2117331.4060321986</v>
      </c>
      <c r="AL334" s="54">
        <f t="shared" si="67"/>
        <v>4170123.7135510975</v>
      </c>
      <c r="AM334" s="54">
        <f t="shared" si="68"/>
        <v>13204087.582243424</v>
      </c>
    </row>
    <row r="335" spans="3:39" x14ac:dyDescent="0.25">
      <c r="Q335" s="55">
        <v>77</v>
      </c>
      <c r="R335" s="54">
        <v>71722.912099803798</v>
      </c>
      <c r="S335" s="54">
        <v>295851.01831207052</v>
      </c>
      <c r="T335" s="54">
        <v>695308.96595857386</v>
      </c>
      <c r="U335" s="54">
        <v>971715.46979861706</v>
      </c>
      <c r="V335" s="54">
        <v>1640679.7162932204</v>
      </c>
      <c r="W335" s="54">
        <v>2319216.0145578263</v>
      </c>
      <c r="X335" s="54">
        <v>2822437.2941918774</v>
      </c>
      <c r="Y335" s="54">
        <v>3433296.5860075662</v>
      </c>
      <c r="Z335" s="54">
        <v>5713300.0001726188</v>
      </c>
      <c r="AA335" s="54">
        <f t="shared" si="58"/>
        <v>17963527.977392174</v>
      </c>
      <c r="AC335" s="55">
        <v>77</v>
      </c>
      <c r="AD335" s="54">
        <f t="shared" si="59"/>
        <v>67408.118438552076</v>
      </c>
      <c r="AE335" s="54">
        <f t="shared" si="60"/>
        <v>260340.87669088918</v>
      </c>
      <c r="AF335" s="54">
        <f t="shared" si="61"/>
        <v>572074.49828380917</v>
      </c>
      <c r="AG335" s="54">
        <f t="shared" si="62"/>
        <v>748257.89654626744</v>
      </c>
      <c r="AH335" s="54">
        <f t="shared" si="63"/>
        <v>1183876.6198983847</v>
      </c>
      <c r="AI335" s="54">
        <f t="shared" si="64"/>
        <v>1569702.9286083071</v>
      </c>
      <c r="AJ335" s="54">
        <f t="shared" si="65"/>
        <v>1793382.0323196342</v>
      </c>
      <c r="AK335" s="54">
        <f t="shared" si="66"/>
        <v>2048356.4424924084</v>
      </c>
      <c r="AL335" s="54">
        <f t="shared" si="67"/>
        <v>3198498.1761244847</v>
      </c>
      <c r="AM335" s="54">
        <f t="shared" si="68"/>
        <v>11441897.589402737</v>
      </c>
    </row>
    <row r="336" spans="3:39" x14ac:dyDescent="0.25">
      <c r="Q336" s="55">
        <v>78</v>
      </c>
      <c r="R336" s="54">
        <v>28681.366420730948</v>
      </c>
      <c r="S336" s="54">
        <v>222129.7799765002</v>
      </c>
      <c r="T336" s="54">
        <v>622349.79042001534</v>
      </c>
      <c r="U336" s="54">
        <v>911849.07596692722</v>
      </c>
      <c r="V336" s="54">
        <v>1468208.8573535103</v>
      </c>
      <c r="W336" s="54">
        <v>2108512.6170082921</v>
      </c>
      <c r="X336" s="54">
        <v>2804544.3303167406</v>
      </c>
      <c r="Y336" s="54">
        <v>3319559.5016953088</v>
      </c>
      <c r="Z336" s="54">
        <v>4939685.5697148908</v>
      </c>
      <c r="AA336" s="54">
        <f t="shared" si="58"/>
        <v>16425520.888872916</v>
      </c>
      <c r="AC336" s="55">
        <v>78</v>
      </c>
      <c r="AD336" s="54">
        <f t="shared" si="59"/>
        <v>26955.918102960452</v>
      </c>
      <c r="AE336" s="54">
        <f t="shared" si="60"/>
        <v>195468.18526491104</v>
      </c>
      <c r="AF336" s="54">
        <f t="shared" si="61"/>
        <v>512046.38735059276</v>
      </c>
      <c r="AG336" s="54">
        <f t="shared" si="62"/>
        <v>702158.49470017536</v>
      </c>
      <c r="AH336" s="54">
        <f t="shared" si="63"/>
        <v>1059425.6283460374</v>
      </c>
      <c r="AI336" s="54">
        <f t="shared" si="64"/>
        <v>1427093.6424852626</v>
      </c>
      <c r="AJ336" s="54">
        <f t="shared" si="65"/>
        <v>1782012.8089945852</v>
      </c>
      <c r="AK336" s="54">
        <f t="shared" si="66"/>
        <v>1980499.1853155007</v>
      </c>
      <c r="AL336" s="54">
        <f t="shared" si="67"/>
        <v>2765402.706821654</v>
      </c>
      <c r="AM336" s="54">
        <f t="shared" si="68"/>
        <v>10451062.957381681</v>
      </c>
    </row>
    <row r="337" spans="17:39" x14ac:dyDescent="0.25">
      <c r="Q337" s="55">
        <v>79</v>
      </c>
      <c r="R337" s="54">
        <v>91775.111640559509</v>
      </c>
      <c r="S337" s="54">
        <v>242204.90849469509</v>
      </c>
      <c r="T337" s="54">
        <v>635146.60027630907</v>
      </c>
      <c r="U337" s="54">
        <v>848077.49191954359</v>
      </c>
      <c r="V337" s="54">
        <v>1478671.015358611</v>
      </c>
      <c r="W337" s="54">
        <v>2158305.4333988605</v>
      </c>
      <c r="X337" s="54">
        <v>3015278.1622208608</v>
      </c>
      <c r="Y337" s="54">
        <v>2940097.0356723331</v>
      </c>
      <c r="Z337" s="54">
        <v>3192289.7594796005</v>
      </c>
      <c r="AA337" s="54">
        <f t="shared" si="58"/>
        <v>14601845.518461373</v>
      </c>
      <c r="AC337" s="55">
        <v>79</v>
      </c>
      <c r="AD337" s="54">
        <f t="shared" si="59"/>
        <v>86253.993515624403</v>
      </c>
      <c r="AE337" s="54">
        <f t="shared" si="60"/>
        <v>213133.75419865127</v>
      </c>
      <c r="AF337" s="54">
        <f t="shared" si="61"/>
        <v>522575.12915687734</v>
      </c>
      <c r="AG337" s="54">
        <f t="shared" si="62"/>
        <v>653051.94775119238</v>
      </c>
      <c r="AH337" s="54">
        <f t="shared" si="63"/>
        <v>1066974.8801182874</v>
      </c>
      <c r="AI337" s="54">
        <f t="shared" si="64"/>
        <v>1460794.6557679053</v>
      </c>
      <c r="AJ337" s="54">
        <f t="shared" si="65"/>
        <v>1915913.4871483308</v>
      </c>
      <c r="AK337" s="54">
        <f t="shared" si="66"/>
        <v>1754106.1640629796</v>
      </c>
      <c r="AL337" s="54">
        <f t="shared" si="67"/>
        <v>1787151.5539264306</v>
      </c>
      <c r="AM337" s="54">
        <f t="shared" si="68"/>
        <v>9459955.5656462796</v>
      </c>
    </row>
    <row r="338" spans="17:39" x14ac:dyDescent="0.25">
      <c r="Q338" s="55">
        <v>80</v>
      </c>
      <c r="R338" s="54">
        <v>206630.02359204926</v>
      </c>
      <c r="S338" s="54">
        <v>394604.36406993028</v>
      </c>
      <c r="T338" s="54">
        <v>747659.23802433163</v>
      </c>
      <c r="U338" s="54">
        <v>1015106.6780207502</v>
      </c>
      <c r="V338" s="54">
        <v>1563603.5643561315</v>
      </c>
      <c r="W338" s="54">
        <v>2159739.7120221732</v>
      </c>
      <c r="X338" s="54">
        <v>3334651.5379829602</v>
      </c>
      <c r="Y338" s="54">
        <v>3659791.1640917342</v>
      </c>
      <c r="Z338" s="54">
        <v>4633810.3804556578</v>
      </c>
      <c r="AA338" s="54">
        <f t="shared" si="58"/>
        <v>17715596.662615716</v>
      </c>
      <c r="AC338" s="55">
        <v>80</v>
      </c>
      <c r="AD338" s="54">
        <f t="shared" si="59"/>
        <v>194199.32481090334</v>
      </c>
      <c r="AE338" s="54">
        <f t="shared" si="60"/>
        <v>347241.1441208992</v>
      </c>
      <c r="AF338" s="54">
        <f t="shared" si="61"/>
        <v>615146.36574599799</v>
      </c>
      <c r="AG338" s="54">
        <f t="shared" si="62"/>
        <v>781670.77840521664</v>
      </c>
      <c r="AH338" s="54">
        <f t="shared" si="63"/>
        <v>1128260.2474133191</v>
      </c>
      <c r="AI338" s="54">
        <f t="shared" si="64"/>
        <v>1461765.4111185593</v>
      </c>
      <c r="AJ338" s="54">
        <f t="shared" si="65"/>
        <v>2118843.9383833897</v>
      </c>
      <c r="AK338" s="54">
        <f t="shared" si="66"/>
        <v>2183486.5183789791</v>
      </c>
      <c r="AL338" s="54">
        <f t="shared" si="67"/>
        <v>2594163.4519360662</v>
      </c>
      <c r="AM338" s="54">
        <f t="shared" si="68"/>
        <v>11424777.18031333</v>
      </c>
    </row>
    <row r="339" spans="17:39" x14ac:dyDescent="0.25">
      <c r="Q339" s="55">
        <v>81</v>
      </c>
      <c r="R339" s="54">
        <v>83681.305606213398</v>
      </c>
      <c r="S339" s="54">
        <v>184841.09931114782</v>
      </c>
      <c r="T339" s="54">
        <v>657363.32556438632</v>
      </c>
      <c r="U339" s="54">
        <v>924595.82690419722</v>
      </c>
      <c r="V339" s="54">
        <v>1441583.1204233458</v>
      </c>
      <c r="W339" s="54">
        <v>2189360.356561563</v>
      </c>
      <c r="X339" s="54">
        <v>2902357.9078055536</v>
      </c>
      <c r="Y339" s="54">
        <v>3255151.2620531796</v>
      </c>
      <c r="Z339" s="54">
        <v>4480698.2244653301</v>
      </c>
      <c r="AA339" s="54">
        <f t="shared" si="58"/>
        <v>16119632.428694915</v>
      </c>
      <c r="AC339" s="55">
        <v>81</v>
      </c>
      <c r="AD339" s="54">
        <f t="shared" si="59"/>
        <v>78647.104450346713</v>
      </c>
      <c r="AE339" s="54">
        <f t="shared" si="60"/>
        <v>162655.1570372222</v>
      </c>
      <c r="AF339" s="54">
        <f t="shared" si="61"/>
        <v>540854.22894550755</v>
      </c>
      <c r="AG339" s="54">
        <f t="shared" si="62"/>
        <v>711973.97808040539</v>
      </c>
      <c r="AH339" s="54">
        <f t="shared" si="63"/>
        <v>1040213.1110422924</v>
      </c>
      <c r="AI339" s="54">
        <f t="shared" si="64"/>
        <v>1481813.3981059249</v>
      </c>
      <c r="AJ339" s="54">
        <f t="shared" si="65"/>
        <v>1844163.7424258864</v>
      </c>
      <c r="AK339" s="54">
        <f t="shared" si="66"/>
        <v>1942072.2596725964</v>
      </c>
      <c r="AL339" s="54">
        <f t="shared" si="67"/>
        <v>2508446.0991517287</v>
      </c>
      <c r="AM339" s="54">
        <f t="shared" si="68"/>
        <v>10310839.078911912</v>
      </c>
    </row>
    <row r="340" spans="17:39" x14ac:dyDescent="0.25">
      <c r="Q340" s="55">
        <v>82</v>
      </c>
      <c r="R340" s="54">
        <v>29584.116114137694</v>
      </c>
      <c r="S340" s="54">
        <v>136308.85031598806</v>
      </c>
      <c r="T340" s="54">
        <v>402029.97770705447</v>
      </c>
      <c r="U340" s="54">
        <v>745708.76108470652</v>
      </c>
      <c r="V340" s="54">
        <v>1347771.7097956352</v>
      </c>
      <c r="W340" s="54">
        <v>1669071.7464790521</v>
      </c>
      <c r="X340" s="54">
        <v>3004682.8815404149</v>
      </c>
      <c r="Y340" s="54">
        <v>3492900.4604872251</v>
      </c>
      <c r="Z340" s="54">
        <v>3603866.1505733659</v>
      </c>
      <c r="AA340" s="54">
        <f t="shared" si="58"/>
        <v>14431924.654097579</v>
      </c>
      <c r="AC340" s="55">
        <v>82</v>
      </c>
      <c r="AD340" s="54">
        <f t="shared" si="59"/>
        <v>27804.359088859779</v>
      </c>
      <c r="AE340" s="54">
        <f t="shared" si="60"/>
        <v>119948.09345073559</v>
      </c>
      <c r="AF340" s="54">
        <f t="shared" si="61"/>
        <v>330775.3948990741</v>
      </c>
      <c r="AG340" s="54">
        <f t="shared" si="62"/>
        <v>574224.12871640769</v>
      </c>
      <c r="AH340" s="54">
        <f t="shared" si="63"/>
        <v>972520.96210005204</v>
      </c>
      <c r="AI340" s="54">
        <f t="shared" si="64"/>
        <v>1129669.1606387773</v>
      </c>
      <c r="AJ340" s="54">
        <f t="shared" si="65"/>
        <v>1909181.2256242938</v>
      </c>
      <c r="AK340" s="54">
        <f t="shared" si="66"/>
        <v>2083917.0115342725</v>
      </c>
      <c r="AL340" s="54">
        <f t="shared" si="67"/>
        <v>2017565.9092393904</v>
      </c>
      <c r="AM340" s="54">
        <f t="shared" si="68"/>
        <v>9165606.2452918626</v>
      </c>
    </row>
    <row r="341" spans="17:39" x14ac:dyDescent="0.25">
      <c r="Q341" s="55">
        <v>83</v>
      </c>
      <c r="R341" s="54">
        <v>57001.854445498437</v>
      </c>
      <c r="S341" s="54">
        <v>213964.36038635299</v>
      </c>
      <c r="T341" s="54">
        <v>729053.47997418791</v>
      </c>
      <c r="U341" s="54">
        <v>710840.16614508908</v>
      </c>
      <c r="V341" s="54">
        <v>1453475.1913777962</v>
      </c>
      <c r="W341" s="54">
        <v>1944284.3702439042</v>
      </c>
      <c r="X341" s="54">
        <v>2746110.0746310307</v>
      </c>
      <c r="Y341" s="54">
        <v>3057001.0351934591</v>
      </c>
      <c r="Z341" s="54">
        <v>4770985.6685827449</v>
      </c>
      <c r="AA341" s="54">
        <f t="shared" si="58"/>
        <v>15682716.200980064</v>
      </c>
      <c r="AC341" s="55">
        <v>83</v>
      </c>
      <c r="AD341" s="54">
        <f t="shared" si="59"/>
        <v>53572.667968814618</v>
      </c>
      <c r="AE341" s="54">
        <f t="shared" si="60"/>
        <v>188282.8373598193</v>
      </c>
      <c r="AF341" s="54">
        <f t="shared" si="61"/>
        <v>599838.23623403069</v>
      </c>
      <c r="AG341" s="54">
        <f t="shared" si="62"/>
        <v>547373.98346715153</v>
      </c>
      <c r="AH341" s="54">
        <f t="shared" si="63"/>
        <v>1048794.1549994608</v>
      </c>
      <c r="AI341" s="54">
        <f t="shared" si="64"/>
        <v>1315939.8912658375</v>
      </c>
      <c r="AJ341" s="54">
        <f t="shared" si="65"/>
        <v>1744883.5716384975</v>
      </c>
      <c r="AK341" s="54">
        <f t="shared" si="66"/>
        <v>1823852.8505415537</v>
      </c>
      <c r="AL341" s="54">
        <f t="shared" si="67"/>
        <v>2670958.8081873711</v>
      </c>
      <c r="AM341" s="54">
        <f t="shared" si="68"/>
        <v>9993497.0016625375</v>
      </c>
    </row>
    <row r="342" spans="17:39" x14ac:dyDescent="0.25">
      <c r="Q342" s="55">
        <v>84</v>
      </c>
      <c r="R342" s="54">
        <v>541788.40324628912</v>
      </c>
      <c r="S342" s="54">
        <v>787608.25939461403</v>
      </c>
      <c r="T342" s="54">
        <v>1296855.3125605881</v>
      </c>
      <c r="U342" s="54">
        <v>1685066.0244842898</v>
      </c>
      <c r="V342" s="54">
        <v>2116014.8134389063</v>
      </c>
      <c r="W342" s="54">
        <v>3283427.4934349116</v>
      </c>
      <c r="X342" s="54">
        <v>3965733.1282672789</v>
      </c>
      <c r="Y342" s="54">
        <v>4119905.8903385177</v>
      </c>
      <c r="Z342" s="54">
        <v>5582719.029094154</v>
      </c>
      <c r="AA342" s="54">
        <f t="shared" si="58"/>
        <v>23379118.354259551</v>
      </c>
      <c r="AC342" s="55">
        <v>84</v>
      </c>
      <c r="AD342" s="54">
        <f t="shared" si="59"/>
        <v>509194.84144537093</v>
      </c>
      <c r="AE342" s="54">
        <f t="shared" si="60"/>
        <v>693073.91912875266</v>
      </c>
      <c r="AF342" s="54">
        <f t="shared" si="61"/>
        <v>1067004.5815632311</v>
      </c>
      <c r="AG342" s="54">
        <f t="shared" si="62"/>
        <v>1297564.9747384421</v>
      </c>
      <c r="AH342" s="54">
        <f t="shared" si="63"/>
        <v>1526867.4562813053</v>
      </c>
      <c r="AI342" s="54">
        <f t="shared" si="64"/>
        <v>2222305.1755273687</v>
      </c>
      <c r="AJ342" s="54">
        <f t="shared" si="65"/>
        <v>2519834.3828026862</v>
      </c>
      <c r="AK342" s="54">
        <f t="shared" si="66"/>
        <v>2457997.8925592089</v>
      </c>
      <c r="AL342" s="54">
        <f t="shared" si="67"/>
        <v>3125394.5411292259</v>
      </c>
      <c r="AM342" s="54">
        <f t="shared" si="68"/>
        <v>15419237.76517559</v>
      </c>
    </row>
    <row r="343" spans="17:39" x14ac:dyDescent="0.25">
      <c r="Q343" s="55">
        <v>85</v>
      </c>
      <c r="R343" s="54">
        <v>78575.431184944697</v>
      </c>
      <c r="S343" s="54">
        <v>338240.03251716681</v>
      </c>
      <c r="T343" s="54">
        <v>865058.26105500013</v>
      </c>
      <c r="U343" s="54">
        <v>1113051.5895155137</v>
      </c>
      <c r="V343" s="54">
        <v>1589255.8940693727</v>
      </c>
      <c r="W343" s="54">
        <v>2445095.311618452</v>
      </c>
      <c r="X343" s="54">
        <v>3398830.552571916</v>
      </c>
      <c r="Y343" s="54">
        <v>4375863.409766824</v>
      </c>
      <c r="Z343" s="54">
        <v>3647053.864403666</v>
      </c>
      <c r="AA343" s="54">
        <f t="shared" si="58"/>
        <v>17851024.346702855</v>
      </c>
      <c r="AC343" s="55">
        <v>85</v>
      </c>
      <c r="AD343" s="54">
        <f t="shared" si="59"/>
        <v>73848.395395667991</v>
      </c>
      <c r="AE343" s="54">
        <f t="shared" si="60"/>
        <v>297642.06018242857</v>
      </c>
      <c r="AF343" s="54">
        <f t="shared" si="61"/>
        <v>711737.9394023061</v>
      </c>
      <c r="AG343" s="54">
        <f t="shared" si="62"/>
        <v>857092.08817161422</v>
      </c>
      <c r="AH343" s="54">
        <f t="shared" si="63"/>
        <v>1146770.376533489</v>
      </c>
      <c r="AI343" s="54">
        <f t="shared" si="64"/>
        <v>1654901.1593927266</v>
      </c>
      <c r="AJ343" s="54">
        <f t="shared" si="65"/>
        <v>2159623.4064880186</v>
      </c>
      <c r="AK343" s="54">
        <f t="shared" si="66"/>
        <v>2610706.0029106727</v>
      </c>
      <c r="AL343" s="54">
        <f t="shared" si="67"/>
        <v>2041743.8491187994</v>
      </c>
      <c r="AM343" s="54">
        <f t="shared" si="68"/>
        <v>11554065.277595721</v>
      </c>
    </row>
    <row r="344" spans="17:39" x14ac:dyDescent="0.25">
      <c r="Q344" s="55">
        <v>86</v>
      </c>
      <c r="R344" s="54">
        <v>58671.549033603631</v>
      </c>
      <c r="S344" s="54">
        <v>204942.32647292223</v>
      </c>
      <c r="T344" s="54">
        <v>566236.21276685409</v>
      </c>
      <c r="U344" s="54">
        <v>679681.76717683673</v>
      </c>
      <c r="V344" s="54">
        <v>1371578.2679392463</v>
      </c>
      <c r="W344" s="54">
        <v>1987479.8144978927</v>
      </c>
      <c r="X344" s="54">
        <v>2968156.0744998753</v>
      </c>
      <c r="Y344" s="54">
        <v>3186386.5425676713</v>
      </c>
      <c r="Z344" s="54">
        <v>3891842.8873655885</v>
      </c>
      <c r="AA344" s="54">
        <f t="shared" si="58"/>
        <v>14914975.44232049</v>
      </c>
      <c r="AC344" s="55">
        <v>86</v>
      </c>
      <c r="AD344" s="54">
        <f t="shared" si="59"/>
        <v>55141.915051177748</v>
      </c>
      <c r="AE344" s="54">
        <f t="shared" si="60"/>
        <v>180343.69206987502</v>
      </c>
      <c r="AF344" s="54">
        <f t="shared" si="61"/>
        <v>465878.21125266748</v>
      </c>
      <c r="AG344" s="54">
        <f t="shared" si="62"/>
        <v>523380.83033090923</v>
      </c>
      <c r="AH344" s="54">
        <f t="shared" si="63"/>
        <v>989699.22505203669</v>
      </c>
      <c r="AI344" s="54">
        <f t="shared" si="64"/>
        <v>1345175.6394334999</v>
      </c>
      <c r="AJ344" s="54">
        <f t="shared" si="65"/>
        <v>1885972.0228620882</v>
      </c>
      <c r="AK344" s="54">
        <f t="shared" si="66"/>
        <v>1901046.1925543698</v>
      </c>
      <c r="AL344" s="54">
        <f t="shared" si="67"/>
        <v>2178785.0063231029</v>
      </c>
      <c r="AM344" s="54">
        <f t="shared" si="68"/>
        <v>9525422.7349297255</v>
      </c>
    </row>
    <row r="345" spans="17:39" x14ac:dyDescent="0.25">
      <c r="Q345" s="55">
        <v>87</v>
      </c>
      <c r="R345" s="54">
        <v>247704.46807190683</v>
      </c>
      <c r="S345" s="54">
        <v>449054.64684251836</v>
      </c>
      <c r="T345" s="54">
        <v>1126958.3434052914</v>
      </c>
      <c r="U345" s="54">
        <v>1274324.5492564989</v>
      </c>
      <c r="V345" s="54">
        <v>1760038.546122524</v>
      </c>
      <c r="W345" s="54">
        <v>2817537.7322176434</v>
      </c>
      <c r="X345" s="54">
        <v>3629260.755464633</v>
      </c>
      <c r="Y345" s="54">
        <v>3811970.1528907428</v>
      </c>
      <c r="Z345" s="54">
        <v>5226179.2452905895</v>
      </c>
      <c r="AA345" s="54">
        <f t="shared" si="58"/>
        <v>20343028.439562347</v>
      </c>
      <c r="AC345" s="55">
        <v>87</v>
      </c>
      <c r="AD345" s="54">
        <f t="shared" si="59"/>
        <v>232802.76319950644</v>
      </c>
      <c r="AE345" s="54">
        <f t="shared" si="60"/>
        <v>395155.91701557825</v>
      </c>
      <c r="AF345" s="54">
        <f t="shared" si="61"/>
        <v>927219.63969143736</v>
      </c>
      <c r="AG345" s="54">
        <f t="shared" si="62"/>
        <v>981278.40543852933</v>
      </c>
      <c r="AH345" s="54">
        <f t="shared" si="63"/>
        <v>1270003.1969566995</v>
      </c>
      <c r="AI345" s="54">
        <f t="shared" si="64"/>
        <v>1906979.428377938</v>
      </c>
      <c r="AJ345" s="54">
        <f t="shared" si="65"/>
        <v>2306039.1962814596</v>
      </c>
      <c r="AK345" s="54">
        <f t="shared" si="66"/>
        <v>2274278.7946387213</v>
      </c>
      <c r="AL345" s="54">
        <f t="shared" si="67"/>
        <v>2925791.5361798857</v>
      </c>
      <c r="AM345" s="54">
        <f t="shared" si="68"/>
        <v>13219548.877779754</v>
      </c>
    </row>
    <row r="346" spans="17:39" x14ac:dyDescent="0.25">
      <c r="Q346" s="55">
        <v>88</v>
      </c>
      <c r="R346" s="54">
        <v>24960.259417702444</v>
      </c>
      <c r="S346" s="54">
        <v>150998.70784472022</v>
      </c>
      <c r="T346" s="54">
        <v>553098.40527035855</v>
      </c>
      <c r="U346" s="54">
        <v>692793.04088427639</v>
      </c>
      <c r="V346" s="54">
        <v>1473572.4950889125</v>
      </c>
      <c r="W346" s="54">
        <v>2021153.9537783926</v>
      </c>
      <c r="X346" s="54">
        <v>2879875.9840533757</v>
      </c>
      <c r="Y346" s="54">
        <v>3311481.5094593987</v>
      </c>
      <c r="Z346" s="54">
        <v>3849941.0316915722</v>
      </c>
      <c r="AA346" s="54">
        <f t="shared" si="58"/>
        <v>14957875.387488708</v>
      </c>
      <c r="AC346" s="55">
        <v>88</v>
      </c>
      <c r="AD346" s="54">
        <f t="shared" si="59"/>
        <v>23458.669953950099</v>
      </c>
      <c r="AE346" s="54">
        <f t="shared" si="60"/>
        <v>132874.76988847004</v>
      </c>
      <c r="AF346" s="54">
        <f t="shared" si="61"/>
        <v>455068.90920124715</v>
      </c>
      <c r="AG346" s="54">
        <f t="shared" si="62"/>
        <v>533477.01011839823</v>
      </c>
      <c r="AH346" s="54">
        <f t="shared" si="63"/>
        <v>1063295.9055546164</v>
      </c>
      <c r="AI346" s="54">
        <f t="shared" si="64"/>
        <v>1367967.1322117364</v>
      </c>
      <c r="AJ346" s="54">
        <f t="shared" si="65"/>
        <v>1829878.6852548714</v>
      </c>
      <c r="AK346" s="54">
        <f t="shared" si="66"/>
        <v>1975679.7335075021</v>
      </c>
      <c r="AL346" s="54">
        <f t="shared" si="67"/>
        <v>2155326.9332400295</v>
      </c>
      <c r="AM346" s="54">
        <f t="shared" si="68"/>
        <v>9537027.7489308212</v>
      </c>
    </row>
    <row r="347" spans="17:39" x14ac:dyDescent="0.25">
      <c r="Q347" s="55">
        <v>89</v>
      </c>
      <c r="R347" s="54">
        <v>159204.71968351398</v>
      </c>
      <c r="S347" s="54">
        <v>427770.9014427755</v>
      </c>
      <c r="T347" s="54">
        <v>966823.29745626915</v>
      </c>
      <c r="U347" s="54">
        <v>1150205.075637375</v>
      </c>
      <c r="V347" s="54">
        <v>1695543.1220031278</v>
      </c>
      <c r="W347" s="54">
        <v>2268452.7009958606</v>
      </c>
      <c r="X347" s="54">
        <v>3273336.4691392174</v>
      </c>
      <c r="Y347" s="54">
        <v>3521553.4354323973</v>
      </c>
      <c r="Z347" s="54">
        <v>4075850.95767267</v>
      </c>
      <c r="AA347" s="54">
        <f t="shared" si="58"/>
        <v>17538740.679463208</v>
      </c>
      <c r="AC347" s="55">
        <v>89</v>
      </c>
      <c r="AD347" s="54">
        <f t="shared" si="59"/>
        <v>149627.08967351244</v>
      </c>
      <c r="AE347" s="54">
        <f t="shared" si="60"/>
        <v>376426.79798719648</v>
      </c>
      <c r="AF347" s="54">
        <f t="shared" si="61"/>
        <v>795466.44714825414</v>
      </c>
      <c r="AG347" s="54">
        <f t="shared" si="62"/>
        <v>885701.68659723806</v>
      </c>
      <c r="AH347" s="54">
        <f t="shared" si="63"/>
        <v>1223464.7873285906</v>
      </c>
      <c r="AI347" s="54">
        <f t="shared" si="64"/>
        <v>1535345.0587661264</v>
      </c>
      <c r="AJ347" s="54">
        <f t="shared" si="65"/>
        <v>2079884.2268599158</v>
      </c>
      <c r="AK347" s="54">
        <f t="shared" si="66"/>
        <v>2101011.8078489034</v>
      </c>
      <c r="AL347" s="54">
        <f t="shared" si="67"/>
        <v>2281798.9347447865</v>
      </c>
      <c r="AM347" s="54">
        <f t="shared" si="68"/>
        <v>11428726.836954523</v>
      </c>
    </row>
    <row r="348" spans="17:39" x14ac:dyDescent="0.25">
      <c r="Q348" s="55">
        <v>90</v>
      </c>
      <c r="R348" s="54">
        <v>200242.11580114532</v>
      </c>
      <c r="S348" s="54">
        <v>290366.82935129013</v>
      </c>
      <c r="T348" s="54">
        <v>607968.86741114408</v>
      </c>
      <c r="U348" s="54">
        <v>761931.6471361639</v>
      </c>
      <c r="V348" s="54">
        <v>1408913.7338550566</v>
      </c>
      <c r="W348" s="54">
        <v>2304657.1075076368</v>
      </c>
      <c r="X348" s="54">
        <v>3248204.4095433075</v>
      </c>
      <c r="Y348" s="54">
        <v>3867975.0689433506</v>
      </c>
      <c r="Z348" s="54">
        <v>4992328.7816450642</v>
      </c>
      <c r="AA348" s="54">
        <f t="shared" si="58"/>
        <v>17682588.561194159</v>
      </c>
      <c r="AC348" s="55">
        <v>90</v>
      </c>
      <c r="AD348" s="54">
        <f t="shared" si="59"/>
        <v>188195.7085000567</v>
      </c>
      <c r="AE348" s="54">
        <f t="shared" si="60"/>
        <v>255514.93906142315</v>
      </c>
      <c r="AF348" s="54">
        <f t="shared" si="61"/>
        <v>500214.29583741032</v>
      </c>
      <c r="AG348" s="54">
        <f t="shared" si="62"/>
        <v>586716.36844095273</v>
      </c>
      <c r="AH348" s="54">
        <f t="shared" si="63"/>
        <v>1016639.6356341843</v>
      </c>
      <c r="AI348" s="54">
        <f t="shared" si="64"/>
        <v>1559849.0991717353</v>
      </c>
      <c r="AJ348" s="54">
        <f t="shared" si="65"/>
        <v>2063915.268326367</v>
      </c>
      <c r="AK348" s="54">
        <f t="shared" si="66"/>
        <v>2307692.1708891564</v>
      </c>
      <c r="AL348" s="54">
        <f t="shared" si="67"/>
        <v>2794874.1536805457</v>
      </c>
      <c r="AM348" s="54">
        <f t="shared" si="68"/>
        <v>11273611.639541833</v>
      </c>
    </row>
    <row r="349" spans="17:39" x14ac:dyDescent="0.25">
      <c r="Q349" s="55">
        <v>91</v>
      </c>
      <c r="R349" s="54">
        <v>233140.10841683578</v>
      </c>
      <c r="S349" s="54">
        <v>484825.20214619394</v>
      </c>
      <c r="T349" s="54">
        <v>793531.68431156036</v>
      </c>
      <c r="U349" s="54">
        <v>868652.16319668945</v>
      </c>
      <c r="V349" s="54">
        <v>1303637.4390123868</v>
      </c>
      <c r="W349" s="54">
        <v>2170953.4553679442</v>
      </c>
      <c r="X349" s="54">
        <v>2870544.5929746716</v>
      </c>
      <c r="Y349" s="54">
        <v>3175312.9839364626</v>
      </c>
      <c r="Z349" s="54">
        <v>3603761.8007800388</v>
      </c>
      <c r="AA349" s="54">
        <f t="shared" si="58"/>
        <v>15504359.430142784</v>
      </c>
      <c r="AC349" s="55">
        <v>91</v>
      </c>
      <c r="AD349" s="54">
        <f t="shared" si="59"/>
        <v>219114.58390131276</v>
      </c>
      <c r="AE349" s="54">
        <f t="shared" si="60"/>
        <v>426633.03607573902</v>
      </c>
      <c r="AF349" s="54">
        <f t="shared" si="61"/>
        <v>652888.51776706206</v>
      </c>
      <c r="AG349" s="54">
        <f t="shared" si="62"/>
        <v>668895.22773433255</v>
      </c>
      <c r="AH349" s="54">
        <f t="shared" si="63"/>
        <v>940674.69082743628</v>
      </c>
      <c r="AI349" s="54">
        <f t="shared" si="64"/>
        <v>1469355.1507805951</v>
      </c>
      <c r="AJ349" s="54">
        <f t="shared" si="65"/>
        <v>1823949.5015909746</v>
      </c>
      <c r="AK349" s="54">
        <f t="shared" si="66"/>
        <v>1894439.5407270861</v>
      </c>
      <c r="AL349" s="54">
        <f t="shared" si="67"/>
        <v>2017507.4907030584</v>
      </c>
      <c r="AM349" s="54">
        <f t="shared" si="68"/>
        <v>10113457.740107596</v>
      </c>
    </row>
    <row r="350" spans="17:39" x14ac:dyDescent="0.25">
      <c r="Q350" s="55">
        <v>92</v>
      </c>
      <c r="R350" s="54">
        <v>174618.75931234751</v>
      </c>
      <c r="S350" s="54">
        <v>347841.77440539282</v>
      </c>
      <c r="T350" s="54">
        <v>759616.93641910888</v>
      </c>
      <c r="U350" s="54">
        <v>1287363.1615278227</v>
      </c>
      <c r="V350" s="54">
        <v>1656310.9679895435</v>
      </c>
      <c r="W350" s="54">
        <v>1941356.4056006675</v>
      </c>
      <c r="X350" s="54">
        <v>2926260.052667303</v>
      </c>
      <c r="Y350" s="54">
        <v>3969272.6505183587</v>
      </c>
      <c r="Z350" s="54">
        <v>5675087.0958501855</v>
      </c>
      <c r="AA350" s="54">
        <f t="shared" si="58"/>
        <v>18737727.804290731</v>
      </c>
      <c r="AC350" s="55">
        <v>92</v>
      </c>
      <c r="AD350" s="54">
        <f t="shared" si="59"/>
        <v>164113.83287031844</v>
      </c>
      <c r="AE350" s="54">
        <f t="shared" si="60"/>
        <v>306091.33277645975</v>
      </c>
      <c r="AF350" s="54">
        <f t="shared" si="61"/>
        <v>624984.71767978976</v>
      </c>
      <c r="AG350" s="54">
        <f t="shared" si="62"/>
        <v>991318.63315461681</v>
      </c>
      <c r="AH350" s="54">
        <f t="shared" si="63"/>
        <v>1195155.7703865939</v>
      </c>
      <c r="AI350" s="54">
        <f t="shared" si="64"/>
        <v>1313958.1721648565</v>
      </c>
      <c r="AJ350" s="54">
        <f t="shared" si="65"/>
        <v>1859351.2107948642</v>
      </c>
      <c r="AK350" s="54">
        <f t="shared" si="66"/>
        <v>2368127.8334164517</v>
      </c>
      <c r="AL350" s="54">
        <f t="shared" si="67"/>
        <v>3177105.3025179827</v>
      </c>
      <c r="AM350" s="54">
        <f t="shared" si="68"/>
        <v>12000206.805761933</v>
      </c>
    </row>
    <row r="351" spans="17:39" x14ac:dyDescent="0.25">
      <c r="Q351" s="55">
        <v>93</v>
      </c>
      <c r="R351" s="54">
        <v>18305.636920356192</v>
      </c>
      <c r="S351" s="54">
        <v>208415.57377908193</v>
      </c>
      <c r="T351" s="54">
        <v>548465.8935544854</v>
      </c>
      <c r="U351" s="54">
        <v>735068.80756803043</v>
      </c>
      <c r="V351" s="54">
        <v>1317547.8436048049</v>
      </c>
      <c r="W351" s="54">
        <v>2278562.7405009894</v>
      </c>
      <c r="X351" s="54">
        <v>2641850.1418584744</v>
      </c>
      <c r="Y351" s="54">
        <v>3486564.4090983486</v>
      </c>
      <c r="Z351" s="54">
        <v>4232047.9323584568</v>
      </c>
      <c r="AA351" s="54">
        <f t="shared" si="58"/>
        <v>15466828.979243027</v>
      </c>
      <c r="AC351" s="55">
        <v>93</v>
      </c>
      <c r="AD351" s="54">
        <f t="shared" si="59"/>
        <v>17204.384282437375</v>
      </c>
      <c r="AE351" s="54">
        <f t="shared" si="60"/>
        <v>183400.0555524441</v>
      </c>
      <c r="AF351" s="54">
        <f t="shared" si="61"/>
        <v>451257.44991422584</v>
      </c>
      <c r="AG351" s="54">
        <f t="shared" si="62"/>
        <v>566030.95953758608</v>
      </c>
      <c r="AH351" s="54">
        <f t="shared" si="63"/>
        <v>950712.11775893846</v>
      </c>
      <c r="AI351" s="54">
        <f t="shared" si="64"/>
        <v>1542187.7842905843</v>
      </c>
      <c r="AJ351" s="54">
        <f t="shared" si="65"/>
        <v>1678636.6117822323</v>
      </c>
      <c r="AK351" s="54">
        <f t="shared" si="66"/>
        <v>2080136.8278661147</v>
      </c>
      <c r="AL351" s="54">
        <f t="shared" si="67"/>
        <v>2369243.2731540347</v>
      </c>
      <c r="AM351" s="54">
        <f t="shared" si="68"/>
        <v>9838809.4641385972</v>
      </c>
    </row>
    <row r="352" spans="17:39" x14ac:dyDescent="0.25">
      <c r="Q352" s="55">
        <v>94</v>
      </c>
      <c r="R352" s="54">
        <v>272204.85877934564</v>
      </c>
      <c r="S352" s="54">
        <v>480194.48809859436</v>
      </c>
      <c r="T352" s="54">
        <v>717435.12068279553</v>
      </c>
      <c r="U352" s="54">
        <v>898312.44463675842</v>
      </c>
      <c r="V352" s="54">
        <v>1594697.5660483148</v>
      </c>
      <c r="W352" s="54">
        <v>2027752.828708576</v>
      </c>
      <c r="X352" s="54">
        <v>3252739.6768913297</v>
      </c>
      <c r="Y352" s="54">
        <v>3370693.3420852982</v>
      </c>
      <c r="Z352" s="54">
        <v>4941427.8126169629</v>
      </c>
      <c r="AA352" s="54">
        <f t="shared" si="58"/>
        <v>17555458.138547976</v>
      </c>
      <c r="AC352" s="55">
        <v>94</v>
      </c>
      <c r="AD352" s="54">
        <f t="shared" si="59"/>
        <v>255829.22978106001</v>
      </c>
      <c r="AE352" s="54">
        <f t="shared" si="60"/>
        <v>422558.13323533291</v>
      </c>
      <c r="AF352" s="54">
        <f t="shared" si="61"/>
        <v>590279.07996262959</v>
      </c>
      <c r="AG352" s="54">
        <f t="shared" si="62"/>
        <v>691734.77335350006</v>
      </c>
      <c r="AH352" s="54">
        <f t="shared" si="63"/>
        <v>1150696.9614513428</v>
      </c>
      <c r="AI352" s="54">
        <f t="shared" si="64"/>
        <v>1372433.4144547053</v>
      </c>
      <c r="AJ352" s="54">
        <f t="shared" si="65"/>
        <v>2066796.9858371322</v>
      </c>
      <c r="AK352" s="54">
        <f t="shared" si="66"/>
        <v>2011006.4044759669</v>
      </c>
      <c r="AL352" s="54">
        <f t="shared" si="67"/>
        <v>2766378.073202638</v>
      </c>
      <c r="AM352" s="54">
        <f t="shared" si="68"/>
        <v>11327713.055754308</v>
      </c>
    </row>
    <row r="353" spans="17:39" x14ac:dyDescent="0.25">
      <c r="Q353" s="55">
        <v>95</v>
      </c>
      <c r="R353" s="54">
        <v>108981.02392979059</v>
      </c>
      <c r="S353" s="54">
        <v>308860.76582119614</v>
      </c>
      <c r="T353" s="54">
        <v>838792.14244303573</v>
      </c>
      <c r="U353" s="54">
        <v>960798.09762688633</v>
      </c>
      <c r="V353" s="54">
        <v>1529329.8667992419</v>
      </c>
      <c r="W353" s="54">
        <v>2387766.5426663179</v>
      </c>
      <c r="X353" s="54">
        <v>3069132.590995058</v>
      </c>
      <c r="Y353" s="54">
        <v>3337574.3346081832</v>
      </c>
      <c r="Z353" s="54">
        <v>5121708.1551782638</v>
      </c>
      <c r="AA353" s="54">
        <f t="shared" si="58"/>
        <v>17662943.520067975</v>
      </c>
      <c r="AC353" s="55">
        <v>95</v>
      </c>
      <c r="AD353" s="54">
        <f t="shared" si="59"/>
        <v>102424.81173089595</v>
      </c>
      <c r="AE353" s="54">
        <f t="shared" si="60"/>
        <v>271789.10185292066</v>
      </c>
      <c r="AF353" s="54">
        <f t="shared" si="61"/>
        <v>690127.14857051091</v>
      </c>
      <c r="AG353" s="54">
        <f t="shared" si="62"/>
        <v>739851.10444412567</v>
      </c>
      <c r="AH353" s="54">
        <f t="shared" si="63"/>
        <v>1103529.1382199035</v>
      </c>
      <c r="AI353" s="54">
        <f t="shared" si="64"/>
        <v>1616099.6264812567</v>
      </c>
      <c r="AJ353" s="54">
        <f t="shared" si="65"/>
        <v>1950132.6937621436</v>
      </c>
      <c r="AK353" s="54">
        <f t="shared" si="66"/>
        <v>1991247.1059023503</v>
      </c>
      <c r="AL353" s="54">
        <f t="shared" si="67"/>
        <v>2867305.0938134925</v>
      </c>
      <c r="AM353" s="54">
        <f t="shared" si="68"/>
        <v>11332505.824777598</v>
      </c>
    </row>
    <row r="354" spans="17:39" x14ac:dyDescent="0.25">
      <c r="Q354" s="55">
        <v>96</v>
      </c>
      <c r="R354" s="54">
        <v>259106.14566502906</v>
      </c>
      <c r="S354" s="54">
        <v>437105.4746336434</v>
      </c>
      <c r="T354" s="54">
        <v>892806.55495601892</v>
      </c>
      <c r="U354" s="54">
        <v>1087722.4027386708</v>
      </c>
      <c r="V354" s="54">
        <v>1754051.0420380216</v>
      </c>
      <c r="W354" s="54">
        <v>2211309.7924545994</v>
      </c>
      <c r="X354" s="54">
        <v>2962942.8539912794</v>
      </c>
      <c r="Y354" s="54">
        <v>3519854.4258075724</v>
      </c>
      <c r="Z354" s="54">
        <v>3709911.3238792764</v>
      </c>
      <c r="AA354" s="54">
        <f t="shared" si="58"/>
        <v>16834810.016164113</v>
      </c>
      <c r="AC354" s="55">
        <v>96</v>
      </c>
      <c r="AD354" s="54">
        <f t="shared" si="59"/>
        <v>243518.52488701147</v>
      </c>
      <c r="AE354" s="54">
        <f t="shared" si="60"/>
        <v>384640.96936950489</v>
      </c>
      <c r="AF354" s="54">
        <f t="shared" si="61"/>
        <v>734568.20923749008</v>
      </c>
      <c r="AG354" s="54">
        <f t="shared" si="62"/>
        <v>837587.65029043506</v>
      </c>
      <c r="AH354" s="54">
        <f t="shared" si="63"/>
        <v>1265682.752188111</v>
      </c>
      <c r="AI354" s="54">
        <f t="shared" si="64"/>
        <v>1496669.320791147</v>
      </c>
      <c r="AJ354" s="54">
        <f t="shared" si="65"/>
        <v>1882659.532621871</v>
      </c>
      <c r="AK354" s="54">
        <f t="shared" si="66"/>
        <v>2099998.1531226994</v>
      </c>
      <c r="AL354" s="54">
        <f t="shared" si="67"/>
        <v>2076933.5765062084</v>
      </c>
      <c r="AM354" s="54">
        <f t="shared" si="68"/>
        <v>11022258.689014478</v>
      </c>
    </row>
    <row r="355" spans="17:39" x14ac:dyDescent="0.25">
      <c r="Q355" s="55">
        <v>97</v>
      </c>
      <c r="R355" s="54">
        <v>292816.73966509476</v>
      </c>
      <c r="S355" s="54">
        <v>488958.31509255804</v>
      </c>
      <c r="T355" s="54">
        <v>919667.52716660034</v>
      </c>
      <c r="U355" s="54">
        <v>1254707.2964201504</v>
      </c>
      <c r="V355" s="54">
        <v>1558629.1117416024</v>
      </c>
      <c r="W355" s="54">
        <v>2203651.5033892896</v>
      </c>
      <c r="X355" s="54">
        <v>3065413.6228136746</v>
      </c>
      <c r="Y355" s="54">
        <v>3552463.4438654473</v>
      </c>
      <c r="Z355" s="54">
        <v>5106606.1270524571</v>
      </c>
      <c r="AA355" s="54">
        <f t="shared" si="58"/>
        <v>18442913.687206876</v>
      </c>
      <c r="AC355" s="55">
        <v>97</v>
      </c>
      <c r="AD355" s="54">
        <f t="shared" si="59"/>
        <v>275201.11621610209</v>
      </c>
      <c r="AE355" s="54">
        <f t="shared" si="60"/>
        <v>430270.06343517802</v>
      </c>
      <c r="AF355" s="54">
        <f t="shared" si="61"/>
        <v>756668.42360708199</v>
      </c>
      <c r="AG355" s="54">
        <f t="shared" si="62"/>
        <v>966172.37409544026</v>
      </c>
      <c r="AH355" s="54">
        <f t="shared" si="63"/>
        <v>1124670.7972064021</v>
      </c>
      <c r="AI355" s="54">
        <f t="shared" si="64"/>
        <v>1491486.0007819335</v>
      </c>
      <c r="AJ355" s="54">
        <f t="shared" si="65"/>
        <v>1947769.6542965774</v>
      </c>
      <c r="AK355" s="54">
        <f t="shared" si="66"/>
        <v>2119453.1843292727</v>
      </c>
      <c r="AL355" s="54">
        <f t="shared" si="67"/>
        <v>2858850.4687430928</v>
      </c>
      <c r="AM355" s="54">
        <f t="shared" si="68"/>
        <v>11970542.082711082</v>
      </c>
    </row>
    <row r="356" spans="17:39" x14ac:dyDescent="0.25">
      <c r="Q356" s="55">
        <v>98</v>
      </c>
      <c r="R356" s="54">
        <v>208499.4820464598</v>
      </c>
      <c r="S356" s="54">
        <v>306961.58360920008</v>
      </c>
      <c r="T356" s="54">
        <v>723202.29024442751</v>
      </c>
      <c r="U356" s="54">
        <v>1203377.7170016076</v>
      </c>
      <c r="V356" s="54">
        <v>1206484.3271891605</v>
      </c>
      <c r="W356" s="54">
        <v>1964158.3226639684</v>
      </c>
      <c r="X356" s="54">
        <v>3339588.1837928565</v>
      </c>
      <c r="Y356" s="54">
        <v>3013081.0231211525</v>
      </c>
      <c r="Z356" s="54">
        <v>3846879.8996366113</v>
      </c>
      <c r="AA356" s="54">
        <f t="shared" si="58"/>
        <v>15812232.829305444</v>
      </c>
      <c r="AC356" s="55">
        <v>98</v>
      </c>
      <c r="AD356" s="54">
        <f t="shared" si="59"/>
        <v>195956.31812338211</v>
      </c>
      <c r="AE356" s="54">
        <f t="shared" si="60"/>
        <v>270117.87298614939</v>
      </c>
      <c r="AF356" s="54">
        <f t="shared" si="61"/>
        <v>595024.0937550806</v>
      </c>
      <c r="AG356" s="54">
        <f t="shared" si="62"/>
        <v>926646.64427014138</v>
      </c>
      <c r="AH356" s="54">
        <f t="shared" si="63"/>
        <v>870571.24742182822</v>
      </c>
      <c r="AI356" s="54">
        <f t="shared" si="64"/>
        <v>1329391.0752525711</v>
      </c>
      <c r="AJ356" s="54">
        <f t="shared" si="65"/>
        <v>2121980.6925332914</v>
      </c>
      <c r="AK356" s="54">
        <f t="shared" si="66"/>
        <v>1797649.5099827151</v>
      </c>
      <c r="AL356" s="54">
        <f t="shared" si="67"/>
        <v>2153613.2081959443</v>
      </c>
      <c r="AM356" s="54">
        <f t="shared" si="68"/>
        <v>10260950.662521103</v>
      </c>
    </row>
    <row r="357" spans="17:39" x14ac:dyDescent="0.25">
      <c r="Q357" s="55">
        <v>99</v>
      </c>
      <c r="R357" s="54">
        <v>194256.6294663297</v>
      </c>
      <c r="S357" s="54">
        <v>439921.36099267472</v>
      </c>
      <c r="T357" s="54">
        <v>850080.39142747037</v>
      </c>
      <c r="U357" s="54">
        <v>1305217.0360973701</v>
      </c>
      <c r="V357" s="54">
        <v>1568257.9394049561</v>
      </c>
      <c r="W357" s="54">
        <v>3022880.8283651564</v>
      </c>
      <c r="X357" s="54">
        <v>3707271.4262469606</v>
      </c>
      <c r="Y357" s="54">
        <v>4817961.4743844774</v>
      </c>
      <c r="Z357" s="54">
        <v>5336884.9421002166</v>
      </c>
      <c r="AA357" s="54">
        <f t="shared" si="58"/>
        <v>21242732.028485611</v>
      </c>
      <c r="AC357" s="55">
        <v>99</v>
      </c>
      <c r="AD357" s="54">
        <f t="shared" si="59"/>
        <v>182570.3042888034</v>
      </c>
      <c r="AE357" s="54">
        <f t="shared" si="60"/>
        <v>387118.873037218</v>
      </c>
      <c r="AF357" s="54">
        <f t="shared" si="61"/>
        <v>699414.70229185605</v>
      </c>
      <c r="AG357" s="54">
        <f t="shared" si="62"/>
        <v>1005066.7961157139</v>
      </c>
      <c r="AH357" s="54">
        <f t="shared" si="63"/>
        <v>1131618.7370355295</v>
      </c>
      <c r="AI357" s="54">
        <f t="shared" si="64"/>
        <v>2045960.7295456529</v>
      </c>
      <c r="AJ357" s="54">
        <f t="shared" si="65"/>
        <v>2355607.3250750122</v>
      </c>
      <c r="AK357" s="54">
        <f t="shared" si="66"/>
        <v>2874468.3654643982</v>
      </c>
      <c r="AL357" s="54">
        <f t="shared" si="67"/>
        <v>2987768.321806666</v>
      </c>
      <c r="AM357" s="54">
        <f t="shared" si="68"/>
        <v>13669594.154660851</v>
      </c>
    </row>
    <row r="358" spans="17:39" x14ac:dyDescent="0.25">
      <c r="Q358" s="55">
        <v>100</v>
      </c>
      <c r="R358" s="54">
        <v>238992.70461641625</v>
      </c>
      <c r="S358" s="54">
        <v>390111.62868979573</v>
      </c>
      <c r="T358" s="54">
        <v>815584.81731254701</v>
      </c>
      <c r="U358" s="54">
        <v>934783.57885231823</v>
      </c>
      <c r="V358" s="54">
        <v>1130918.9921111255</v>
      </c>
      <c r="W358" s="54">
        <v>2393676.8591886302</v>
      </c>
      <c r="X358" s="54">
        <v>3322200.4788530432</v>
      </c>
      <c r="Y358" s="54">
        <v>3230445.7580162669</v>
      </c>
      <c r="Z358" s="54">
        <v>5577945.8523040116</v>
      </c>
      <c r="AA358" s="54">
        <f t="shared" si="58"/>
        <v>18034660.669944156</v>
      </c>
      <c r="AC358" s="55">
        <v>100</v>
      </c>
      <c r="AD358" s="54">
        <f t="shared" si="59"/>
        <v>224615.09254275454</v>
      </c>
      <c r="AE358" s="54">
        <f t="shared" si="60"/>
        <v>343287.65876777243</v>
      </c>
      <c r="AF358" s="54">
        <f t="shared" si="61"/>
        <v>671033.01987301826</v>
      </c>
      <c r="AG358" s="54">
        <f t="shared" si="62"/>
        <v>719818.93484003795</v>
      </c>
      <c r="AH358" s="54">
        <f t="shared" si="63"/>
        <v>816045.04551583424</v>
      </c>
      <c r="AI358" s="54">
        <f t="shared" si="64"/>
        <v>1620099.8753135521</v>
      </c>
      <c r="AJ358" s="54">
        <f t="shared" si="65"/>
        <v>2110932.5116980588</v>
      </c>
      <c r="AK358" s="54">
        <f t="shared" si="66"/>
        <v>1927332.5839436552</v>
      </c>
      <c r="AL358" s="54">
        <f t="shared" si="67"/>
        <v>3122722.3556572343</v>
      </c>
      <c r="AM358" s="54">
        <f t="shared" si="68"/>
        <v>11555887.078151919</v>
      </c>
    </row>
    <row r="359" spans="17:39" x14ac:dyDescent="0.25">
      <c r="Q359" s="53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</row>
  </sheetData>
  <mergeCells count="2">
    <mergeCell ref="R257:AA257"/>
    <mergeCell ref="AD257:AM25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FD512-00FE-4156-8ECB-EB3AB63E0B70}">
  <sheetPr codeName="Arkusz2"/>
  <dimension ref="A1:AM359"/>
  <sheetViews>
    <sheetView topLeftCell="I254" zoomScale="70" zoomScaleNormal="70" workbookViewId="0">
      <selection activeCell="R270" sqref="R270"/>
    </sheetView>
  </sheetViews>
  <sheetFormatPr defaultColWidth="9.85546875" defaultRowHeight="15.75" x14ac:dyDescent="0.25"/>
  <cols>
    <col min="1" max="1" width="13.85546875" style="25" bestFit="1" customWidth="1"/>
    <col min="2" max="2" width="13.28515625" style="25" customWidth="1"/>
    <col min="3" max="3" width="12.28515625" style="25" customWidth="1"/>
    <col min="4" max="6" width="11.7109375" style="25" bestFit="1" customWidth="1"/>
    <col min="7" max="9" width="12.7109375" style="25" bestFit="1" customWidth="1"/>
    <col min="10" max="10" width="12.7109375" style="25" customWidth="1"/>
    <col min="11" max="11" width="12.7109375" style="25" bestFit="1" customWidth="1"/>
    <col min="12" max="12" width="24.42578125" style="25" bestFit="1" customWidth="1"/>
    <col min="13" max="13" width="10.42578125" style="25" customWidth="1"/>
    <col min="14" max="14" width="19.85546875" style="25" customWidth="1"/>
    <col min="15" max="15" width="10.140625" style="25" bestFit="1" customWidth="1"/>
    <col min="16" max="17" width="10.7109375" style="25" bestFit="1" customWidth="1"/>
    <col min="18" max="19" width="9.42578125" style="25" bestFit="1" customWidth="1"/>
    <col min="20" max="26" width="11.140625" style="25" bestFit="1" customWidth="1"/>
    <col min="27" max="27" width="12.28515625" style="25" bestFit="1" customWidth="1"/>
    <col min="28" max="29" width="9.85546875" style="25"/>
    <col min="30" max="31" width="10" style="25" bestFit="1" customWidth="1"/>
    <col min="32" max="33" width="11.140625" style="25" bestFit="1" customWidth="1"/>
    <col min="34" max="38" width="11.7109375" style="25" bestFit="1" customWidth="1"/>
    <col min="39" max="39" width="12.7109375" style="25" bestFit="1" customWidth="1"/>
    <col min="40" max="16384" width="9.85546875" style="25"/>
  </cols>
  <sheetData>
    <row r="1" spans="1:18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25">
      <c r="A3" s="24"/>
      <c r="B3" s="24"/>
      <c r="C3" s="24"/>
      <c r="D3" s="26" t="s">
        <v>57</v>
      </c>
      <c r="E3" s="27">
        <v>1</v>
      </c>
      <c r="F3" s="28" t="s">
        <v>58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25">
      <c r="A4" s="24"/>
      <c r="B4" s="24"/>
      <c r="C4" s="24"/>
      <c r="D4" s="26" t="s">
        <v>59</v>
      </c>
      <c r="E4" s="27" t="b">
        <v>1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25">
      <c r="A5" s="24"/>
      <c r="B5" s="24"/>
      <c r="C5" s="24"/>
      <c r="D5" s="26" t="s">
        <v>60</v>
      </c>
      <c r="E5" s="27" t="b">
        <v>1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25">
      <c r="A6" s="24"/>
      <c r="B6" s="24"/>
      <c r="C6" s="24"/>
      <c r="D6" s="26" t="s">
        <v>61</v>
      </c>
      <c r="E6" s="27">
        <f>COUNTA(C31:L40)</f>
        <v>55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25">
      <c r="A7" s="24"/>
      <c r="B7" s="24"/>
      <c r="C7" s="29"/>
      <c r="D7" s="26" t="s">
        <v>62</v>
      </c>
      <c r="E7" s="27">
        <f>2*COUNTA(C31:C40)-1</f>
        <v>19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25">
      <c r="A8" s="24"/>
      <c r="B8" s="24"/>
      <c r="C8" s="29"/>
      <c r="D8" s="26" t="s">
        <v>63</v>
      </c>
      <c r="E8" s="30">
        <f>E6-E7</f>
        <v>36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24"/>
      <c r="B9" s="24"/>
      <c r="C9" s="24"/>
      <c r="D9" s="31" t="s">
        <v>64</v>
      </c>
      <c r="E9" s="32">
        <f>E124/$E$8</f>
        <v>4384.8969508899227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x14ac:dyDescent="0.25">
      <c r="A10" s="24"/>
      <c r="B10" s="24"/>
      <c r="C10" s="33"/>
      <c r="D10" s="33"/>
      <c r="E10" s="33"/>
      <c r="F10" s="33"/>
      <c r="G10" s="33"/>
      <c r="H10" s="33"/>
      <c r="I10" s="33"/>
      <c r="J10" s="33"/>
      <c r="K10" s="24"/>
      <c r="L10" s="24"/>
      <c r="M10" s="24"/>
      <c r="N10" s="24"/>
      <c r="O10" s="24"/>
      <c r="P10" s="24"/>
      <c r="Q10" s="24"/>
      <c r="R10" s="24"/>
    </row>
    <row r="11" spans="1:18" ht="18" x14ac:dyDescent="0.25">
      <c r="A11" s="24"/>
      <c r="B11" s="24"/>
      <c r="C11" s="34" t="s">
        <v>65</v>
      </c>
      <c r="D11" s="35"/>
      <c r="E11" s="35"/>
      <c r="F11" s="35"/>
      <c r="G11" s="35"/>
      <c r="H11" s="35"/>
      <c r="I11" s="35"/>
      <c r="J11" s="35"/>
      <c r="K11" s="36"/>
      <c r="L11" s="24"/>
      <c r="M11" s="24"/>
      <c r="N11" s="24"/>
      <c r="O11" s="24"/>
      <c r="P11" s="24"/>
      <c r="Q11" s="24"/>
      <c r="R11" s="24"/>
    </row>
    <row r="12" spans="1:18" x14ac:dyDescent="0.25">
      <c r="A12" s="24"/>
      <c r="B12" s="24"/>
      <c r="C12" s="35"/>
      <c r="D12" s="35"/>
      <c r="E12" s="35"/>
      <c r="F12" s="35"/>
      <c r="G12" s="35"/>
      <c r="H12" s="35"/>
      <c r="I12" s="35"/>
      <c r="J12" s="35"/>
      <c r="K12" s="35"/>
      <c r="L12" s="24"/>
      <c r="M12" s="24"/>
      <c r="N12" s="24"/>
      <c r="O12" s="24"/>
      <c r="P12" s="24"/>
      <c r="Q12" s="24"/>
      <c r="R12" s="24"/>
    </row>
    <row r="13" spans="1:18" x14ac:dyDescent="0.25">
      <c r="A13" s="24"/>
      <c r="B13" s="24"/>
      <c r="C13" s="37">
        <v>4262147.3800735464</v>
      </c>
      <c r="D13" s="37">
        <v>5171040.557632775</v>
      </c>
      <c r="E13" s="37">
        <v>5206528.1608655713</v>
      </c>
      <c r="F13" s="37">
        <v>5217735.2787153367</v>
      </c>
      <c r="G13" s="37">
        <v>5216421.5403902102</v>
      </c>
      <c r="H13" s="37">
        <v>5213475.3922777912</v>
      </c>
      <c r="I13" s="37">
        <v>5212026.8016393669</v>
      </c>
      <c r="J13" s="37">
        <v>5211044.3549634609</v>
      </c>
      <c r="K13" s="37">
        <v>5210425.7469317596</v>
      </c>
      <c r="L13" s="37">
        <v>5209988.1650882559</v>
      </c>
      <c r="M13" s="24"/>
      <c r="N13" s="24"/>
      <c r="O13" s="24"/>
      <c r="P13" s="24"/>
      <c r="Q13" s="24"/>
      <c r="R13" s="24"/>
    </row>
    <row r="14" spans="1:18" x14ac:dyDescent="0.25">
      <c r="A14" s="24"/>
      <c r="B14" s="24"/>
      <c r="C14" s="37">
        <v>4103976.8489649151</v>
      </c>
      <c r="D14" s="37">
        <v>5000492.7767952532</v>
      </c>
      <c r="E14" s="37">
        <v>5029836.3739904091</v>
      </c>
      <c r="F14" s="37">
        <v>5040327.4160874067</v>
      </c>
      <c r="G14" s="37">
        <v>5040098.8196115727</v>
      </c>
      <c r="H14" s="37">
        <v>5038647.3542407844</v>
      </c>
      <c r="I14" s="37">
        <v>5038526.2604642119</v>
      </c>
      <c r="J14" s="37">
        <v>5038187.2178986128</v>
      </c>
      <c r="K14" s="37">
        <v>5037517.9003733704</v>
      </c>
      <c r="L14" s="24"/>
      <c r="M14" s="24"/>
      <c r="N14" s="24"/>
      <c r="O14" s="24"/>
      <c r="P14" s="24"/>
      <c r="Q14" s="24"/>
      <c r="R14" s="24"/>
    </row>
    <row r="15" spans="1:18" x14ac:dyDescent="0.25">
      <c r="A15" s="24"/>
      <c r="B15" s="24"/>
      <c r="C15" s="37">
        <v>4144525.2888819813</v>
      </c>
      <c r="D15" s="37">
        <v>5009318.3483073814</v>
      </c>
      <c r="E15" s="37">
        <v>5047660.9800198637</v>
      </c>
      <c r="F15" s="37">
        <v>5052630.6482328633</v>
      </c>
      <c r="G15" s="37">
        <v>5050444.2348935511</v>
      </c>
      <c r="H15" s="37">
        <v>5048337.6698905034</v>
      </c>
      <c r="I15" s="37">
        <v>5048060.8737261798</v>
      </c>
      <c r="J15" s="37">
        <v>5046848.0144023411</v>
      </c>
      <c r="K15" s="35"/>
      <c r="L15" s="24"/>
      <c r="M15" s="24"/>
      <c r="N15" s="24"/>
      <c r="O15" s="24"/>
      <c r="P15" s="24"/>
      <c r="Q15" s="24"/>
      <c r="R15" s="24"/>
    </row>
    <row r="16" spans="1:18" x14ac:dyDescent="0.25">
      <c r="A16" s="24"/>
      <c r="B16" s="24"/>
      <c r="C16" s="37">
        <v>4297632.8479463691</v>
      </c>
      <c r="D16" s="37">
        <v>5191642.9096287154</v>
      </c>
      <c r="E16" s="37">
        <v>5228063.4834473031</v>
      </c>
      <c r="F16" s="37">
        <v>5234464.7453851644</v>
      </c>
      <c r="G16" s="37">
        <v>5234678.3120978428</v>
      </c>
      <c r="H16" s="37">
        <v>5233855.6558879539</v>
      </c>
      <c r="I16" s="37">
        <v>5233392.6840154994</v>
      </c>
      <c r="J16" s="35"/>
      <c r="K16" s="35"/>
      <c r="L16" s="24"/>
      <c r="M16" s="24"/>
      <c r="N16" s="24"/>
      <c r="O16" s="24"/>
      <c r="P16" s="24"/>
      <c r="Q16" s="24"/>
      <c r="R16" s="24"/>
    </row>
    <row r="17" spans="1:18" x14ac:dyDescent="0.25">
      <c r="A17" s="24"/>
      <c r="B17" s="24"/>
      <c r="C17" s="37">
        <v>4725123.086187331</v>
      </c>
      <c r="D17" s="37">
        <v>5836983.4985665362</v>
      </c>
      <c r="E17" s="37">
        <v>5873044.3820574498</v>
      </c>
      <c r="F17" s="37">
        <v>5883070.9820741508</v>
      </c>
      <c r="G17" s="37">
        <v>5884627.4040972013</v>
      </c>
      <c r="H17" s="37">
        <v>5886582.385205742</v>
      </c>
      <c r="I17" s="35"/>
      <c r="J17" s="35"/>
      <c r="K17" s="35"/>
      <c r="L17" s="24"/>
      <c r="M17" s="29"/>
      <c r="N17" s="24"/>
      <c r="O17" s="24"/>
      <c r="P17" s="24"/>
      <c r="Q17" s="24"/>
      <c r="R17" s="24"/>
    </row>
    <row r="18" spans="1:18" x14ac:dyDescent="0.25">
      <c r="A18" s="24"/>
      <c r="B18" s="24"/>
      <c r="C18" s="37">
        <v>5597984.1078659333</v>
      </c>
      <c r="D18" s="37">
        <v>6970614.1899836697</v>
      </c>
      <c r="E18" s="37">
        <v>7066845.8532527769</v>
      </c>
      <c r="F18" s="37">
        <v>7068831.0134302946</v>
      </c>
      <c r="G18" s="37">
        <v>7067692.2693784814</v>
      </c>
      <c r="H18" s="35"/>
      <c r="I18" s="35"/>
      <c r="J18" s="35"/>
      <c r="K18" s="35"/>
      <c r="L18" s="24"/>
      <c r="M18" s="29"/>
      <c r="N18" s="24"/>
      <c r="O18" s="24"/>
      <c r="P18" s="24"/>
      <c r="Q18" s="24"/>
      <c r="R18" s="24"/>
    </row>
    <row r="19" spans="1:18" x14ac:dyDescent="0.25">
      <c r="A19" s="24"/>
      <c r="B19" s="24"/>
      <c r="C19" s="37">
        <v>5550939.8858195748</v>
      </c>
      <c r="D19" s="37">
        <v>6821264.010295298</v>
      </c>
      <c r="E19" s="37">
        <v>6865981.0625902554</v>
      </c>
      <c r="F19" s="37">
        <v>6881034.2560672257</v>
      </c>
      <c r="G19" s="35"/>
      <c r="H19" s="35"/>
      <c r="I19" s="35"/>
      <c r="J19" s="35"/>
      <c r="K19" s="35"/>
      <c r="L19" s="24"/>
      <c r="M19" s="29"/>
      <c r="N19" s="24"/>
      <c r="O19" s="24"/>
      <c r="P19" s="24"/>
      <c r="Q19" s="24"/>
      <c r="R19" s="24"/>
    </row>
    <row r="20" spans="1:18" x14ac:dyDescent="0.25">
      <c r="A20" s="24"/>
      <c r="B20" s="24"/>
      <c r="C20" s="37">
        <v>5825184.4614891456</v>
      </c>
      <c r="D20" s="37">
        <v>7002247.597021183</v>
      </c>
      <c r="E20" s="37">
        <v>7032173.1109102778</v>
      </c>
      <c r="F20" s="35"/>
      <c r="G20" s="35"/>
      <c r="H20" s="35"/>
      <c r="I20" s="35"/>
      <c r="J20" s="35"/>
      <c r="K20" s="35"/>
      <c r="L20" s="24"/>
      <c r="M20" s="29"/>
      <c r="N20" s="24"/>
      <c r="O20" s="24"/>
      <c r="P20" s="24"/>
      <c r="Q20" s="24"/>
      <c r="R20" s="24"/>
    </row>
    <row r="21" spans="1:18" x14ac:dyDescent="0.25">
      <c r="A21" s="24"/>
      <c r="B21" s="24"/>
      <c r="C21" s="37">
        <v>6735078.0685242079</v>
      </c>
      <c r="D21" s="37">
        <v>7976472.9698659219</v>
      </c>
      <c r="E21" s="37"/>
      <c r="F21" s="35"/>
      <c r="G21" s="35"/>
      <c r="H21" s="35"/>
      <c r="I21" s="35"/>
      <c r="J21" s="35"/>
      <c r="K21" s="35"/>
      <c r="L21" s="24"/>
      <c r="M21" s="29"/>
      <c r="N21" s="24"/>
      <c r="O21" s="24"/>
      <c r="P21" s="24"/>
      <c r="Q21" s="24"/>
      <c r="R21" s="24"/>
    </row>
    <row r="22" spans="1:18" x14ac:dyDescent="0.25">
      <c r="A22" s="24"/>
      <c r="B22" s="24"/>
      <c r="C22" s="37">
        <v>6428313.2761970535</v>
      </c>
      <c r="D22" s="33"/>
      <c r="E22" s="33"/>
      <c r="F22" s="33"/>
      <c r="G22" s="33"/>
      <c r="H22" s="33"/>
      <c r="I22" s="33"/>
      <c r="J22" s="33"/>
      <c r="K22" s="33"/>
      <c r="L22" s="24"/>
      <c r="M22" s="29"/>
      <c r="N22" s="24"/>
      <c r="O22" s="24"/>
      <c r="P22" s="24"/>
      <c r="Q22" s="24"/>
      <c r="R22" s="24"/>
    </row>
    <row r="23" spans="1:18" x14ac:dyDescent="0.25">
      <c r="A23" s="24"/>
      <c r="B23" s="24"/>
      <c r="C23" s="38"/>
      <c r="D23" s="24"/>
      <c r="E23" s="24"/>
      <c r="F23" s="24"/>
      <c r="G23" s="24"/>
      <c r="H23" s="24"/>
      <c r="I23" s="24"/>
      <c r="J23" s="24"/>
      <c r="K23" s="24"/>
      <c r="L23" s="24"/>
      <c r="M23" s="29"/>
      <c r="N23" s="24"/>
      <c r="O23" s="24"/>
      <c r="P23" s="24"/>
      <c r="Q23" s="24"/>
      <c r="R23" s="24"/>
    </row>
    <row r="24" spans="1:18" x14ac:dyDescent="0.25">
      <c r="A24" s="24"/>
      <c r="B24" s="24"/>
      <c r="C24" s="38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25">
      <c r="A25" s="24"/>
      <c r="B25" s="24"/>
      <c r="C25" s="38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1:18" ht="18" x14ac:dyDescent="0.25">
      <c r="A27" s="24"/>
      <c r="B27" s="24"/>
      <c r="C27" s="39" t="s">
        <v>66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  <row r="28" spans="1:18" ht="18" x14ac:dyDescent="0.25">
      <c r="A28" s="24"/>
      <c r="B28" s="24"/>
      <c r="C28" s="39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</row>
    <row r="29" spans="1:18" x14ac:dyDescent="0.25">
      <c r="A29" s="24"/>
      <c r="B29" s="24"/>
      <c r="C29" s="28" t="s">
        <v>67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</row>
    <row r="30" spans="1:18" x14ac:dyDescent="0.25">
      <c r="A30" s="24"/>
      <c r="B30" s="24"/>
      <c r="C30" s="28">
        <v>0</v>
      </c>
      <c r="D30" s="28">
        <v>1</v>
      </c>
      <c r="E30" s="28">
        <v>2</v>
      </c>
      <c r="F30" s="28">
        <v>3</v>
      </c>
      <c r="G30" s="28">
        <v>4</v>
      </c>
      <c r="H30" s="28">
        <v>5</v>
      </c>
      <c r="I30" s="28">
        <v>6</v>
      </c>
      <c r="J30" s="28">
        <v>7</v>
      </c>
      <c r="K30" s="28">
        <v>8</v>
      </c>
      <c r="L30" s="28">
        <v>9</v>
      </c>
      <c r="M30" s="24"/>
      <c r="N30" s="24"/>
      <c r="O30" s="24"/>
      <c r="P30" s="24"/>
      <c r="Q30" s="24"/>
      <c r="R30" s="24"/>
    </row>
    <row r="31" spans="1:18" x14ac:dyDescent="0.25">
      <c r="A31" s="28" t="s">
        <v>68</v>
      </c>
      <c r="B31" s="28">
        <v>0</v>
      </c>
      <c r="C31" s="40">
        <f>C13</f>
        <v>4262147.3800735464</v>
      </c>
      <c r="D31" s="40">
        <f t="shared" ref="D31:K38" si="0">D13-C13</f>
        <v>908893.17755922861</v>
      </c>
      <c r="E31" s="40">
        <f t="shared" si="0"/>
        <v>35487.603232796304</v>
      </c>
      <c r="F31" s="40">
        <f t="shared" si="0"/>
        <v>11207.117849765345</v>
      </c>
      <c r="G31" s="40">
        <f t="shared" si="0"/>
        <v>-1313.7383251264691</v>
      </c>
      <c r="H31" s="40">
        <f t="shared" si="0"/>
        <v>-2946.1481124190614</v>
      </c>
      <c r="I31" s="40">
        <f t="shared" si="0"/>
        <v>-1448.5906384242699</v>
      </c>
      <c r="J31" s="40">
        <f t="shared" si="0"/>
        <v>-982.44667590595782</v>
      </c>
      <c r="K31" s="40">
        <f t="shared" si="0"/>
        <v>-618.60803170129657</v>
      </c>
      <c r="L31" s="40">
        <f>L13-K13</f>
        <v>-437.58184350375086</v>
      </c>
      <c r="M31" s="24"/>
      <c r="N31" s="24"/>
      <c r="O31" s="24"/>
      <c r="P31" s="24"/>
      <c r="Q31" s="24"/>
      <c r="R31" s="24"/>
    </row>
    <row r="32" spans="1:18" x14ac:dyDescent="0.25">
      <c r="A32" s="24"/>
      <c r="B32" s="28">
        <v>1</v>
      </c>
      <c r="C32" s="40">
        <f t="shared" ref="C32:C39" si="1">C14</f>
        <v>4103976.8489649151</v>
      </c>
      <c r="D32" s="40">
        <f t="shared" si="0"/>
        <v>896515.92783033801</v>
      </c>
      <c r="E32" s="40">
        <f t="shared" si="0"/>
        <v>29343.597195155919</v>
      </c>
      <c r="F32" s="40">
        <f t="shared" si="0"/>
        <v>10491.042096997611</v>
      </c>
      <c r="G32" s="40">
        <f t="shared" si="0"/>
        <v>-228.59647583402693</v>
      </c>
      <c r="H32" s="40">
        <f t="shared" si="0"/>
        <v>-1451.4653707882389</v>
      </c>
      <c r="I32" s="40">
        <f t="shared" si="0"/>
        <v>-121.0937765724957</v>
      </c>
      <c r="J32" s="40">
        <f t="shared" si="0"/>
        <v>-339.0425655990839</v>
      </c>
      <c r="K32" s="40">
        <f>K14-J14</f>
        <v>-669.3175252424553</v>
      </c>
      <c r="L32" s="24"/>
      <c r="M32" s="24"/>
      <c r="N32" s="24"/>
      <c r="O32" s="24"/>
      <c r="P32" s="24"/>
      <c r="Q32" s="24"/>
      <c r="R32" s="24"/>
    </row>
    <row r="33" spans="1:18" x14ac:dyDescent="0.25">
      <c r="A33" s="24"/>
      <c r="B33" s="28">
        <v>2</v>
      </c>
      <c r="C33" s="40">
        <f t="shared" si="1"/>
        <v>4144525.2888819813</v>
      </c>
      <c r="D33" s="40">
        <f t="shared" si="0"/>
        <v>864793.0594254001</v>
      </c>
      <c r="E33" s="40">
        <f t="shared" si="0"/>
        <v>38342.631712482311</v>
      </c>
      <c r="F33" s="40">
        <f t="shared" si="0"/>
        <v>4969.6682129995897</v>
      </c>
      <c r="G33" s="40">
        <f t="shared" si="0"/>
        <v>-2186.4133393121883</v>
      </c>
      <c r="H33" s="40">
        <f t="shared" si="0"/>
        <v>-2106.5650030476972</v>
      </c>
      <c r="I33" s="40">
        <f t="shared" si="0"/>
        <v>-276.79616432357579</v>
      </c>
      <c r="J33" s="40">
        <f t="shared" si="0"/>
        <v>-1212.8593238387257</v>
      </c>
      <c r="K33" s="41"/>
      <c r="L33" s="24"/>
      <c r="M33" s="24"/>
      <c r="N33" s="24"/>
      <c r="O33" s="24"/>
      <c r="P33" s="24"/>
      <c r="Q33" s="24"/>
      <c r="R33" s="24"/>
    </row>
    <row r="34" spans="1:18" x14ac:dyDescent="0.25">
      <c r="A34" s="24"/>
      <c r="B34" s="28">
        <v>3</v>
      </c>
      <c r="C34" s="40">
        <f t="shared" si="1"/>
        <v>4297632.8479463691</v>
      </c>
      <c r="D34" s="40">
        <f t="shared" si="0"/>
        <v>894010.06168234628</v>
      </c>
      <c r="E34" s="40">
        <f>E16-D16</f>
        <v>36420.573818587698</v>
      </c>
      <c r="F34" s="40">
        <f>F16-E16</f>
        <v>6401.2619378613308</v>
      </c>
      <c r="G34" s="40">
        <f>G16-F16</f>
        <v>213.56671267841011</v>
      </c>
      <c r="H34" s="40">
        <f>H16-G16</f>
        <v>-822.65620988886803</v>
      </c>
      <c r="I34" s="40">
        <f>I16-H16</f>
        <v>-462.97187245450914</v>
      </c>
      <c r="J34" s="41"/>
      <c r="K34" s="41"/>
      <c r="L34" s="24"/>
      <c r="M34" s="24"/>
      <c r="N34" s="24"/>
      <c r="O34" s="24"/>
      <c r="P34" s="24"/>
      <c r="Q34" s="24"/>
      <c r="R34" s="24"/>
    </row>
    <row r="35" spans="1:18" x14ac:dyDescent="0.25">
      <c r="A35" s="24"/>
      <c r="B35" s="28">
        <v>4</v>
      </c>
      <c r="C35" s="40">
        <f t="shared" si="1"/>
        <v>4725123.086187331</v>
      </c>
      <c r="D35" s="40">
        <f t="shared" si="0"/>
        <v>1111860.4123792052</v>
      </c>
      <c r="E35" s="40">
        <f>E17-D17</f>
        <v>36060.883490913548</v>
      </c>
      <c r="F35" s="40">
        <f>F17-E17</f>
        <v>10026.600016701035</v>
      </c>
      <c r="G35" s="40">
        <f>G17-F17</f>
        <v>1556.422023050487</v>
      </c>
      <c r="H35" s="40">
        <f>H17-G17</f>
        <v>1954.9811085406691</v>
      </c>
      <c r="I35" s="41"/>
      <c r="J35" s="41"/>
      <c r="K35" s="41"/>
      <c r="L35" s="24"/>
      <c r="M35" s="24"/>
      <c r="N35" s="24"/>
      <c r="O35" s="24"/>
      <c r="P35" s="24"/>
      <c r="Q35" s="24"/>
      <c r="R35" s="24"/>
    </row>
    <row r="36" spans="1:18" x14ac:dyDescent="0.25">
      <c r="A36" s="24"/>
      <c r="B36" s="28">
        <v>5</v>
      </c>
      <c r="C36" s="40">
        <f t="shared" si="1"/>
        <v>5597984.1078659333</v>
      </c>
      <c r="D36" s="40">
        <f t="shared" si="0"/>
        <v>1372630.0821177363</v>
      </c>
      <c r="E36" s="40">
        <f>E18-D18</f>
        <v>96231.66326910723</v>
      </c>
      <c r="F36" s="40">
        <f>F18-E18</f>
        <v>1985.1601775176823</v>
      </c>
      <c r="G36" s="40">
        <f>G18-F18</f>
        <v>-1138.744051813148</v>
      </c>
      <c r="H36" s="41"/>
      <c r="I36" s="41"/>
      <c r="J36" s="41"/>
      <c r="K36" s="41"/>
      <c r="L36" s="24"/>
      <c r="M36" s="24"/>
      <c r="N36" s="24"/>
      <c r="O36" s="24"/>
      <c r="P36" s="24"/>
      <c r="Q36" s="24"/>
      <c r="R36" s="24"/>
    </row>
    <row r="37" spans="1:18" x14ac:dyDescent="0.25">
      <c r="A37" s="24"/>
      <c r="B37" s="28">
        <v>6</v>
      </c>
      <c r="C37" s="40">
        <f t="shared" si="1"/>
        <v>5550939.8858195748</v>
      </c>
      <c r="D37" s="40">
        <f t="shared" si="0"/>
        <v>1270324.1244757231</v>
      </c>
      <c r="E37" s="40">
        <f>E19-D19</f>
        <v>44717.052294957452</v>
      </c>
      <c r="F37" s="40">
        <f>F19-E19</f>
        <v>15053.193476970308</v>
      </c>
      <c r="G37" s="41"/>
      <c r="H37" s="41"/>
      <c r="I37" s="41"/>
      <c r="J37" s="41"/>
      <c r="K37" s="41"/>
      <c r="L37" s="24"/>
      <c r="M37" s="24"/>
      <c r="N37" s="24"/>
      <c r="O37" s="24"/>
      <c r="P37" s="24"/>
      <c r="Q37" s="24"/>
      <c r="R37" s="24"/>
    </row>
    <row r="38" spans="1:18" x14ac:dyDescent="0.25">
      <c r="A38" s="24"/>
      <c r="B38" s="28">
        <v>7</v>
      </c>
      <c r="C38" s="40">
        <f t="shared" si="1"/>
        <v>5825184.4614891456</v>
      </c>
      <c r="D38" s="40">
        <f t="shared" si="0"/>
        <v>1177063.1355320374</v>
      </c>
      <c r="E38" s="40">
        <f>E20-D20</f>
        <v>29925.513889094815</v>
      </c>
      <c r="F38" s="41"/>
      <c r="G38" s="41"/>
      <c r="H38" s="41"/>
      <c r="I38" s="41"/>
      <c r="J38" s="41"/>
      <c r="K38" s="41"/>
      <c r="L38" s="24"/>
      <c r="M38" s="24"/>
      <c r="N38" s="24"/>
      <c r="O38" s="24"/>
      <c r="P38" s="24"/>
      <c r="Q38" s="24"/>
      <c r="R38" s="24"/>
    </row>
    <row r="39" spans="1:18" x14ac:dyDescent="0.25">
      <c r="A39" s="24"/>
      <c r="B39" s="28">
        <v>8</v>
      </c>
      <c r="C39" s="40">
        <f t="shared" si="1"/>
        <v>6735078.0685242079</v>
      </c>
      <c r="D39" s="40">
        <f>D21-C21</f>
        <v>1241394.901341714</v>
      </c>
      <c r="E39" s="41"/>
      <c r="F39" s="41"/>
      <c r="G39" s="41"/>
      <c r="H39" s="41"/>
      <c r="I39" s="41"/>
      <c r="J39" s="41"/>
      <c r="K39" s="41"/>
      <c r="L39" s="24"/>
      <c r="M39" s="24"/>
      <c r="N39" s="24"/>
      <c r="O39" s="24"/>
      <c r="P39" s="24"/>
      <c r="Q39" s="24"/>
      <c r="R39" s="24"/>
    </row>
    <row r="40" spans="1:18" x14ac:dyDescent="0.25">
      <c r="A40" s="24"/>
      <c r="B40" s="28">
        <v>9</v>
      </c>
      <c r="C40" s="40">
        <f>C22</f>
        <v>6428313.2761970535</v>
      </c>
      <c r="D40" s="41"/>
      <c r="E40" s="41"/>
      <c r="F40" s="41"/>
      <c r="G40" s="41"/>
      <c r="H40" s="41"/>
      <c r="I40" s="41"/>
      <c r="J40" s="41"/>
      <c r="K40" s="41"/>
      <c r="L40" s="24"/>
      <c r="M40" s="24"/>
      <c r="N40" s="24"/>
      <c r="O40" s="24"/>
      <c r="P40" s="24"/>
      <c r="Q40" s="24"/>
      <c r="R40" s="24"/>
    </row>
    <row r="41" spans="1:18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1:18" x14ac:dyDescent="0.25">
      <c r="A42" s="24"/>
      <c r="B42" s="24"/>
      <c r="C42" s="42" t="s">
        <v>69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1:18" x14ac:dyDescent="0.25">
      <c r="A43" s="24"/>
      <c r="B43" s="24"/>
      <c r="C43" s="28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1:18" x14ac:dyDescent="0.25">
      <c r="A44" s="24"/>
      <c r="B44" s="24"/>
      <c r="C44" s="28">
        <v>0</v>
      </c>
      <c r="D44" s="28">
        <v>1</v>
      </c>
      <c r="E44" s="28">
        <v>2</v>
      </c>
      <c r="F44" s="28">
        <v>3</v>
      </c>
      <c r="G44" s="28">
        <v>4</v>
      </c>
      <c r="H44" s="28">
        <v>5</v>
      </c>
      <c r="I44" s="28">
        <v>6</v>
      </c>
      <c r="J44" s="28">
        <v>7</v>
      </c>
      <c r="K44" s="28">
        <v>8</v>
      </c>
      <c r="L44" s="28">
        <v>9</v>
      </c>
      <c r="M44" s="24"/>
      <c r="N44" s="24"/>
      <c r="O44" s="24"/>
      <c r="P44" s="24"/>
      <c r="Q44" s="24"/>
      <c r="R44" s="24"/>
    </row>
    <row r="45" spans="1:18" x14ac:dyDescent="0.25">
      <c r="A45" s="24"/>
      <c r="B45" s="28">
        <v>0</v>
      </c>
      <c r="C45" s="40">
        <f t="shared" ref="C45:C53" si="2">C31</f>
        <v>4262147.3800735464</v>
      </c>
      <c r="D45" s="40">
        <f t="shared" ref="D45:K48" si="3">C45+D31</f>
        <v>5171040.557632775</v>
      </c>
      <c r="E45" s="40">
        <f t="shared" si="3"/>
        <v>5206528.1608655713</v>
      </c>
      <c r="F45" s="40">
        <f t="shared" si="3"/>
        <v>5217735.2787153367</v>
      </c>
      <c r="G45" s="40">
        <f t="shared" si="3"/>
        <v>5216421.5403902102</v>
      </c>
      <c r="H45" s="40">
        <f t="shared" si="3"/>
        <v>5213475.3922777912</v>
      </c>
      <c r="I45" s="40">
        <f t="shared" si="3"/>
        <v>5212026.8016393669</v>
      </c>
      <c r="J45" s="40">
        <f t="shared" si="3"/>
        <v>5211044.3549634609</v>
      </c>
      <c r="K45" s="40">
        <f t="shared" si="3"/>
        <v>5210425.7469317596</v>
      </c>
      <c r="L45" s="40">
        <f>K45+L31</f>
        <v>5209988.1650882559</v>
      </c>
      <c r="M45" s="24"/>
      <c r="N45" s="24"/>
      <c r="O45" s="24"/>
      <c r="P45" s="24"/>
      <c r="Q45" s="24"/>
      <c r="R45" s="24"/>
    </row>
    <row r="46" spans="1:18" x14ac:dyDescent="0.25">
      <c r="A46" s="24"/>
      <c r="B46" s="28">
        <v>1</v>
      </c>
      <c r="C46" s="40">
        <f t="shared" si="2"/>
        <v>4103976.8489649151</v>
      </c>
      <c r="D46" s="40">
        <f t="shared" si="3"/>
        <v>5000492.7767952532</v>
      </c>
      <c r="E46" s="40">
        <f t="shared" si="3"/>
        <v>5029836.3739904091</v>
      </c>
      <c r="F46" s="40">
        <f t="shared" si="3"/>
        <v>5040327.4160874067</v>
      </c>
      <c r="G46" s="40">
        <f t="shared" si="3"/>
        <v>5040098.8196115727</v>
      </c>
      <c r="H46" s="40">
        <f t="shared" si="3"/>
        <v>5038647.3542407844</v>
      </c>
      <c r="I46" s="40">
        <f t="shared" si="3"/>
        <v>5038526.2604642119</v>
      </c>
      <c r="J46" s="40">
        <f t="shared" si="3"/>
        <v>5038187.2178986128</v>
      </c>
      <c r="K46" s="40">
        <f>J46+K32</f>
        <v>5037517.9003733704</v>
      </c>
      <c r="L46" s="24"/>
      <c r="M46" s="24"/>
      <c r="N46" s="24"/>
      <c r="O46" s="24"/>
      <c r="P46" s="24"/>
      <c r="Q46" s="24"/>
      <c r="R46" s="24"/>
    </row>
    <row r="47" spans="1:18" x14ac:dyDescent="0.25">
      <c r="A47" s="24"/>
      <c r="B47" s="28">
        <v>2</v>
      </c>
      <c r="C47" s="40">
        <f t="shared" si="2"/>
        <v>4144525.2888819813</v>
      </c>
      <c r="D47" s="40">
        <f t="shared" si="3"/>
        <v>5009318.3483073814</v>
      </c>
      <c r="E47" s="40">
        <f t="shared" si="3"/>
        <v>5047660.9800198637</v>
      </c>
      <c r="F47" s="40">
        <f t="shared" si="3"/>
        <v>5052630.6482328633</v>
      </c>
      <c r="G47" s="40">
        <f t="shared" si="3"/>
        <v>5050444.2348935511</v>
      </c>
      <c r="H47" s="40">
        <f t="shared" si="3"/>
        <v>5048337.6698905034</v>
      </c>
      <c r="I47" s="40">
        <f t="shared" si="3"/>
        <v>5048060.8737261798</v>
      </c>
      <c r="J47" s="40">
        <f>I47+J33</f>
        <v>5046848.0144023411</v>
      </c>
      <c r="K47" s="41"/>
      <c r="L47" s="24"/>
      <c r="M47" s="24"/>
      <c r="N47" s="24"/>
      <c r="O47" s="24"/>
      <c r="P47" s="24"/>
      <c r="Q47" s="24"/>
      <c r="R47" s="24"/>
    </row>
    <row r="48" spans="1:18" x14ac:dyDescent="0.25">
      <c r="A48" s="24"/>
      <c r="B48" s="28">
        <v>3</v>
      </c>
      <c r="C48" s="40">
        <f t="shared" si="2"/>
        <v>4297632.8479463691</v>
      </c>
      <c r="D48" s="40">
        <f t="shared" si="3"/>
        <v>5191642.9096287154</v>
      </c>
      <c r="E48" s="40">
        <f t="shared" si="3"/>
        <v>5228063.4834473031</v>
      </c>
      <c r="F48" s="40">
        <f t="shared" si="3"/>
        <v>5234464.7453851644</v>
      </c>
      <c r="G48" s="40">
        <f t="shared" si="3"/>
        <v>5234678.3120978428</v>
      </c>
      <c r="H48" s="40">
        <f t="shared" si="3"/>
        <v>5233855.6558879539</v>
      </c>
      <c r="I48" s="40">
        <f t="shared" si="3"/>
        <v>5233392.6840154994</v>
      </c>
      <c r="J48" s="41"/>
      <c r="K48" s="41"/>
      <c r="L48" s="24"/>
      <c r="M48" s="24"/>
      <c r="N48" s="24"/>
      <c r="O48" s="24"/>
      <c r="P48" s="24"/>
      <c r="Q48" s="24"/>
      <c r="R48" s="24"/>
    </row>
    <row r="49" spans="1:18" x14ac:dyDescent="0.25">
      <c r="A49" s="24"/>
      <c r="B49" s="28">
        <v>4</v>
      </c>
      <c r="C49" s="40">
        <f t="shared" si="2"/>
        <v>4725123.086187331</v>
      </c>
      <c r="D49" s="40">
        <f>C49+D35</f>
        <v>5836983.4985665362</v>
      </c>
      <c r="E49" s="40">
        <f>D49+E35</f>
        <v>5873044.3820574498</v>
      </c>
      <c r="F49" s="40">
        <f>E49+F35</f>
        <v>5883070.9820741508</v>
      </c>
      <c r="G49" s="40">
        <f>F49+G35</f>
        <v>5884627.4040972013</v>
      </c>
      <c r="H49" s="40">
        <f>G49+H35</f>
        <v>5886582.385205742</v>
      </c>
      <c r="I49" s="41"/>
      <c r="J49" s="41"/>
      <c r="K49" s="41"/>
      <c r="L49" s="24"/>
      <c r="M49" s="24"/>
      <c r="N49" s="24"/>
      <c r="O49" s="24"/>
      <c r="P49" s="24"/>
      <c r="Q49" s="24"/>
      <c r="R49" s="24"/>
    </row>
    <row r="50" spans="1:18" x14ac:dyDescent="0.25">
      <c r="A50" s="24"/>
      <c r="B50" s="28">
        <v>5</v>
      </c>
      <c r="C50" s="40">
        <f t="shared" si="2"/>
        <v>5597984.1078659333</v>
      </c>
      <c r="D50" s="40">
        <f>C50+D36</f>
        <v>6970614.1899836697</v>
      </c>
      <c r="E50" s="40">
        <f>D50+E36</f>
        <v>7066845.8532527769</v>
      </c>
      <c r="F50" s="40">
        <f>E50+F36</f>
        <v>7068831.0134302946</v>
      </c>
      <c r="G50" s="40">
        <f>F50+G36</f>
        <v>7067692.2693784814</v>
      </c>
      <c r="H50" s="41"/>
      <c r="I50" s="41"/>
      <c r="J50" s="41"/>
      <c r="K50" s="41"/>
      <c r="L50" s="24"/>
      <c r="M50" s="24"/>
      <c r="N50" s="24"/>
      <c r="O50" s="24"/>
      <c r="P50" s="24"/>
      <c r="Q50" s="24"/>
      <c r="R50" s="24"/>
    </row>
    <row r="51" spans="1:18" x14ac:dyDescent="0.25">
      <c r="A51" s="24"/>
      <c r="B51" s="28">
        <v>6</v>
      </c>
      <c r="C51" s="40">
        <f t="shared" si="2"/>
        <v>5550939.8858195748</v>
      </c>
      <c r="D51" s="40">
        <f>C51+D37</f>
        <v>6821264.010295298</v>
      </c>
      <c r="E51" s="40">
        <f>D51+E37</f>
        <v>6865981.0625902554</v>
      </c>
      <c r="F51" s="40">
        <f>E51+F37</f>
        <v>6881034.2560672257</v>
      </c>
      <c r="G51" s="41"/>
      <c r="H51" s="41"/>
      <c r="I51" s="41"/>
      <c r="J51" s="41"/>
      <c r="K51" s="41"/>
      <c r="L51" s="24"/>
      <c r="M51" s="24"/>
      <c r="N51" s="24"/>
      <c r="O51" s="24"/>
      <c r="P51" s="24"/>
      <c r="Q51" s="24"/>
      <c r="R51" s="24"/>
    </row>
    <row r="52" spans="1:18" x14ac:dyDescent="0.25">
      <c r="A52" s="24"/>
      <c r="B52" s="28">
        <v>7</v>
      </c>
      <c r="C52" s="40">
        <f t="shared" si="2"/>
        <v>5825184.4614891456</v>
      </c>
      <c r="D52" s="40">
        <f>C52+D38</f>
        <v>7002247.597021183</v>
      </c>
      <c r="E52" s="40">
        <f>D52+E38</f>
        <v>7032173.1109102778</v>
      </c>
      <c r="F52" s="41"/>
      <c r="G52" s="41"/>
      <c r="H52" s="41"/>
      <c r="I52" s="41"/>
      <c r="J52" s="41"/>
      <c r="K52" s="41"/>
      <c r="L52" s="24"/>
      <c r="M52" s="24"/>
      <c r="N52" s="24"/>
      <c r="O52" s="24"/>
      <c r="P52" s="24"/>
      <c r="Q52" s="24"/>
      <c r="R52" s="24"/>
    </row>
    <row r="53" spans="1:18" x14ac:dyDescent="0.25">
      <c r="A53" s="24"/>
      <c r="B53" s="28">
        <v>8</v>
      </c>
      <c r="C53" s="40">
        <f t="shared" si="2"/>
        <v>6735078.0685242079</v>
      </c>
      <c r="D53" s="40">
        <f>C53+D39</f>
        <v>7976472.9698659219</v>
      </c>
      <c r="E53" s="41"/>
      <c r="F53" s="41"/>
      <c r="G53" s="41"/>
      <c r="H53" s="41"/>
      <c r="I53" s="41"/>
      <c r="J53" s="41"/>
      <c r="K53" s="41"/>
      <c r="L53" s="24"/>
      <c r="M53" s="24"/>
      <c r="N53" s="24"/>
      <c r="O53" s="24"/>
      <c r="P53" s="24"/>
      <c r="Q53" s="24"/>
      <c r="R53" s="24"/>
    </row>
    <row r="54" spans="1:18" x14ac:dyDescent="0.25">
      <c r="A54" s="24"/>
      <c r="B54" s="28">
        <v>9</v>
      </c>
      <c r="C54" s="40">
        <f>C40</f>
        <v>6428313.2761970535</v>
      </c>
      <c r="D54" s="43"/>
      <c r="E54" s="43"/>
      <c r="F54" s="43"/>
      <c r="G54" s="43"/>
      <c r="H54" s="43"/>
      <c r="I54" s="43"/>
      <c r="J54" s="43"/>
      <c r="K54" s="43"/>
      <c r="L54" s="24"/>
      <c r="M54" s="24"/>
      <c r="N54" s="24"/>
      <c r="O54" s="24"/>
      <c r="P54" s="24"/>
      <c r="Q54" s="24"/>
      <c r="R54" s="24"/>
    </row>
    <row r="55" spans="1:18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</row>
    <row r="56" spans="1:18" x14ac:dyDescent="0.25">
      <c r="A56" s="24"/>
      <c r="B56" s="24"/>
      <c r="C56" s="28" t="s">
        <v>51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</row>
    <row r="57" spans="1:18" x14ac:dyDescent="0.25">
      <c r="A57" s="24"/>
      <c r="B57" s="44" t="s">
        <v>70</v>
      </c>
      <c r="C57" s="45">
        <f>SUM(D45:D53)/SUM(C45:C53)</f>
        <v>1.2152282717922607</v>
      </c>
      <c r="D57" s="45">
        <f>SUM(E45:E52)/SUM(D45:D52)</f>
        <v>1.0073724031826814</v>
      </c>
      <c r="E57" s="45">
        <f>SUM(F45:F51)/SUM(E45:E51)</f>
        <v>1.0014914951879261</v>
      </c>
      <c r="F57" s="45">
        <f>SUM(G45:G50)/SUM(F45:F50)</f>
        <v>0.99990752909513281</v>
      </c>
      <c r="G57" s="45">
        <f>SUM(H45:H49)/SUM(G45:G49)</f>
        <v>0.9997967229758733</v>
      </c>
      <c r="H57" s="45">
        <f>SUM(I45:I48)/SUM(H45:H48)</f>
        <v>0.99988753204910041</v>
      </c>
      <c r="I57" s="45">
        <f>SUM(J45:J47)/SUM(I45:I47)</f>
        <v>0.9998343412954942</v>
      </c>
      <c r="J57" s="45">
        <f>SUM(K45:K46)/SUM(J45:J46)</f>
        <v>0.99987433930555802</v>
      </c>
      <c r="K57" s="45">
        <f>SUM(L45)/SUM(K45)</f>
        <v>0.99991601802525232</v>
      </c>
      <c r="L57" s="46"/>
      <c r="M57" s="24"/>
      <c r="N57" s="24"/>
      <c r="O57" s="24"/>
      <c r="P57" s="24"/>
      <c r="Q57" s="24"/>
      <c r="R57" s="24"/>
    </row>
    <row r="58" spans="1:18" x14ac:dyDescent="0.25">
      <c r="A58" s="24"/>
      <c r="B58" s="44" t="s">
        <v>71</v>
      </c>
      <c r="C58" s="45">
        <f>C57*D58</f>
        <v>1.2250529987756569</v>
      </c>
      <c r="D58" s="45">
        <f t="shared" ref="D58:I58" si="4">D57*E58</f>
        <v>1.0080846761151354</v>
      </c>
      <c r="E58" s="45">
        <f>E57*F58</f>
        <v>1.0007070601995882</v>
      </c>
      <c r="F58" s="45">
        <f>F57*G58</f>
        <v>0.99921673325025029</v>
      </c>
      <c r="G58" s="45">
        <f t="shared" si="4"/>
        <v>0.99930914027069317</v>
      </c>
      <c r="H58" s="45">
        <f t="shared" si="4"/>
        <v>0.99951231816030683</v>
      </c>
      <c r="I58" s="45">
        <f t="shared" si="4"/>
        <v>0.99962474390692257</v>
      </c>
      <c r="J58" s="45">
        <f>K58*J57</f>
        <v>0.99979036788404363</v>
      </c>
      <c r="K58" s="45">
        <f>K57</f>
        <v>0.99991601802525232</v>
      </c>
      <c r="L58" s="46"/>
      <c r="M58" s="24"/>
      <c r="N58" s="24"/>
      <c r="O58" s="24"/>
      <c r="P58" s="24"/>
      <c r="Q58" s="24"/>
      <c r="R58" s="24"/>
    </row>
    <row r="59" spans="1:18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46"/>
      <c r="L59" s="24"/>
      <c r="M59" s="24"/>
      <c r="N59" s="24"/>
      <c r="O59" s="24"/>
      <c r="P59" s="24"/>
      <c r="Q59" s="24"/>
      <c r="R59" s="24"/>
    </row>
    <row r="60" spans="1:18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46"/>
      <c r="L60" s="24"/>
      <c r="M60" s="24"/>
      <c r="N60" s="24"/>
      <c r="O60" s="24"/>
      <c r="P60" s="24"/>
      <c r="Q60" s="24"/>
      <c r="R60" s="24"/>
    </row>
    <row r="61" spans="1:18" x14ac:dyDescent="0.25">
      <c r="A61" s="24"/>
      <c r="B61" s="24"/>
      <c r="C61" s="42" t="s">
        <v>72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</row>
    <row r="62" spans="1:18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</row>
    <row r="63" spans="1:18" x14ac:dyDescent="0.25">
      <c r="A63" s="24"/>
      <c r="B63" s="24"/>
      <c r="C63" s="28">
        <v>0</v>
      </c>
      <c r="D63" s="28">
        <v>1</v>
      </c>
      <c r="E63" s="28">
        <v>2</v>
      </c>
      <c r="F63" s="28">
        <v>3</v>
      </c>
      <c r="G63" s="28">
        <v>4</v>
      </c>
      <c r="H63" s="28">
        <v>5</v>
      </c>
      <c r="I63" s="28">
        <v>6</v>
      </c>
      <c r="J63" s="28">
        <v>7</v>
      </c>
      <c r="K63" s="28">
        <v>8</v>
      </c>
      <c r="L63" s="28">
        <v>9</v>
      </c>
      <c r="M63" s="24"/>
      <c r="N63" s="24"/>
      <c r="O63" s="24"/>
      <c r="P63" s="24"/>
      <c r="Q63" s="24"/>
      <c r="R63" s="24"/>
    </row>
    <row r="64" spans="1:18" x14ac:dyDescent="0.25">
      <c r="A64" s="24"/>
      <c r="B64" s="28">
        <v>0</v>
      </c>
      <c r="C64" s="40">
        <f t="shared" ref="C64:J69" si="5">D64/C$57</f>
        <v>4252867.565970799</v>
      </c>
      <c r="D64" s="40">
        <f t="shared" si="5"/>
        <v>5168204.9023560518</v>
      </c>
      <c r="E64" s="40">
        <f t="shared" si="5"/>
        <v>5206306.9926269315</v>
      </c>
      <c r="F64" s="40">
        <f t="shared" si="5"/>
        <v>5214072.1744533004</v>
      </c>
      <c r="G64" s="40">
        <f t="shared" si="5"/>
        <v>5213590.0244812863</v>
      </c>
      <c r="H64" s="40">
        <f t="shared" si="5"/>
        <v>5212530.2214160934</v>
      </c>
      <c r="I64" s="40">
        <f t="shared" si="5"/>
        <v>5211943.9788230881</v>
      </c>
      <c r="J64" s="40">
        <f t="shared" si="5"/>
        <v>5211080.5749355992</v>
      </c>
      <c r="K64" s="40">
        <f>L64/$K$57</f>
        <v>5210425.7469317596</v>
      </c>
      <c r="L64" s="40">
        <f>L45</f>
        <v>5209988.1650882559</v>
      </c>
      <c r="M64" s="24"/>
      <c r="N64" s="24"/>
      <c r="O64" s="24"/>
      <c r="P64" s="24"/>
      <c r="Q64" s="24"/>
      <c r="R64" s="24"/>
    </row>
    <row r="65" spans="1:18" x14ac:dyDescent="0.25">
      <c r="A65" s="24"/>
      <c r="B65" s="28">
        <v>1</v>
      </c>
      <c r="C65" s="40">
        <f t="shared" si="5"/>
        <v>4111736.2634159056</v>
      </c>
      <c r="D65" s="40">
        <f t="shared" si="5"/>
        <v>4996698.1534564784</v>
      </c>
      <c r="E65" s="40">
        <f t="shared" si="5"/>
        <v>5033535.8268259196</v>
      </c>
      <c r="F65" s="40">
        <f t="shared" si="5"/>
        <v>5041043.3212898839</v>
      </c>
      <c r="G65" s="40">
        <f t="shared" si="5"/>
        <v>5040577.1714524897</v>
      </c>
      <c r="H65" s="40">
        <f t="shared" si="5"/>
        <v>5039552.5379251959</v>
      </c>
      <c r="I65" s="40">
        <f t="shared" si="5"/>
        <v>5038985.7497778051</v>
      </c>
      <c r="J65" s="40">
        <f t="shared" si="5"/>
        <v>5038150.9979264736</v>
      </c>
      <c r="K65" s="40">
        <f>K46</f>
        <v>5037517.9003733704</v>
      </c>
      <c r="L65" s="47">
        <f>K65*$K$57</f>
        <v>5037094.8396722702</v>
      </c>
      <c r="M65" s="24"/>
      <c r="N65" s="24"/>
      <c r="O65" s="24"/>
      <c r="P65" s="24"/>
      <c r="Q65" s="24"/>
      <c r="R65" s="24"/>
    </row>
    <row r="66" spans="1:18" x14ac:dyDescent="0.25">
      <c r="A66" s="24"/>
      <c r="B66" s="28">
        <v>2</v>
      </c>
      <c r="C66" s="40">
        <f t="shared" si="5"/>
        <v>4118834.073315226</v>
      </c>
      <c r="D66" s="40">
        <f t="shared" si="5"/>
        <v>5005323.6127139395</v>
      </c>
      <c r="E66" s="40">
        <f t="shared" si="5"/>
        <v>5042224.8764466625</v>
      </c>
      <c r="F66" s="40">
        <f t="shared" si="5"/>
        <v>5049745.3305863244</v>
      </c>
      <c r="G66" s="40">
        <f t="shared" si="5"/>
        <v>5049278.3760662563</v>
      </c>
      <c r="H66" s="40">
        <f t="shared" si="5"/>
        <v>5048251.973783982</v>
      </c>
      <c r="I66" s="40">
        <f t="shared" si="5"/>
        <v>5047684.2072288655</v>
      </c>
      <c r="J66" s="40">
        <f>J47</f>
        <v>5046848.0144023411</v>
      </c>
      <c r="K66" s="47">
        <f t="shared" ref="K66:L73" si="6">J66*J$57</f>
        <v>5046213.8239761079</v>
      </c>
      <c r="L66" s="47">
        <f t="shared" ref="L66:L73" si="7">K66*$K$57</f>
        <v>5045790.0329741715</v>
      </c>
      <c r="M66" s="24"/>
      <c r="N66" s="24"/>
      <c r="O66" s="24"/>
      <c r="P66" s="24"/>
      <c r="Q66" s="24"/>
      <c r="R66" s="24"/>
    </row>
    <row r="67" spans="1:18" x14ac:dyDescent="0.25">
      <c r="A67" s="24"/>
      <c r="B67" s="28">
        <v>3</v>
      </c>
      <c r="C67" s="40">
        <f t="shared" si="5"/>
        <v>4270369.3854484269</v>
      </c>
      <c r="D67" s="40">
        <f t="shared" si="5"/>
        <v>5189473.6081930706</v>
      </c>
      <c r="E67" s="40">
        <f t="shared" si="5"/>
        <v>5227732.4999385541</v>
      </c>
      <c r="F67" s="40">
        <f t="shared" si="5"/>
        <v>5235529.6378059778</v>
      </c>
      <c r="G67" s="40">
        <f t="shared" si="5"/>
        <v>5235045.5036429111</v>
      </c>
      <c r="H67" s="40">
        <f t="shared" si="5"/>
        <v>5233981.3391717626</v>
      </c>
      <c r="I67" s="40">
        <f>I48</f>
        <v>5233392.6840154994</v>
      </c>
      <c r="J67" s="47">
        <f t="shared" ref="J67:J73" si="8">I67*I$57</f>
        <v>5232525.7269632956</v>
      </c>
      <c r="K67" s="47">
        <f t="shared" si="6"/>
        <v>5231868.2041467596</v>
      </c>
      <c r="L67" s="47">
        <f t="shared" si="7"/>
        <v>5231428.8215233553</v>
      </c>
      <c r="M67" s="24"/>
      <c r="N67" s="24"/>
      <c r="O67" s="24"/>
      <c r="P67" s="24"/>
      <c r="Q67" s="24"/>
      <c r="R67" s="24"/>
    </row>
    <row r="68" spans="1:18" x14ac:dyDescent="0.25">
      <c r="A68" s="24"/>
      <c r="B68" s="28">
        <v>4</v>
      </c>
      <c r="C68" s="40">
        <f t="shared" si="5"/>
        <v>4802822.0915820953</v>
      </c>
      <c r="D68" s="40">
        <f t="shared" si="5"/>
        <v>5836525.1900789998</v>
      </c>
      <c r="E68" s="40">
        <f t="shared" si="5"/>
        <v>5879554.4069661386</v>
      </c>
      <c r="F68" s="40">
        <f t="shared" si="5"/>
        <v>5888323.7340712789</v>
      </c>
      <c r="G68" s="40">
        <f t="shared" si="5"/>
        <v>5887779.2354474384</v>
      </c>
      <c r="H68" s="40">
        <f>H49</f>
        <v>5886582.385205742</v>
      </c>
      <c r="I68" s="47">
        <f t="shared" ref="I68:I71" si="9">H68*H$57</f>
        <v>5885920.3333470766</v>
      </c>
      <c r="J68" s="47">
        <f t="shared" si="8"/>
        <v>5884945.2794098295</v>
      </c>
      <c r="K68" s="47">
        <f t="shared" si="6"/>
        <v>5884205.773099266</v>
      </c>
      <c r="L68" s="47">
        <f t="shared" si="7"/>
        <v>5883711.6058786195</v>
      </c>
      <c r="M68" s="24"/>
      <c r="N68" s="24"/>
      <c r="O68" s="24"/>
      <c r="P68" s="24"/>
      <c r="Q68" s="24"/>
      <c r="R68" s="24"/>
    </row>
    <row r="69" spans="1:18" x14ac:dyDescent="0.25">
      <c r="A69" s="24"/>
      <c r="B69" s="28">
        <v>5</v>
      </c>
      <c r="C69" s="40">
        <f>D69/C$57</f>
        <v>5765309.331489455</v>
      </c>
      <c r="D69" s="40">
        <f>E69/D$57</f>
        <v>7006166.8952537244</v>
      </c>
      <c r="E69" s="40">
        <f>F69/E$57</f>
        <v>7057819.1823706897</v>
      </c>
      <c r="F69" s="40">
        <f t="shared" si="5"/>
        <v>7068345.8857184481</v>
      </c>
      <c r="G69" s="40">
        <f>G50</f>
        <v>7067692.2693784814</v>
      </c>
      <c r="H69" s="47">
        <f>G69*G$57</f>
        <v>7066255.5699265189</v>
      </c>
      <c r="I69" s="47">
        <f t="shared" si="9"/>
        <v>7065460.8426420363</v>
      </c>
      <c r="J69" s="47">
        <f t="shared" si="8"/>
        <v>7064290.3875521077</v>
      </c>
      <c r="K69" s="47">
        <f t="shared" si="6"/>
        <v>7063402.6839162679</v>
      </c>
      <c r="L69" s="47">
        <f t="shared" si="7"/>
        <v>7062809.4854104342</v>
      </c>
      <c r="M69" s="24"/>
      <c r="N69" s="24"/>
      <c r="O69" s="24"/>
      <c r="P69" s="24"/>
      <c r="Q69" s="24"/>
      <c r="R69" s="24"/>
    </row>
    <row r="70" spans="1:18" x14ac:dyDescent="0.25">
      <c r="A70" s="24"/>
      <c r="B70" s="28">
        <v>6</v>
      </c>
      <c r="C70" s="40">
        <f>D70/C$57</f>
        <v>5612528.2560037971</v>
      </c>
      <c r="D70" s="40">
        <f t="shared" ref="D70:E71" si="10">E70/D$57</f>
        <v>6820503.0129287252</v>
      </c>
      <c r="E70" s="40">
        <f t="shared" si="10"/>
        <v>6870786.5110487286</v>
      </c>
      <c r="F70" s="40">
        <f>F51</f>
        <v>6881034.2560672257</v>
      </c>
      <c r="G70" s="47">
        <f>F70*F$57</f>
        <v>6880397.960603145</v>
      </c>
      <c r="H70" s="47">
        <f>G70*G$57</f>
        <v>6878999.3337809062</v>
      </c>
      <c r="I70" s="47">
        <f t="shared" si="9"/>
        <v>6878225.6668215962</v>
      </c>
      <c r="J70" s="47">
        <f t="shared" si="8"/>
        <v>6877086.2288683318</v>
      </c>
      <c r="K70" s="47">
        <f t="shared" si="6"/>
        <v>6876222.0494370749</v>
      </c>
      <c r="L70" s="47">
        <f t="shared" si="7"/>
        <v>6875644.5707305595</v>
      </c>
      <c r="M70" s="24"/>
      <c r="N70" s="24"/>
      <c r="O70" s="24"/>
      <c r="P70" s="24"/>
      <c r="Q70" s="24"/>
      <c r="R70" s="24"/>
    </row>
    <row r="71" spans="1:18" x14ac:dyDescent="0.25">
      <c r="A71" s="24"/>
      <c r="B71" s="28">
        <v>7</v>
      </c>
      <c r="C71" s="40">
        <f>D71/C$57</f>
        <v>5744359.8666071463</v>
      </c>
      <c r="D71" s="40">
        <f t="shared" si="10"/>
        <v>6980708.5132498238</v>
      </c>
      <c r="E71" s="40">
        <f>E52</f>
        <v>7032173.1109102778</v>
      </c>
      <c r="F71" s="47">
        <f>E71*E$57</f>
        <v>7042661.5632658638</v>
      </c>
      <c r="G71" s="47">
        <f>F71*F$57</f>
        <v>7042010.3219784349</v>
      </c>
      <c r="H71" s="47">
        <f>G71*G$57</f>
        <v>7040578.8430763138</v>
      </c>
      <c r="I71" s="47">
        <f t="shared" si="9"/>
        <v>7039787.0036006859</v>
      </c>
      <c r="J71" s="47">
        <f t="shared" si="8"/>
        <v>7038620.8016056726</v>
      </c>
      <c r="K71" s="47">
        <f t="shared" si="6"/>
        <v>7037736.3236278286</v>
      </c>
      <c r="L71" s="47">
        <f t="shared" si="7"/>
        <v>7037145.2806336172</v>
      </c>
      <c r="M71" s="24"/>
      <c r="N71" s="24"/>
      <c r="O71" s="24"/>
      <c r="P71" s="24"/>
      <c r="Q71" s="24"/>
      <c r="R71" s="24"/>
    </row>
    <row r="72" spans="1:18" x14ac:dyDescent="0.25">
      <c r="A72" s="24"/>
      <c r="B72" s="28">
        <v>8</v>
      </c>
      <c r="C72" s="40">
        <f>D72/C$57</f>
        <v>6563765.1419201624</v>
      </c>
      <c r="D72" s="40">
        <f>D53</f>
        <v>7976472.9698659219</v>
      </c>
      <c r="E72" s="47">
        <f>D72*D$57</f>
        <v>8035278.7445755331</v>
      </c>
      <c r="F72" s="47">
        <f>E72*E$57</f>
        <v>8047263.3241567127</v>
      </c>
      <c r="G72" s="47">
        <f>F72*F$57</f>
        <v>8046519.1864354238</v>
      </c>
      <c r="H72" s="47">
        <f>G72*G$57</f>
        <v>8044883.5139606269</v>
      </c>
      <c r="I72" s="47">
        <f>H72*H$57</f>
        <v>8043978.7223965861</v>
      </c>
      <c r="J72" s="47">
        <f t="shared" si="8"/>
        <v>8042646.1673023617</v>
      </c>
      <c r="K72" s="47">
        <f t="shared" si="6"/>
        <v>8041635.5227998272</v>
      </c>
      <c r="L72" s="47">
        <f t="shared" si="6"/>
        <v>8040960.1703684209</v>
      </c>
      <c r="M72" s="24"/>
      <c r="N72" s="24"/>
      <c r="O72" s="24"/>
      <c r="P72" s="24"/>
      <c r="Q72" s="24"/>
      <c r="R72" s="24"/>
    </row>
    <row r="73" spans="1:18" x14ac:dyDescent="0.25">
      <c r="A73" s="24"/>
      <c r="B73" s="28">
        <v>9</v>
      </c>
      <c r="C73" s="40">
        <f>C54</f>
        <v>6428313.2761970535</v>
      </c>
      <c r="D73" s="47">
        <f>C73*C57</f>
        <v>7811868.0331721902</v>
      </c>
      <c r="E73" s="47">
        <f>D73*$D$57</f>
        <v>7869460.2739226362</v>
      </c>
      <c r="F73" s="47">
        <f>E73*E$57</f>
        <v>7881197.5360527672</v>
      </c>
      <c r="G73" s="47">
        <f>F73*F$57</f>
        <v>7880468.7545851711</v>
      </c>
      <c r="H73" s="47">
        <f>G73*G$57</f>
        <v>7878866.8363480158</v>
      </c>
      <c r="I73" s="47">
        <f>H73*H$57</f>
        <v>7877980.7163395211</v>
      </c>
      <c r="J73" s="47">
        <f t="shared" si="8"/>
        <v>7876675.6602599304</v>
      </c>
      <c r="K73" s="47">
        <f t="shared" si="6"/>
        <v>7875685.8717265679</v>
      </c>
      <c r="L73" s="47">
        <f t="shared" si="7"/>
        <v>7875024.4560745675</v>
      </c>
      <c r="M73" s="24"/>
      <c r="N73" s="24"/>
      <c r="O73" s="24"/>
      <c r="P73" s="24"/>
      <c r="Q73" s="24"/>
      <c r="R73" s="24"/>
    </row>
    <row r="74" spans="1:18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</row>
    <row r="75" spans="1:18" x14ac:dyDescent="0.25">
      <c r="A75" s="24"/>
      <c r="B75" s="24"/>
      <c r="C75" s="28" t="s">
        <v>73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1:18" x14ac:dyDescent="0.25">
      <c r="A76" s="24"/>
      <c r="B76" s="44" t="s">
        <v>70</v>
      </c>
      <c r="C76" s="45">
        <f>SUM(D64:D71)/SUM(C64:C71)</f>
        <v>1.2152282717922607</v>
      </c>
      <c r="D76" s="45">
        <f>SUM(E64:E70)/SUM(D64:D70)</f>
        <v>1.0073724031826814</v>
      </c>
      <c r="E76" s="45">
        <f>SUM(F64:F69)/SUM(E64:E69)</f>
        <v>1.0014914951879264</v>
      </c>
      <c r="F76" s="45">
        <f>SUM(G64:G68)/SUM(F64:F68)</f>
        <v>0.9999075290951327</v>
      </c>
      <c r="G76" s="45">
        <f>SUM(H64:H67)/SUM(G64:G67)</f>
        <v>0.9997967229758733</v>
      </c>
      <c r="H76" s="45">
        <f>SUM(I64:I66)/SUM(H64:H66)</f>
        <v>0.99988753204910052</v>
      </c>
      <c r="I76" s="45">
        <f>SUM(J64:J65)/SUM(I64:I65)</f>
        <v>0.99983434129549431</v>
      </c>
      <c r="J76" s="45">
        <f>SUM(K64:K64)/SUM(J64:J64)</f>
        <v>0.99987433930555802</v>
      </c>
      <c r="K76" s="45">
        <f>SUM(L64)/SUM(K64)</f>
        <v>0.99991601802525232</v>
      </c>
      <c r="L76" s="24"/>
      <c r="M76" s="24"/>
      <c r="N76" s="24"/>
      <c r="O76" s="24"/>
      <c r="P76" s="24"/>
      <c r="Q76" s="24"/>
      <c r="R76" s="24"/>
    </row>
    <row r="77" spans="1:18" x14ac:dyDescent="0.25">
      <c r="A77" s="24"/>
      <c r="B77" s="44" t="s">
        <v>71</v>
      </c>
      <c r="C77" s="45">
        <f>C76*D77</f>
        <v>1.2250529987756573</v>
      </c>
      <c r="D77" s="45">
        <f t="shared" ref="D77:I77" si="11">D76*E77</f>
        <v>1.0080846761151359</v>
      </c>
      <c r="E77" s="45">
        <f>E76*F77</f>
        <v>1.0007070601995887</v>
      </c>
      <c r="F77" s="45">
        <f>F76*G77</f>
        <v>0.9992167332502504</v>
      </c>
      <c r="G77" s="45">
        <f t="shared" si="11"/>
        <v>0.9993091402706934</v>
      </c>
      <c r="H77" s="45">
        <f t="shared" si="11"/>
        <v>0.99951231816030706</v>
      </c>
      <c r="I77" s="45">
        <f t="shared" si="11"/>
        <v>0.99962474390692269</v>
      </c>
      <c r="J77" s="45">
        <f>K76*J76</f>
        <v>0.99979036788404363</v>
      </c>
      <c r="K77" s="45">
        <f>K76</f>
        <v>0.99991601802525232</v>
      </c>
      <c r="L77" s="24"/>
      <c r="M77" s="24"/>
      <c r="N77" s="24"/>
      <c r="O77" s="24"/>
      <c r="P77" s="24"/>
      <c r="Q77" s="24"/>
      <c r="R77" s="24"/>
    </row>
    <row r="78" spans="1:18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</row>
    <row r="79" spans="1:18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</row>
    <row r="80" spans="1:18" x14ac:dyDescent="0.25">
      <c r="A80" s="24"/>
      <c r="B80" s="24"/>
      <c r="C80" s="42" t="s">
        <v>74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</row>
    <row r="81" spans="1:18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</row>
    <row r="82" spans="1:18" x14ac:dyDescent="0.25">
      <c r="A82" s="24"/>
      <c r="B82" s="24"/>
      <c r="C82" s="28">
        <v>0</v>
      </c>
      <c r="D82" s="28">
        <v>1</v>
      </c>
      <c r="E82" s="28">
        <v>2</v>
      </c>
      <c r="F82" s="28">
        <v>3</v>
      </c>
      <c r="G82" s="28">
        <v>4</v>
      </c>
      <c r="H82" s="28">
        <v>5</v>
      </c>
      <c r="I82" s="28">
        <v>6</v>
      </c>
      <c r="J82" s="28">
        <v>7</v>
      </c>
      <c r="K82" s="28">
        <v>8</v>
      </c>
      <c r="L82" s="28">
        <v>9</v>
      </c>
      <c r="M82" s="24"/>
      <c r="N82" s="28" t="s">
        <v>75</v>
      </c>
      <c r="O82" s="24"/>
      <c r="P82" s="24"/>
      <c r="Q82" s="24"/>
      <c r="R82" s="24"/>
    </row>
    <row r="83" spans="1:18" x14ac:dyDescent="0.25">
      <c r="A83" s="24"/>
      <c r="B83" s="28">
        <v>0</v>
      </c>
      <c r="C83" s="40">
        <f t="shared" ref="C83:C91" si="12">C64</f>
        <v>4252867.565970799</v>
      </c>
      <c r="D83" s="40">
        <f t="shared" ref="D83:L92" si="13">D64-C64</f>
        <v>915337.33638525289</v>
      </c>
      <c r="E83" s="40">
        <f t="shared" si="13"/>
        <v>38102.090270879678</v>
      </c>
      <c r="F83" s="40">
        <f t="shared" si="13"/>
        <v>7765.1818263689056</v>
      </c>
      <c r="G83" s="40">
        <f t="shared" si="13"/>
        <v>-482.14997201412916</v>
      </c>
      <c r="H83" s="40">
        <f t="shared" si="13"/>
        <v>-1059.8030651928857</v>
      </c>
      <c r="I83" s="40">
        <f t="shared" si="13"/>
        <v>-586.24259300529957</v>
      </c>
      <c r="J83" s="40">
        <f t="shared" si="13"/>
        <v>-863.40388748887926</v>
      </c>
      <c r="K83" s="40">
        <f t="shared" si="13"/>
        <v>-654.82800383958966</v>
      </c>
      <c r="L83" s="40">
        <f>L64-K64</f>
        <v>-437.58184350375086</v>
      </c>
      <c r="M83" s="24"/>
      <c r="N83" s="40">
        <v>0</v>
      </c>
      <c r="O83" s="24"/>
      <c r="P83" s="24"/>
      <c r="Q83" s="24"/>
      <c r="R83" s="24"/>
    </row>
    <row r="84" spans="1:18" x14ac:dyDescent="0.25">
      <c r="A84" s="24"/>
      <c r="B84" s="28">
        <v>1</v>
      </c>
      <c r="C84" s="40">
        <f t="shared" si="12"/>
        <v>4111736.2634159056</v>
      </c>
      <c r="D84" s="40">
        <f t="shared" si="13"/>
        <v>884961.89004057273</v>
      </c>
      <c r="E84" s="40">
        <f t="shared" si="13"/>
        <v>36837.673369441181</v>
      </c>
      <c r="F84" s="40">
        <f t="shared" si="13"/>
        <v>7507.4944639643654</v>
      </c>
      <c r="G84" s="40">
        <f t="shared" si="13"/>
        <v>-466.14983739424497</v>
      </c>
      <c r="H84" s="40">
        <f t="shared" si="13"/>
        <v>-1024.6335272938013</v>
      </c>
      <c r="I84" s="40">
        <f t="shared" si="13"/>
        <v>-566.78814739082009</v>
      </c>
      <c r="J84" s="40">
        <f t="shared" si="13"/>
        <v>-834.75185133144259</v>
      </c>
      <c r="K84" s="40">
        <f t="shared" si="13"/>
        <v>-633.09755310323089</v>
      </c>
      <c r="L84" s="47">
        <f t="shared" si="13"/>
        <v>-423.06070110015571</v>
      </c>
      <c r="M84" s="24"/>
      <c r="N84" s="40">
        <f>K85</f>
        <v>-634.19042623322457</v>
      </c>
      <c r="O84" s="24"/>
      <c r="P84" s="24"/>
      <c r="Q84" s="24"/>
      <c r="R84" s="24"/>
    </row>
    <row r="85" spans="1:18" x14ac:dyDescent="0.25">
      <c r="A85" s="24"/>
      <c r="B85" s="28">
        <v>2</v>
      </c>
      <c r="C85" s="40">
        <f t="shared" si="12"/>
        <v>4118834.073315226</v>
      </c>
      <c r="D85" s="40">
        <f t="shared" si="13"/>
        <v>886489.5393987135</v>
      </c>
      <c r="E85" s="40">
        <f t="shared" si="13"/>
        <v>36901.26373272296</v>
      </c>
      <c r="F85" s="40">
        <f t="shared" si="13"/>
        <v>7520.4541396619752</v>
      </c>
      <c r="G85" s="40">
        <f t="shared" si="13"/>
        <v>-466.95452006813139</v>
      </c>
      <c r="H85" s="40">
        <f t="shared" si="13"/>
        <v>-1026.4022822743282</v>
      </c>
      <c r="I85" s="40">
        <f t="shared" si="13"/>
        <v>-567.76655511651188</v>
      </c>
      <c r="J85" s="40">
        <f t="shared" si="13"/>
        <v>-836.19282652437687</v>
      </c>
      <c r="K85" s="47">
        <f t="shared" si="13"/>
        <v>-634.19042623322457</v>
      </c>
      <c r="L85" s="47">
        <f t="shared" si="13"/>
        <v>-423.7910019364208</v>
      </c>
      <c r="M85" s="24"/>
      <c r="N85" s="40">
        <f>SUM(K85:L85)</f>
        <v>-1057.9814281696454</v>
      </c>
      <c r="O85" s="24"/>
      <c r="P85" s="24"/>
      <c r="Q85" s="24"/>
      <c r="R85" s="24"/>
    </row>
    <row r="86" spans="1:18" x14ac:dyDescent="0.25">
      <c r="A86" s="24"/>
      <c r="B86" s="28">
        <v>3</v>
      </c>
      <c r="C86" s="40">
        <f t="shared" si="12"/>
        <v>4270369.3854484269</v>
      </c>
      <c r="D86" s="40">
        <f t="shared" si="13"/>
        <v>919104.22274464369</v>
      </c>
      <c r="E86" s="40">
        <f t="shared" si="13"/>
        <v>38258.891745483503</v>
      </c>
      <c r="F86" s="40">
        <f t="shared" si="13"/>
        <v>7797.1378674237058</v>
      </c>
      <c r="G86" s="40">
        <f t="shared" si="13"/>
        <v>-484.1341630667448</v>
      </c>
      <c r="H86" s="40">
        <f t="shared" si="13"/>
        <v>-1064.1644711485133</v>
      </c>
      <c r="I86" s="40">
        <f t="shared" si="13"/>
        <v>-588.65515626315027</v>
      </c>
      <c r="J86" s="47">
        <f t="shared" si="13"/>
        <v>-866.95705220382661</v>
      </c>
      <c r="K86" s="47">
        <f t="shared" si="13"/>
        <v>-657.52281653601676</v>
      </c>
      <c r="L86" s="47">
        <f t="shared" si="13"/>
        <v>-439.38262340426445</v>
      </c>
      <c r="M86" s="24"/>
      <c r="N86" s="40">
        <f>SUM(J86:L86)</f>
        <v>-1963.8624921441078</v>
      </c>
      <c r="O86" s="24"/>
      <c r="P86" s="24"/>
      <c r="Q86" s="24"/>
      <c r="R86" s="24"/>
    </row>
    <row r="87" spans="1:18" x14ac:dyDescent="0.25">
      <c r="A87" s="24"/>
      <c r="B87" s="28">
        <v>4</v>
      </c>
      <c r="C87" s="40">
        <f t="shared" si="12"/>
        <v>4802822.0915820953</v>
      </c>
      <c r="D87" s="40">
        <f t="shared" si="13"/>
        <v>1033703.0984969046</v>
      </c>
      <c r="E87" s="40">
        <f t="shared" si="13"/>
        <v>43029.216887138784</v>
      </c>
      <c r="F87" s="40">
        <f t="shared" si="13"/>
        <v>8769.3271051403135</v>
      </c>
      <c r="G87" s="40">
        <f t="shared" si="13"/>
        <v>-544.49862384051085</v>
      </c>
      <c r="H87" s="40">
        <f t="shared" si="13"/>
        <v>-1196.850241696462</v>
      </c>
      <c r="I87" s="47">
        <f t="shared" si="13"/>
        <v>-662.05185866542161</v>
      </c>
      <c r="J87" s="47">
        <f t="shared" si="13"/>
        <v>-975.05393724702299</v>
      </c>
      <c r="K87" s="47">
        <f t="shared" si="13"/>
        <v>-739.5063105635345</v>
      </c>
      <c r="L87" s="47">
        <f t="shared" si="13"/>
        <v>-494.16722064651549</v>
      </c>
      <c r="M87" s="24"/>
      <c r="N87" s="40">
        <f>SUM(I87:L87)</f>
        <v>-2870.7793271224946</v>
      </c>
      <c r="O87" s="24"/>
      <c r="P87" s="24"/>
      <c r="Q87" s="24"/>
      <c r="R87" s="24"/>
    </row>
    <row r="88" spans="1:18" x14ac:dyDescent="0.25">
      <c r="A88" s="24"/>
      <c r="B88" s="28">
        <v>5</v>
      </c>
      <c r="C88" s="40">
        <f t="shared" si="12"/>
        <v>5765309.331489455</v>
      </c>
      <c r="D88" s="40">
        <f t="shared" si="13"/>
        <v>1240857.5637642695</v>
      </c>
      <c r="E88" s="40">
        <f t="shared" si="13"/>
        <v>51652.287116965279</v>
      </c>
      <c r="F88" s="40">
        <f t="shared" si="13"/>
        <v>10526.70334775839</v>
      </c>
      <c r="G88" s="40">
        <f t="shared" si="13"/>
        <v>-653.61633996665478</v>
      </c>
      <c r="H88" s="47">
        <f t="shared" si="13"/>
        <v>-1436.6994519624859</v>
      </c>
      <c r="I88" s="47">
        <f t="shared" si="13"/>
        <v>-794.72728448268026</v>
      </c>
      <c r="J88" s="47">
        <f t="shared" si="13"/>
        <v>-1170.4550899285823</v>
      </c>
      <c r="K88" s="47">
        <f t="shared" si="13"/>
        <v>-887.7036358397454</v>
      </c>
      <c r="L88" s="47">
        <f t="shared" si="13"/>
        <v>-593.198505833745</v>
      </c>
      <c r="M88" s="24"/>
      <c r="N88" s="40">
        <f>SUM(H88:L88)</f>
        <v>-4882.7839680472389</v>
      </c>
      <c r="O88" s="24"/>
      <c r="P88" s="24"/>
      <c r="Q88" s="24"/>
      <c r="R88" s="24"/>
    </row>
    <row r="89" spans="1:18" x14ac:dyDescent="0.25">
      <c r="A89" s="24"/>
      <c r="B89" s="28">
        <v>6</v>
      </c>
      <c r="C89" s="40">
        <f t="shared" si="12"/>
        <v>5612528.2560037971</v>
      </c>
      <c r="D89" s="40">
        <f t="shared" si="13"/>
        <v>1207974.7569249282</v>
      </c>
      <c r="E89" s="40">
        <f t="shared" si="13"/>
        <v>50283.49812000338</v>
      </c>
      <c r="F89" s="40">
        <f t="shared" si="13"/>
        <v>10247.745018497109</v>
      </c>
      <c r="G89" s="47">
        <f t="shared" si="13"/>
        <v>-636.29546408075839</v>
      </c>
      <c r="H89" s="47">
        <f t="shared" si="13"/>
        <v>-1398.626822238788</v>
      </c>
      <c r="I89" s="47">
        <f t="shared" si="13"/>
        <v>-773.66695930995047</v>
      </c>
      <c r="J89" s="47">
        <f t="shared" si="13"/>
        <v>-1139.4379532644525</v>
      </c>
      <c r="K89" s="47">
        <f t="shared" si="13"/>
        <v>-864.17943125683814</v>
      </c>
      <c r="L89" s="47">
        <f t="shared" si="13"/>
        <v>-577.47870651539415</v>
      </c>
      <c r="M89" s="24"/>
      <c r="N89" s="40">
        <f>SUM(G89:L89)</f>
        <v>-5389.6853366661817</v>
      </c>
      <c r="O89" s="24"/>
      <c r="P89" s="24"/>
      <c r="Q89" s="24"/>
      <c r="R89" s="24"/>
    </row>
    <row r="90" spans="1:18" x14ac:dyDescent="0.25">
      <c r="A90" s="24"/>
      <c r="B90" s="28">
        <v>7</v>
      </c>
      <c r="C90" s="40">
        <f t="shared" si="12"/>
        <v>5744359.8666071463</v>
      </c>
      <c r="D90" s="40">
        <f t="shared" si="13"/>
        <v>1236348.6466426775</v>
      </c>
      <c r="E90" s="40">
        <f t="shared" si="13"/>
        <v>51464.59766045399</v>
      </c>
      <c r="F90" s="47">
        <f t="shared" si="13"/>
        <v>10488.452355585992</v>
      </c>
      <c r="G90" s="47">
        <f t="shared" si="13"/>
        <v>-651.2412874288857</v>
      </c>
      <c r="H90" s="47">
        <f t="shared" si="13"/>
        <v>-1431.4789021210745</v>
      </c>
      <c r="I90" s="47">
        <f t="shared" si="13"/>
        <v>-791.83947562798858</v>
      </c>
      <c r="J90" s="47">
        <f t="shared" si="13"/>
        <v>-1166.2019950132817</v>
      </c>
      <c r="K90" s="47">
        <f t="shared" si="13"/>
        <v>-884.47797784395516</v>
      </c>
      <c r="L90" s="47">
        <f t="shared" si="13"/>
        <v>-591.04299421142787</v>
      </c>
      <c r="M90" s="24"/>
      <c r="N90" s="40">
        <f>SUM(F90:L90)</f>
        <v>4972.1697233393788</v>
      </c>
      <c r="O90" s="24"/>
      <c r="P90" s="24"/>
      <c r="Q90" s="24"/>
      <c r="R90" s="24"/>
    </row>
    <row r="91" spans="1:18" x14ac:dyDescent="0.25">
      <c r="A91" s="24"/>
      <c r="B91" s="28">
        <v>8</v>
      </c>
      <c r="C91" s="40">
        <f t="shared" si="12"/>
        <v>6563765.1419201624</v>
      </c>
      <c r="D91" s="40">
        <f t="shared" si="13"/>
        <v>1412707.8279457595</v>
      </c>
      <c r="E91" s="47">
        <f t="shared" si="13"/>
        <v>58805.7747096112</v>
      </c>
      <c r="F91" s="47">
        <f t="shared" si="13"/>
        <v>11984.579581179656</v>
      </c>
      <c r="G91" s="47">
        <f t="shared" si="13"/>
        <v>-744.13772128894925</v>
      </c>
      <c r="H91" s="47">
        <f t="shared" si="13"/>
        <v>-1635.6724747968838</v>
      </c>
      <c r="I91" s="47">
        <f t="shared" si="13"/>
        <v>-904.79156404081732</v>
      </c>
      <c r="J91" s="47">
        <f t="shared" si="13"/>
        <v>-1332.5550942244008</v>
      </c>
      <c r="K91" s="47">
        <f t="shared" si="13"/>
        <v>-1010.6445025345311</v>
      </c>
      <c r="L91" s="47">
        <f t="shared" si="13"/>
        <v>-675.35243140626699</v>
      </c>
      <c r="M91" s="24"/>
      <c r="N91" s="40">
        <f>SUM(E91:L91)</f>
        <v>64487.200502499007</v>
      </c>
      <c r="O91" s="24"/>
      <c r="P91" s="24"/>
      <c r="Q91" s="24"/>
      <c r="R91" s="24"/>
    </row>
    <row r="92" spans="1:18" x14ac:dyDescent="0.25">
      <c r="A92" s="24"/>
      <c r="B92" s="28">
        <v>9</v>
      </c>
      <c r="C92" s="40">
        <f>C73</f>
        <v>6428313.2761970535</v>
      </c>
      <c r="D92" s="47">
        <f t="shared" si="13"/>
        <v>1383554.7569751367</v>
      </c>
      <c r="E92" s="47">
        <f t="shared" si="13"/>
        <v>57592.240750445984</v>
      </c>
      <c r="F92" s="47">
        <f t="shared" si="13"/>
        <v>11737.262130131014</v>
      </c>
      <c r="G92" s="47">
        <f t="shared" si="13"/>
        <v>-728.78146759606898</v>
      </c>
      <c r="H92" s="47">
        <f t="shared" si="13"/>
        <v>-1601.9182371553034</v>
      </c>
      <c r="I92" s="47">
        <f t="shared" si="13"/>
        <v>-886.12000849470496</v>
      </c>
      <c r="J92" s="47">
        <f t="shared" si="13"/>
        <v>-1305.0560795906931</v>
      </c>
      <c r="K92" s="47">
        <f t="shared" si="13"/>
        <v>-989.78853336255997</v>
      </c>
      <c r="L92" s="47">
        <f t="shared" si="13"/>
        <v>-661.41565200034529</v>
      </c>
      <c r="M92" s="24"/>
      <c r="N92" s="40">
        <f>SUM(D92:L92)</f>
        <v>1446711.179877514</v>
      </c>
      <c r="O92" s="24"/>
      <c r="P92" s="24"/>
      <c r="Q92" s="24"/>
      <c r="R92" s="24"/>
    </row>
    <row r="93" spans="1:18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41"/>
      <c r="O93" s="24"/>
      <c r="P93" s="24"/>
      <c r="Q93" s="24"/>
      <c r="R93" s="24"/>
    </row>
    <row r="94" spans="1:18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8" t="s">
        <v>76</v>
      </c>
      <c r="N94" s="40">
        <f>SUM(N83:N92)</f>
        <v>1499371.2671249695</v>
      </c>
      <c r="O94" s="24"/>
      <c r="P94" s="24"/>
      <c r="Q94" s="24"/>
      <c r="R94" s="24"/>
    </row>
    <row r="95" spans="1:18" x14ac:dyDescent="0.25">
      <c r="A95" s="24"/>
      <c r="B95" s="24"/>
      <c r="C95" s="42" t="s">
        <v>77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</row>
    <row r="96" spans="1:18" x14ac:dyDescent="0.25">
      <c r="A96" s="24"/>
      <c r="B96" s="24"/>
      <c r="C96" s="28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</row>
    <row r="97" spans="1:18" x14ac:dyDescent="0.25">
      <c r="A97" s="24"/>
      <c r="B97" s="24"/>
      <c r="C97" s="28">
        <v>0</v>
      </c>
      <c r="D97" s="28">
        <v>1</v>
      </c>
      <c r="E97" s="28">
        <v>2</v>
      </c>
      <c r="F97" s="28">
        <v>3</v>
      </c>
      <c r="G97" s="28">
        <v>4</v>
      </c>
      <c r="H97" s="28">
        <v>5</v>
      </c>
      <c r="I97" s="28">
        <v>6</v>
      </c>
      <c r="J97" s="28">
        <v>7</v>
      </c>
      <c r="K97" s="28">
        <v>8</v>
      </c>
      <c r="L97" s="28">
        <v>9</v>
      </c>
      <c r="M97" s="24"/>
      <c r="N97" s="24"/>
      <c r="O97" s="24"/>
      <c r="P97" s="24"/>
      <c r="Q97" s="24"/>
      <c r="R97" s="24"/>
    </row>
    <row r="98" spans="1:18" x14ac:dyDescent="0.25">
      <c r="A98" s="24"/>
      <c r="B98" s="28">
        <v>0</v>
      </c>
      <c r="C98" s="48">
        <f t="shared" ref="C98:F104" si="14">(C31-C83)/SQRT(C83)</f>
        <v>4.4998532096048169</v>
      </c>
      <c r="D98" s="48">
        <f t="shared" si="14"/>
        <v>-6.7355900540642279</v>
      </c>
      <c r="E98" s="48">
        <f t="shared" si="14"/>
        <v>-13.394055441134212</v>
      </c>
      <c r="F98" s="48">
        <f t="shared" si="14"/>
        <v>39.059526922977916</v>
      </c>
      <c r="G98" s="48">
        <f t="shared" ref="G98:L98" si="15">(G31-G83)/SQRT(ABS(G83))</f>
        <v>-37.871920175811482</v>
      </c>
      <c r="H98" s="48">
        <f t="shared" si="15"/>
        <v>-57.944010446758945</v>
      </c>
      <c r="I98" s="48">
        <f t="shared" si="15"/>
        <v>-35.615898013464616</v>
      </c>
      <c r="J98" s="48">
        <f t="shared" si="15"/>
        <v>-4.0513157390174284</v>
      </c>
      <c r="K98" s="48">
        <f t="shared" si="15"/>
        <v>1.415417269064809</v>
      </c>
      <c r="L98" s="48">
        <f t="shared" si="15"/>
        <v>0</v>
      </c>
      <c r="M98" s="24"/>
      <c r="N98" s="24"/>
      <c r="O98" s="24"/>
      <c r="P98" s="24"/>
      <c r="Q98" s="24"/>
      <c r="R98" s="24"/>
    </row>
    <row r="99" spans="1:18" x14ac:dyDescent="0.25">
      <c r="A99" s="24"/>
      <c r="B99" s="28">
        <v>1</v>
      </c>
      <c r="C99" s="48">
        <f t="shared" si="14"/>
        <v>-3.8266286981609321</v>
      </c>
      <c r="D99" s="48">
        <f t="shared" si="14"/>
        <v>12.282068050527743</v>
      </c>
      <c r="E99" s="48">
        <f t="shared" si="14"/>
        <v>-39.045591544348227</v>
      </c>
      <c r="F99" s="48">
        <f t="shared" si="14"/>
        <v>34.433840665300437</v>
      </c>
      <c r="G99" s="48">
        <f t="shared" ref="G99:J103" si="16">(G32-G84)/SQRT(ABS(G84))</f>
        <v>11.00267821807388</v>
      </c>
      <c r="H99" s="48">
        <f t="shared" si="16"/>
        <v>-13.334370899380531</v>
      </c>
      <c r="I99" s="48">
        <f t="shared" si="16"/>
        <v>18.72090196573707</v>
      </c>
      <c r="J99" s="48">
        <f t="shared" si="16"/>
        <v>17.157276838838769</v>
      </c>
      <c r="K99" s="48">
        <f>(K32-K84)/SQRT(ABS(K84))</f>
        <v>-1.4395037295714608</v>
      </c>
      <c r="L99" s="24"/>
      <c r="M99" s="24"/>
      <c r="N99" s="24"/>
      <c r="O99" s="24"/>
      <c r="P99" s="24"/>
      <c r="Q99" s="24"/>
      <c r="R99" s="24"/>
    </row>
    <row r="100" spans="1:18" x14ac:dyDescent="0.25">
      <c r="A100" s="24"/>
      <c r="B100" s="28">
        <v>2</v>
      </c>
      <c r="C100" s="48">
        <f t="shared" si="14"/>
        <v>12.658944761020262</v>
      </c>
      <c r="D100" s="48">
        <f t="shared" si="14"/>
        <v>-23.043713772714451</v>
      </c>
      <c r="E100" s="48">
        <f t="shared" si="14"/>
        <v>7.5033335047223018</v>
      </c>
      <c r="F100" s="48">
        <f t="shared" si="14"/>
        <v>-29.413857127909484</v>
      </c>
      <c r="G100" s="48">
        <f t="shared" si="16"/>
        <v>-79.570939742217575</v>
      </c>
      <c r="H100" s="48">
        <f t="shared" si="16"/>
        <v>-33.715560197240798</v>
      </c>
      <c r="I100" s="48">
        <f t="shared" si="16"/>
        <v>12.21135604654398</v>
      </c>
      <c r="J100" s="48">
        <f t="shared" si="16"/>
        <v>-13.025781076375463</v>
      </c>
      <c r="K100" s="49"/>
      <c r="L100" s="24"/>
      <c r="M100" s="24"/>
      <c r="N100" s="24"/>
      <c r="O100" s="24"/>
      <c r="P100" s="24"/>
      <c r="Q100" s="24"/>
      <c r="R100" s="24"/>
    </row>
    <row r="101" spans="1:18" x14ac:dyDescent="0.25">
      <c r="A101" s="24"/>
      <c r="B101" s="28">
        <v>3</v>
      </c>
      <c r="C101" s="48">
        <f t="shared" si="14"/>
        <v>13.193143600234574</v>
      </c>
      <c r="D101" s="48">
        <f t="shared" si="14"/>
        <v>-26.1752175784009</v>
      </c>
      <c r="E101" s="48">
        <f t="shared" si="14"/>
        <v>-9.3984109230194512</v>
      </c>
      <c r="F101" s="48">
        <f t="shared" si="14"/>
        <v>-15.808083151295694</v>
      </c>
      <c r="G101" s="48">
        <f t="shared" si="16"/>
        <v>31.709281625095166</v>
      </c>
      <c r="H101" s="48">
        <f t="shared" si="16"/>
        <v>7.4033386143729807</v>
      </c>
      <c r="I101" s="48">
        <f t="shared" si="16"/>
        <v>5.1802061483493427</v>
      </c>
      <c r="J101" s="49"/>
      <c r="K101" s="49"/>
      <c r="L101" s="24"/>
      <c r="M101" s="24"/>
      <c r="N101" s="24"/>
      <c r="O101" s="24"/>
      <c r="P101" s="24"/>
      <c r="Q101" s="24"/>
      <c r="R101" s="24"/>
    </row>
    <row r="102" spans="1:18" x14ac:dyDescent="0.25">
      <c r="A102" s="24"/>
      <c r="B102" s="28">
        <v>4</v>
      </c>
      <c r="C102" s="48">
        <f>(C35-C87)/SQRT(C87)</f>
        <v>-35.454160772593433</v>
      </c>
      <c r="D102" s="48">
        <f t="shared" si="14"/>
        <v>76.872625834721873</v>
      </c>
      <c r="E102" s="48">
        <f t="shared" si="14"/>
        <v>-33.592877016182783</v>
      </c>
      <c r="F102" s="48">
        <f t="shared" si="14"/>
        <v>13.425993221981187</v>
      </c>
      <c r="G102" s="48">
        <f t="shared" si="16"/>
        <v>90.034976573518392</v>
      </c>
      <c r="H102" s="48">
        <f t="shared" si="16"/>
        <v>91.10517885987322</v>
      </c>
      <c r="I102" s="49"/>
      <c r="J102" s="49"/>
      <c r="K102" s="49"/>
      <c r="L102" s="24"/>
      <c r="M102" s="24"/>
      <c r="N102" s="24"/>
      <c r="O102" s="24"/>
      <c r="P102" s="24"/>
      <c r="Q102" s="24"/>
      <c r="R102" s="24"/>
    </row>
    <row r="103" spans="1:18" x14ac:dyDescent="0.25">
      <c r="A103" s="24"/>
      <c r="B103" s="28">
        <v>5</v>
      </c>
      <c r="C103" s="48">
        <f>(C36-C88)/SQRT(C88)</f>
        <v>-69.686733389413206</v>
      </c>
      <c r="D103" s="48">
        <f t="shared" si="14"/>
        <v>118.29431664894851</v>
      </c>
      <c r="E103" s="48">
        <f t="shared" si="14"/>
        <v>196.15040465299512</v>
      </c>
      <c r="F103" s="48">
        <f t="shared" si="14"/>
        <v>-83.251132110116956</v>
      </c>
      <c r="G103" s="48">
        <f t="shared" si="16"/>
        <v>-18.975561379807449</v>
      </c>
      <c r="H103" s="49"/>
      <c r="I103" s="49"/>
      <c r="J103" s="49"/>
      <c r="K103" s="49"/>
      <c r="L103" s="24"/>
      <c r="M103" s="24"/>
      <c r="N103" s="24"/>
      <c r="O103" s="24"/>
      <c r="P103" s="24"/>
      <c r="Q103" s="24"/>
      <c r="R103" s="24"/>
    </row>
    <row r="104" spans="1:18" x14ac:dyDescent="0.25">
      <c r="A104" s="24"/>
      <c r="B104" s="28">
        <v>6</v>
      </c>
      <c r="C104" s="48">
        <f>(C37-C89)/SQRT(C89)</f>
        <v>-25.996772955915507</v>
      </c>
      <c r="D104" s="48">
        <f t="shared" si="14"/>
        <v>56.728738103398982</v>
      </c>
      <c r="E104" s="48">
        <f t="shared" si="14"/>
        <v>-24.823627471956222</v>
      </c>
      <c r="F104" s="48">
        <f t="shared" si="14"/>
        <v>47.470058626918799</v>
      </c>
      <c r="G104" s="49"/>
      <c r="H104" s="49"/>
      <c r="I104" s="49"/>
      <c r="J104" s="49"/>
      <c r="K104" s="49"/>
      <c r="L104" s="24"/>
      <c r="M104" s="24"/>
      <c r="N104" s="24"/>
      <c r="O104" s="24"/>
      <c r="P104" s="24"/>
      <c r="Q104" s="24"/>
      <c r="R104" s="24"/>
    </row>
    <row r="105" spans="1:18" x14ac:dyDescent="0.25">
      <c r="A105" s="24"/>
      <c r="B105" s="28">
        <v>7</v>
      </c>
      <c r="C105" s="48">
        <f t="shared" ref="C105:E107" si="17">(C38-C90)/SQRT(C90)</f>
        <v>33.722729334817515</v>
      </c>
      <c r="D105" s="48">
        <f t="shared" si="17"/>
        <v>-53.318520438196281</v>
      </c>
      <c r="E105" s="48">
        <f t="shared" si="17"/>
        <v>-94.945182672490759</v>
      </c>
      <c r="F105" s="49"/>
      <c r="G105" s="49"/>
      <c r="H105" s="49"/>
      <c r="I105" s="49"/>
      <c r="J105" s="49"/>
      <c r="K105" s="49"/>
      <c r="L105" s="24"/>
      <c r="M105" s="24"/>
      <c r="N105" s="24"/>
      <c r="O105" s="24"/>
      <c r="P105" s="24"/>
      <c r="Q105" s="24"/>
      <c r="R105" s="24"/>
    </row>
    <row r="106" spans="1:18" x14ac:dyDescent="0.25">
      <c r="A106" s="24"/>
      <c r="B106" s="28">
        <v>8</v>
      </c>
      <c r="C106" s="48">
        <f t="shared" si="17"/>
        <v>66.867273884006806</v>
      </c>
      <c r="D106" s="48">
        <f t="shared" si="17"/>
        <v>-144.13317668219375</v>
      </c>
      <c r="E106" s="49"/>
      <c r="F106" s="49"/>
      <c r="G106" s="49"/>
      <c r="H106" s="49"/>
      <c r="I106" s="49"/>
      <c r="J106" s="49"/>
      <c r="K106" s="49"/>
      <c r="L106" s="24"/>
      <c r="M106" s="24"/>
      <c r="N106" s="24"/>
      <c r="O106" s="24"/>
      <c r="P106" s="24"/>
      <c r="Q106" s="24"/>
      <c r="R106" s="24"/>
    </row>
    <row r="107" spans="1:18" x14ac:dyDescent="0.25">
      <c r="A107" s="24"/>
      <c r="B107" s="28">
        <v>9</v>
      </c>
      <c r="C107" s="48">
        <f t="shared" si="17"/>
        <v>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</row>
    <row r="108" spans="1:18" x14ac:dyDescent="0.2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</row>
    <row r="109" spans="1:18" x14ac:dyDescent="0.2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</row>
    <row r="110" spans="1:18" x14ac:dyDescent="0.25">
      <c r="A110" s="24"/>
      <c r="B110" s="24"/>
      <c r="C110" s="28" t="s">
        <v>78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</row>
    <row r="111" spans="1:18" x14ac:dyDescent="0.25">
      <c r="A111" s="24"/>
      <c r="B111" s="24"/>
      <c r="C111" s="28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</row>
    <row r="112" spans="1:18" x14ac:dyDescent="0.25">
      <c r="A112" s="24"/>
      <c r="B112" s="24"/>
      <c r="C112" s="28">
        <v>0</v>
      </c>
      <c r="D112" s="28">
        <v>1</v>
      </c>
      <c r="E112" s="28">
        <v>2</v>
      </c>
      <c r="F112" s="28">
        <v>3</v>
      </c>
      <c r="G112" s="28">
        <v>4</v>
      </c>
      <c r="H112" s="28">
        <v>5</v>
      </c>
      <c r="I112" s="28">
        <v>6</v>
      </c>
      <c r="J112" s="28">
        <v>7</v>
      </c>
      <c r="K112" s="28">
        <v>8</v>
      </c>
      <c r="L112" s="28">
        <v>9</v>
      </c>
      <c r="M112" s="24"/>
      <c r="N112" s="24"/>
      <c r="O112" s="24"/>
      <c r="P112" s="24"/>
      <c r="Q112" s="24"/>
      <c r="R112" s="24"/>
    </row>
    <row r="113" spans="1:18" x14ac:dyDescent="0.25">
      <c r="A113" s="24"/>
      <c r="B113" s="28">
        <v>0</v>
      </c>
      <c r="C113" s="48">
        <f t="shared" ref="C113:L119" si="18">C98^2</f>
        <v>20.248678907990772</v>
      </c>
      <c r="D113" s="48">
        <f t="shared" si="18"/>
        <v>45.368173376408947</v>
      </c>
      <c r="E113" s="48">
        <f t="shared" si="18"/>
        <v>179.40072116017697</v>
      </c>
      <c r="F113" s="48">
        <f t="shared" si="18"/>
        <v>1525.6466434468366</v>
      </c>
      <c r="G113" s="48">
        <f t="shared" si="18"/>
        <v>1434.2823378030369</v>
      </c>
      <c r="H113" s="48">
        <f t="shared" si="18"/>
        <v>3357.5083466541096</v>
      </c>
      <c r="I113" s="48">
        <f t="shared" si="18"/>
        <v>1268.4921913055127</v>
      </c>
      <c r="J113" s="48">
        <f t="shared" si="18"/>
        <v>16.413159217210332</v>
      </c>
      <c r="K113" s="48">
        <f t="shared" si="18"/>
        <v>2.0034060455668818</v>
      </c>
      <c r="L113" s="48">
        <f t="shared" si="18"/>
        <v>0</v>
      </c>
      <c r="M113" s="24"/>
      <c r="N113" s="24"/>
      <c r="O113" s="24"/>
      <c r="P113" s="24"/>
      <c r="Q113" s="24"/>
      <c r="R113" s="24"/>
    </row>
    <row r="114" spans="1:18" x14ac:dyDescent="0.25">
      <c r="A114" s="24"/>
      <c r="B114" s="28">
        <v>1</v>
      </c>
      <c r="C114" s="48">
        <f t="shared" si="18"/>
        <v>14.64308719358883</v>
      </c>
      <c r="D114" s="48">
        <f t="shared" si="18"/>
        <v>150.84919559779433</v>
      </c>
      <c r="E114" s="48">
        <f t="shared" si="18"/>
        <v>1524.5582190480777</v>
      </c>
      <c r="F114" s="48">
        <f t="shared" si="18"/>
        <v>1185.6893829632979</v>
      </c>
      <c r="G114" s="48">
        <f t="shared" si="18"/>
        <v>121.05892797047741</v>
      </c>
      <c r="H114" s="48">
        <f t="shared" si="18"/>
        <v>177.80544728224635</v>
      </c>
      <c r="I114" s="48">
        <f t="shared" si="18"/>
        <v>350.4721704107381</v>
      </c>
      <c r="J114" s="48">
        <f t="shared" si="18"/>
        <v>294.37214852455327</v>
      </c>
      <c r="K114" s="48">
        <f t="shared" si="18"/>
        <v>2.0721709874501455</v>
      </c>
      <c r="L114" s="24"/>
      <c r="M114" s="24"/>
      <c r="N114" s="24"/>
      <c r="O114" s="24"/>
      <c r="P114" s="24"/>
      <c r="Q114" s="24"/>
      <c r="R114" s="24"/>
    </row>
    <row r="115" spans="1:18" x14ac:dyDescent="0.25">
      <c r="A115" s="24"/>
      <c r="B115" s="28">
        <v>2</v>
      </c>
      <c r="C115" s="48">
        <f t="shared" si="18"/>
        <v>160.24888246256234</v>
      </c>
      <c r="D115" s="48">
        <f t="shared" si="18"/>
        <v>531.0127444387897</v>
      </c>
      <c r="E115" s="48">
        <f t="shared" si="18"/>
        <v>56.30001368308826</v>
      </c>
      <c r="F115" s="48">
        <f t="shared" si="18"/>
        <v>865.17499114107159</v>
      </c>
      <c r="G115" s="48">
        <f t="shared" si="18"/>
        <v>6331.53445145962</v>
      </c>
      <c r="H115" s="48">
        <f t="shared" si="18"/>
        <v>1136.7389994137679</v>
      </c>
      <c r="I115" s="48">
        <f t="shared" si="18"/>
        <v>149.11721649546621</v>
      </c>
      <c r="J115" s="48">
        <f t="shared" si="18"/>
        <v>169.67097264966111</v>
      </c>
      <c r="K115" s="49"/>
      <c r="L115" s="24"/>
      <c r="M115" s="24"/>
      <c r="N115" s="24"/>
      <c r="O115" s="24"/>
      <c r="P115" s="24"/>
      <c r="Q115" s="24"/>
      <c r="R115" s="24"/>
    </row>
    <row r="116" spans="1:18" x14ac:dyDescent="0.25">
      <c r="A116" s="24"/>
      <c r="B116" s="28">
        <v>3</v>
      </c>
      <c r="C116" s="48">
        <f t="shared" si="18"/>
        <v>174.05903805641049</v>
      </c>
      <c r="D116" s="48">
        <f t="shared" si="18"/>
        <v>685.14201527662749</v>
      </c>
      <c r="E116" s="48">
        <f t="shared" si="18"/>
        <v>88.330127877931332</v>
      </c>
      <c r="F116" s="48">
        <f t="shared" si="18"/>
        <v>249.89549291827879</v>
      </c>
      <c r="G116" s="48">
        <f t="shared" si="18"/>
        <v>1005.4785411795979</v>
      </c>
      <c r="H116" s="48">
        <f t="shared" si="18"/>
        <v>54.809422639066042</v>
      </c>
      <c r="I116" s="48">
        <f t="shared" si="18"/>
        <v>26.834535739396333</v>
      </c>
      <c r="J116" s="49"/>
      <c r="K116" s="49"/>
      <c r="L116" s="24"/>
      <c r="M116" s="24"/>
      <c r="N116" s="24"/>
      <c r="O116" s="24"/>
      <c r="P116" s="24"/>
      <c r="Q116" s="24"/>
      <c r="R116" s="24"/>
    </row>
    <row r="117" spans="1:18" x14ac:dyDescent="0.25">
      <c r="A117" s="24"/>
      <c r="B117" s="28">
        <v>4</v>
      </c>
      <c r="C117" s="48">
        <f t="shared" si="18"/>
        <v>1256.997516088903</v>
      </c>
      <c r="D117" s="48">
        <f t="shared" si="18"/>
        <v>5909.4006027251489</v>
      </c>
      <c r="E117" s="48">
        <f t="shared" si="18"/>
        <v>1128.4813862243814</v>
      </c>
      <c r="F117" s="48">
        <f t="shared" si="18"/>
        <v>180.25729399668478</v>
      </c>
      <c r="G117" s="48">
        <f t="shared" si="18"/>
        <v>8106.2970065940053</v>
      </c>
      <c r="H117" s="48">
        <f t="shared" si="18"/>
        <v>8300.1536150894899</v>
      </c>
      <c r="I117" s="49"/>
      <c r="J117" s="49"/>
      <c r="K117" s="49"/>
      <c r="L117" s="24"/>
      <c r="M117" s="24"/>
      <c r="N117" s="24"/>
      <c r="O117" s="24"/>
      <c r="P117" s="24"/>
      <c r="Q117" s="24"/>
      <c r="R117" s="24"/>
    </row>
    <row r="118" spans="1:18" x14ac:dyDescent="0.25">
      <c r="A118" s="24"/>
      <c r="B118" s="28">
        <v>5</v>
      </c>
      <c r="C118" s="48">
        <f t="shared" si="18"/>
        <v>4856.2408104871574</v>
      </c>
      <c r="D118" s="48">
        <f t="shared" si="18"/>
        <v>13993.545351441697</v>
      </c>
      <c r="E118" s="48">
        <f t="shared" si="18"/>
        <v>38474.981245533731</v>
      </c>
      <c r="F118" s="48">
        <f t="shared" si="18"/>
        <v>6930.7509976161464</v>
      </c>
      <c r="G118" s="48">
        <f t="shared" si="18"/>
        <v>360.07192967883998</v>
      </c>
      <c r="H118" s="49"/>
      <c r="I118" s="49"/>
      <c r="J118" s="49"/>
      <c r="K118" s="49"/>
      <c r="L118" s="24"/>
      <c r="M118" s="24"/>
      <c r="N118" s="24"/>
      <c r="O118" s="24"/>
      <c r="P118" s="24"/>
      <c r="Q118" s="24"/>
      <c r="R118" s="24"/>
    </row>
    <row r="119" spans="1:18" x14ac:dyDescent="0.25">
      <c r="A119" s="24"/>
      <c r="B119" s="28">
        <v>6</v>
      </c>
      <c r="C119" s="48">
        <f t="shared" si="18"/>
        <v>675.83220412141986</v>
      </c>
      <c r="D119" s="48">
        <f t="shared" si="18"/>
        <v>3218.1497268040316</v>
      </c>
      <c r="E119" s="48">
        <f t="shared" si="18"/>
        <v>616.2124808664596</v>
      </c>
      <c r="F119" s="48">
        <f t="shared" si="18"/>
        <v>2253.4064660431081</v>
      </c>
      <c r="G119" s="49"/>
      <c r="H119" s="49"/>
      <c r="I119" s="49"/>
      <c r="J119" s="49"/>
      <c r="K119" s="49"/>
      <c r="L119" s="24"/>
      <c r="M119" s="24"/>
      <c r="N119" s="24"/>
      <c r="O119" s="24"/>
      <c r="P119" s="24"/>
      <c r="Q119" s="24"/>
      <c r="R119" s="24"/>
    </row>
    <row r="120" spans="1:18" x14ac:dyDescent="0.25">
      <c r="A120" s="24"/>
      <c r="B120" s="28">
        <v>7</v>
      </c>
      <c r="C120" s="48">
        <f>C105^2</f>
        <v>1137.2224737893619</v>
      </c>
      <c r="D120" s="48">
        <f>D105^2</f>
        <v>2842.8646217183546</v>
      </c>
      <c r="E120" s="48">
        <f>E105^2</f>
        <v>9014.5877127126387</v>
      </c>
      <c r="F120" s="49"/>
      <c r="G120" s="49"/>
      <c r="H120" s="49"/>
      <c r="I120" s="49"/>
      <c r="J120" s="49"/>
      <c r="K120" s="49"/>
      <c r="L120" s="24"/>
      <c r="M120" s="24"/>
      <c r="N120" s="24"/>
      <c r="O120" s="24"/>
      <c r="P120" s="24"/>
      <c r="Q120" s="24"/>
      <c r="R120" s="24"/>
    </row>
    <row r="121" spans="1:18" x14ac:dyDescent="0.25">
      <c r="A121" s="24"/>
      <c r="B121" s="28">
        <v>8</v>
      </c>
      <c r="C121" s="48">
        <f>C106^2</f>
        <v>4471.2323166787783</v>
      </c>
      <c r="D121" s="48">
        <f>D106^2</f>
        <v>20774.372620500479</v>
      </c>
      <c r="E121" s="49"/>
      <c r="F121" s="49"/>
      <c r="G121" s="49"/>
      <c r="H121" s="49"/>
      <c r="I121" s="49"/>
      <c r="J121" s="49"/>
      <c r="K121" s="49"/>
      <c r="L121" s="24"/>
      <c r="M121" s="24"/>
      <c r="N121" s="24"/>
      <c r="O121" s="24"/>
      <c r="P121" s="24"/>
      <c r="Q121" s="24"/>
      <c r="R121" s="24"/>
    </row>
    <row r="122" spans="1:18" x14ac:dyDescent="0.25">
      <c r="A122" s="24"/>
      <c r="B122" s="28">
        <v>9</v>
      </c>
      <c r="C122" s="48">
        <f>C107^2</f>
        <v>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</row>
    <row r="123" spans="1:18" x14ac:dyDescent="0.2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</row>
    <row r="124" spans="1:18" x14ac:dyDescent="0.25">
      <c r="A124" s="24"/>
      <c r="B124" s="24"/>
      <c r="C124" s="28" t="s">
        <v>79</v>
      </c>
      <c r="D124" s="24"/>
      <c r="E124" s="40">
        <f>SUM(C113:L122)</f>
        <v>157856.29023203722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</row>
    <row r="125" spans="1:18" x14ac:dyDescent="0.2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</row>
    <row r="126" spans="1:18" x14ac:dyDescent="0.2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</row>
    <row r="127" spans="1:18" x14ac:dyDescent="0.25">
      <c r="A127" s="24"/>
      <c r="B127" s="24"/>
      <c r="C127" s="42" t="s">
        <v>80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</row>
    <row r="128" spans="1:18" x14ac:dyDescent="0.2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</row>
    <row r="129" spans="1:18" x14ac:dyDescent="0.25">
      <c r="A129" s="24"/>
      <c r="B129" s="24"/>
      <c r="C129" s="28">
        <v>0</v>
      </c>
      <c r="D129" s="28">
        <v>1</v>
      </c>
      <c r="E129" s="28">
        <v>2</v>
      </c>
      <c r="F129" s="28">
        <v>3</v>
      </c>
      <c r="G129" s="28">
        <v>4</v>
      </c>
      <c r="H129" s="28">
        <v>5</v>
      </c>
      <c r="I129" s="28">
        <v>6</v>
      </c>
      <c r="J129" s="28">
        <v>7</v>
      </c>
      <c r="K129" s="28">
        <v>8</v>
      </c>
      <c r="L129" s="28">
        <v>9</v>
      </c>
      <c r="M129" s="50"/>
      <c r="N129" s="24"/>
      <c r="O129" s="24"/>
      <c r="P129" s="24"/>
      <c r="Q129" s="24"/>
      <c r="R129" s="24"/>
    </row>
    <row r="130" spans="1:18" x14ac:dyDescent="0.25">
      <c r="A130" s="24"/>
      <c r="B130" s="28">
        <v>0</v>
      </c>
      <c r="C130" s="48">
        <f t="shared" ref="C130:L135" si="19">SQRT($E$6/$E$8)*C98/SQRT($E$9)</f>
        <v>8.399409312625726E-2</v>
      </c>
      <c r="D130" s="48">
        <f t="shared" si="19"/>
        <v>-0.12572627414907336</v>
      </c>
      <c r="E130" s="48">
        <f t="shared" si="19"/>
        <v>-0.25001294212432335</v>
      </c>
      <c r="F130" s="48">
        <f t="shared" si="19"/>
        <v>0.72908368095951326</v>
      </c>
      <c r="G130" s="48">
        <f t="shared" si="19"/>
        <v>-0.70691585746119312</v>
      </c>
      <c r="H130" s="48">
        <f t="shared" si="19"/>
        <v>-1.0815807500532482</v>
      </c>
      <c r="I130" s="48">
        <f t="shared" si="19"/>
        <v>-0.66480503144700298</v>
      </c>
      <c r="J130" s="48">
        <f t="shared" si="19"/>
        <v>-7.5621709334999843E-2</v>
      </c>
      <c r="K130" s="48">
        <f t="shared" si="19"/>
        <v>2.6420126251359005E-2</v>
      </c>
      <c r="L130" s="48">
        <f t="shared" si="19"/>
        <v>0</v>
      </c>
      <c r="M130" s="50"/>
      <c r="N130" s="24"/>
      <c r="O130" s="24"/>
      <c r="P130" s="24"/>
      <c r="Q130" s="24"/>
      <c r="R130" s="24"/>
    </row>
    <row r="131" spans="1:18" x14ac:dyDescent="0.25">
      <c r="A131" s="24"/>
      <c r="B131" s="28">
        <v>1</v>
      </c>
      <c r="C131" s="48">
        <f t="shared" si="19"/>
        <v>-7.1427709363249409E-2</v>
      </c>
      <c r="D131" s="48">
        <f t="shared" si="19"/>
        <v>0.22925662673108718</v>
      </c>
      <c r="E131" s="48">
        <f t="shared" si="19"/>
        <v>-0.72882356369882717</v>
      </c>
      <c r="F131" s="48">
        <f t="shared" si="19"/>
        <v>0.64274079282465069</v>
      </c>
      <c r="G131" s="48">
        <f t="shared" si="19"/>
        <v>0.2053755835667139</v>
      </c>
      <c r="H131" s="48">
        <f t="shared" si="19"/>
        <v>-0.24889887268144548</v>
      </c>
      <c r="I131" s="48">
        <f t="shared" si="19"/>
        <v>0.34944366179796926</v>
      </c>
      <c r="J131" s="48">
        <f t="shared" si="19"/>
        <v>0.32025709316881484</v>
      </c>
      <c r="K131" s="48">
        <f t="shared" si="19"/>
        <v>-2.6869723229891399E-2</v>
      </c>
      <c r="L131" s="24"/>
      <c r="M131" s="28"/>
      <c r="N131" s="24"/>
      <c r="O131" s="24"/>
      <c r="P131" s="24"/>
      <c r="Q131" s="24"/>
      <c r="R131" s="24"/>
    </row>
    <row r="132" spans="1:18" x14ac:dyDescent="0.25">
      <c r="A132" s="24"/>
      <c r="B132" s="28">
        <v>2</v>
      </c>
      <c r="C132" s="48">
        <f t="shared" si="19"/>
        <v>0.23629139343206723</v>
      </c>
      <c r="D132" s="48">
        <f t="shared" si="19"/>
        <v>-0.43013310666864529</v>
      </c>
      <c r="E132" s="48">
        <f t="shared" si="19"/>
        <v>0.14005694492606779</v>
      </c>
      <c r="F132" s="48">
        <f t="shared" si="19"/>
        <v>-0.5490379662897994</v>
      </c>
      <c r="G132" s="48">
        <f t="shared" si="19"/>
        <v>-1.4852682102131463</v>
      </c>
      <c r="H132" s="48">
        <f t="shared" si="19"/>
        <v>-0.62933339624642515</v>
      </c>
      <c r="I132" s="48">
        <f t="shared" si="19"/>
        <v>0.22793671908719362</v>
      </c>
      <c r="J132" s="48">
        <f t="shared" si="19"/>
        <v>-0.24313874648977818</v>
      </c>
      <c r="K132" s="49"/>
      <c r="L132" s="24"/>
      <c r="M132" s="46"/>
      <c r="N132" s="24"/>
      <c r="O132" s="24"/>
      <c r="P132" s="24"/>
      <c r="Q132" s="24"/>
      <c r="R132" s="24"/>
    </row>
    <row r="133" spans="1:18" x14ac:dyDescent="0.25">
      <c r="A133" s="24"/>
      <c r="B133" s="28">
        <v>3</v>
      </c>
      <c r="C133" s="48">
        <f t="shared" si="19"/>
        <v>0.24626272915322647</v>
      </c>
      <c r="D133" s="48">
        <f t="shared" si="19"/>
        <v>-0.48858564056878023</v>
      </c>
      <c r="E133" s="48">
        <f t="shared" si="19"/>
        <v>-0.17543038973403674</v>
      </c>
      <c r="F133" s="48">
        <f t="shared" si="19"/>
        <v>-0.29507309383413344</v>
      </c>
      <c r="G133" s="48">
        <f t="shared" si="19"/>
        <v>0.59188427482479233</v>
      </c>
      <c r="H133" s="48">
        <f t="shared" si="19"/>
        <v>0.13819044401127722</v>
      </c>
      <c r="I133" s="48">
        <f t="shared" si="19"/>
        <v>9.6693535848889775E-2</v>
      </c>
      <c r="J133" s="49"/>
      <c r="K133" s="49"/>
      <c r="L133" s="24"/>
      <c r="M133" s="24"/>
      <c r="N133" s="24"/>
      <c r="O133" s="24"/>
      <c r="P133" s="24"/>
      <c r="Q133" s="24"/>
      <c r="R133" s="24"/>
    </row>
    <row r="134" spans="1:18" x14ac:dyDescent="0.25">
      <c r="A134" s="24"/>
      <c r="B134" s="28">
        <v>4</v>
      </c>
      <c r="C134" s="48">
        <f t="shared" si="19"/>
        <v>-0.66178605010718483</v>
      </c>
      <c r="D134" s="48">
        <f t="shared" si="19"/>
        <v>1.4349015828871023</v>
      </c>
      <c r="E134" s="48">
        <f t="shared" si="19"/>
        <v>-0.62704339653869745</v>
      </c>
      <c r="F134" s="48">
        <f t="shared" si="19"/>
        <v>0.2506090915571495</v>
      </c>
      <c r="G134" s="48">
        <f t="shared" si="19"/>
        <v>1.6805895336307282</v>
      </c>
      <c r="H134" s="48">
        <f t="shared" si="19"/>
        <v>1.7005658898176703</v>
      </c>
      <c r="I134" s="49"/>
      <c r="J134" s="49"/>
      <c r="K134" s="49"/>
      <c r="L134" s="24"/>
      <c r="M134" s="24"/>
      <c r="N134" s="24"/>
      <c r="O134" s="24"/>
      <c r="P134" s="24"/>
      <c r="Q134" s="24"/>
      <c r="R134" s="24"/>
    </row>
    <row r="135" spans="1:18" x14ac:dyDescent="0.25">
      <c r="A135" s="24"/>
      <c r="B135" s="28">
        <v>5</v>
      </c>
      <c r="C135" s="48">
        <f t="shared" si="19"/>
        <v>-1.3007699810032418</v>
      </c>
      <c r="D135" s="48">
        <f t="shared" si="19"/>
        <v>2.2080773274360523</v>
      </c>
      <c r="E135" s="48">
        <f t="shared" si="19"/>
        <v>3.6613361787025083</v>
      </c>
      <c r="F135" s="48">
        <f t="shared" si="19"/>
        <v>-1.5539625444665581</v>
      </c>
      <c r="G135" s="48">
        <f t="shared" si="19"/>
        <v>-0.35419712497655681</v>
      </c>
      <c r="H135" s="49"/>
      <c r="I135" s="49"/>
      <c r="J135" s="49"/>
      <c r="K135" s="49"/>
      <c r="L135" s="24"/>
      <c r="M135" s="24"/>
      <c r="N135" s="24"/>
      <c r="O135" s="24"/>
      <c r="P135" s="24"/>
      <c r="Q135" s="24"/>
      <c r="R135" s="24"/>
    </row>
    <row r="136" spans="1:18" x14ac:dyDescent="0.25">
      <c r="A136" s="24"/>
      <c r="B136" s="28">
        <v>6</v>
      </c>
      <c r="C136" s="48">
        <f>SQRT($E$6/$E$8)*C104/SQRT($E$9)</f>
        <v>-0.485254799863371</v>
      </c>
      <c r="D136" s="48">
        <f>SQRT($E$6/$E$8)*D104/SQRT($E$9)</f>
        <v>1.0588965215624024</v>
      </c>
      <c r="E136" s="48">
        <f>SQRT($E$6/$E$8)*E104/SQRT($E$9)</f>
        <v>-0.46335690976775662</v>
      </c>
      <c r="F136" s="48">
        <f>SQRT($E$6/$E$8)*F104/SQRT($E$9)</f>
        <v>0.88607435382730426</v>
      </c>
      <c r="G136" s="49"/>
      <c r="H136" s="49"/>
      <c r="I136" s="49"/>
      <c r="J136" s="49"/>
      <c r="K136" s="49"/>
      <c r="L136" s="24"/>
      <c r="M136" s="24"/>
      <c r="N136" s="24"/>
      <c r="O136" s="24"/>
      <c r="P136" s="24"/>
      <c r="Q136" s="24"/>
      <c r="R136" s="24"/>
    </row>
    <row r="137" spans="1:18" x14ac:dyDescent="0.25">
      <c r="A137" s="24"/>
      <c r="B137" s="28">
        <v>7</v>
      </c>
      <c r="C137" s="48">
        <f>SQRT($E$6/$E$8)*C105/SQRT($E$9)</f>
        <v>0.62946721510255332</v>
      </c>
      <c r="D137" s="48">
        <f>SQRT($E$6/$E$8)*D105/SQRT($E$9)</f>
        <v>-0.99524152509708463</v>
      </c>
      <c r="E137" s="48">
        <f>SQRT($E$6/$E$8)*E105/SQRT($E$9)</f>
        <v>-1.7722432585713295</v>
      </c>
      <c r="F137" s="49"/>
      <c r="G137" s="49"/>
      <c r="H137" s="49"/>
      <c r="I137" s="49"/>
      <c r="J137" s="49"/>
      <c r="K137" s="49"/>
      <c r="L137" s="24"/>
      <c r="M137" s="24"/>
      <c r="N137" s="24"/>
      <c r="O137" s="24"/>
      <c r="P137" s="24"/>
      <c r="Q137" s="24"/>
      <c r="R137" s="24"/>
    </row>
    <row r="138" spans="1:18" x14ac:dyDescent="0.25">
      <c r="A138" s="24"/>
      <c r="B138" s="28">
        <v>8</v>
      </c>
      <c r="C138" s="48">
        <f>SQRT($E$6/$E$8)*C106/SQRT($E$9)</f>
        <v>1.2481420544394741</v>
      </c>
      <c r="D138" s="48">
        <f>SQRT($E$6/$E$8)*D106/SQRT($E$9)</f>
        <v>-2.6903845305413125</v>
      </c>
      <c r="E138" s="49"/>
      <c r="F138" s="49"/>
      <c r="G138" s="49"/>
      <c r="H138" s="49"/>
      <c r="I138" s="49"/>
      <c r="J138" s="49"/>
      <c r="K138" s="49"/>
      <c r="L138" s="24"/>
      <c r="M138" s="24"/>
      <c r="N138" s="24"/>
      <c r="O138" s="24"/>
      <c r="P138" s="24"/>
      <c r="Q138" s="24"/>
      <c r="R138" s="24"/>
    </row>
    <row r="139" spans="1:18" x14ac:dyDescent="0.25">
      <c r="A139" s="24"/>
      <c r="B139" s="28">
        <v>9</v>
      </c>
      <c r="C139" s="48">
        <f>SQRT($E$6/$E$8)*C107/SQRT($E$9)</f>
        <v>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</row>
    <row r="140" spans="1:18" x14ac:dyDescent="0.25">
      <c r="A140" s="24"/>
      <c r="B140" s="24"/>
      <c r="C140" s="28"/>
      <c r="D140" s="50"/>
      <c r="E140" s="46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</row>
    <row r="141" spans="1:18" x14ac:dyDescent="0.25">
      <c r="A141" s="24"/>
      <c r="B141" s="28" t="s">
        <v>81</v>
      </c>
      <c r="C141" s="51">
        <f>IF(E4=TRUE,COUNT(C130:K138),COUNT(C130:J139))</f>
        <v>53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</row>
    <row r="142" spans="1:18" x14ac:dyDescent="0.25">
      <c r="A142" s="24"/>
      <c r="B142" s="44" t="s">
        <v>82</v>
      </c>
      <c r="C142" s="52">
        <f>SUM(C130:L139)/C141</f>
        <v>-2.988219921665427E-3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</row>
    <row r="143" spans="1:18" x14ac:dyDescent="0.2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</row>
    <row r="144" spans="1:18" x14ac:dyDescent="0.2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</row>
    <row r="145" spans="1:18" x14ac:dyDescent="0.25">
      <c r="A145" s="24"/>
      <c r="B145" s="24"/>
      <c r="C145" s="42" t="s">
        <v>83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</row>
    <row r="146" spans="1:18" x14ac:dyDescent="0.2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</row>
    <row r="147" spans="1:18" x14ac:dyDescent="0.25">
      <c r="A147" s="24"/>
      <c r="B147" s="24"/>
      <c r="C147" s="28">
        <v>0</v>
      </c>
      <c r="D147" s="28">
        <v>1</v>
      </c>
      <c r="E147" s="28">
        <v>2</v>
      </c>
      <c r="F147" s="28">
        <v>3</v>
      </c>
      <c r="G147" s="28">
        <v>4</v>
      </c>
      <c r="H147" s="28">
        <v>5</v>
      </c>
      <c r="I147" s="28">
        <v>6</v>
      </c>
      <c r="J147" s="28">
        <v>7</v>
      </c>
      <c r="K147" s="28">
        <v>8</v>
      </c>
      <c r="L147" s="28">
        <v>9</v>
      </c>
      <c r="M147" s="24"/>
      <c r="N147" s="24"/>
      <c r="O147" s="24"/>
      <c r="P147" s="24"/>
      <c r="Q147" s="24"/>
      <c r="R147" s="24"/>
    </row>
    <row r="148" spans="1:18" x14ac:dyDescent="0.25">
      <c r="A148" s="24"/>
      <c r="B148" s="28">
        <v>0</v>
      </c>
      <c r="C148" s="48">
        <f t="shared" ref="C148:L153" si="20">C130-$C$159</f>
        <v>8.6982313047922685E-2</v>
      </c>
      <c r="D148" s="48">
        <f t="shared" si="20"/>
        <v>-0.12273805422740794</v>
      </c>
      <c r="E148" s="48">
        <f t="shared" si="20"/>
        <v>-0.24702472220265792</v>
      </c>
      <c r="F148" s="48">
        <f t="shared" si="20"/>
        <v>0.73207190088117868</v>
      </c>
      <c r="G148" s="48">
        <f t="shared" si="20"/>
        <v>-0.7039276375395277</v>
      </c>
      <c r="H148" s="48">
        <f t="shared" si="20"/>
        <v>-1.0785925301315826</v>
      </c>
      <c r="I148" s="48">
        <f t="shared" si="20"/>
        <v>-0.66181681152533756</v>
      </c>
      <c r="J148" s="48">
        <f t="shared" si="20"/>
        <v>-7.2633489413334418E-2</v>
      </c>
      <c r="K148" s="48">
        <f t="shared" si="20"/>
        <v>2.9408346173024433E-2</v>
      </c>
      <c r="L148" s="48">
        <f t="shared" si="20"/>
        <v>2.988219921665427E-3</v>
      </c>
      <c r="M148" s="24"/>
      <c r="N148" s="24"/>
      <c r="O148" s="24"/>
      <c r="P148" s="24"/>
      <c r="Q148" s="24"/>
      <c r="R148" s="24"/>
    </row>
    <row r="149" spans="1:18" x14ac:dyDescent="0.25">
      <c r="A149" s="24"/>
      <c r="B149" s="28">
        <v>1</v>
      </c>
      <c r="C149" s="48">
        <f t="shared" si="20"/>
        <v>-6.8439489441583984E-2</v>
      </c>
      <c r="D149" s="48">
        <f t="shared" si="20"/>
        <v>0.23224484665275261</v>
      </c>
      <c r="E149" s="48">
        <f t="shared" si="20"/>
        <v>-0.72583534377716175</v>
      </c>
      <c r="F149" s="48">
        <f t="shared" si="20"/>
        <v>0.64572901274631611</v>
      </c>
      <c r="G149" s="48">
        <f t="shared" si="20"/>
        <v>0.20836380348837932</v>
      </c>
      <c r="H149" s="48">
        <f t="shared" si="20"/>
        <v>-0.24591065275978005</v>
      </c>
      <c r="I149" s="48">
        <f t="shared" si="20"/>
        <v>0.35243188171963469</v>
      </c>
      <c r="J149" s="48">
        <f t="shared" si="20"/>
        <v>0.32324531309048027</v>
      </c>
      <c r="K149" s="48">
        <f t="shared" si="20"/>
        <v>-2.3881503308225971E-2</v>
      </c>
      <c r="L149" s="24"/>
      <c r="M149" s="24"/>
      <c r="N149" s="24"/>
      <c r="O149" s="24"/>
      <c r="P149" s="24"/>
      <c r="Q149" s="24"/>
      <c r="R149" s="24"/>
    </row>
    <row r="150" spans="1:18" x14ac:dyDescent="0.25">
      <c r="A150" s="24"/>
      <c r="B150" s="28">
        <v>2</v>
      </c>
      <c r="C150" s="48">
        <f t="shared" si="20"/>
        <v>0.23927961335373266</v>
      </c>
      <c r="D150" s="48">
        <f t="shared" si="20"/>
        <v>-0.42714488674697987</v>
      </c>
      <c r="E150" s="48">
        <f t="shared" si="20"/>
        <v>0.14304516484773322</v>
      </c>
      <c r="F150" s="48">
        <f t="shared" si="20"/>
        <v>-0.54604974636813397</v>
      </c>
      <c r="G150" s="48">
        <f t="shared" si="20"/>
        <v>-1.4822799902914807</v>
      </c>
      <c r="H150" s="48">
        <f t="shared" si="20"/>
        <v>-0.62634517632475972</v>
      </c>
      <c r="I150" s="48">
        <f t="shared" si="20"/>
        <v>0.23092493900885905</v>
      </c>
      <c r="J150" s="48">
        <f t="shared" si="20"/>
        <v>-0.24015052656811275</v>
      </c>
      <c r="K150" s="49"/>
      <c r="L150" s="24"/>
      <c r="M150" s="24"/>
      <c r="N150" s="24"/>
      <c r="O150" s="24"/>
      <c r="P150" s="24"/>
      <c r="Q150" s="24"/>
      <c r="R150" s="24"/>
    </row>
    <row r="151" spans="1:18" x14ac:dyDescent="0.25">
      <c r="A151" s="24"/>
      <c r="B151" s="28">
        <v>3</v>
      </c>
      <c r="C151" s="48">
        <f t="shared" si="20"/>
        <v>0.2492509490748919</v>
      </c>
      <c r="D151" s="48">
        <f t="shared" si="20"/>
        <v>-0.48559742064711481</v>
      </c>
      <c r="E151" s="48">
        <f t="shared" si="20"/>
        <v>-0.17244216981237132</v>
      </c>
      <c r="F151" s="48">
        <f t="shared" si="20"/>
        <v>-0.29208487391246801</v>
      </c>
      <c r="G151" s="48">
        <f t="shared" si="20"/>
        <v>0.59487249474645776</v>
      </c>
      <c r="H151" s="48">
        <f t="shared" si="20"/>
        <v>0.14117866393294265</v>
      </c>
      <c r="I151" s="48">
        <f t="shared" si="20"/>
        <v>9.96817557705552E-2</v>
      </c>
      <c r="J151" s="49"/>
      <c r="K151" s="49"/>
      <c r="L151" s="24"/>
      <c r="M151" s="24"/>
      <c r="N151" s="24"/>
      <c r="O151" s="24"/>
      <c r="P151" s="24"/>
      <c r="Q151" s="24"/>
      <c r="R151" s="24"/>
    </row>
    <row r="152" spans="1:18" x14ac:dyDescent="0.25">
      <c r="A152" s="24"/>
      <c r="B152" s="28">
        <v>4</v>
      </c>
      <c r="C152" s="48">
        <f t="shared" si="20"/>
        <v>-0.65879783018551941</v>
      </c>
      <c r="D152" s="48">
        <f t="shared" si="20"/>
        <v>1.4378898028087679</v>
      </c>
      <c r="E152" s="48">
        <f t="shared" si="20"/>
        <v>-0.62405517661703203</v>
      </c>
      <c r="F152" s="48">
        <f t="shared" si="20"/>
        <v>0.25359731147881492</v>
      </c>
      <c r="G152" s="48">
        <f t="shared" si="20"/>
        <v>1.6835777535523937</v>
      </c>
      <c r="H152" s="48">
        <f t="shared" si="20"/>
        <v>1.7035541097393359</v>
      </c>
      <c r="I152" s="49"/>
      <c r="J152" s="49"/>
      <c r="K152" s="49"/>
      <c r="L152" s="24"/>
      <c r="M152" s="24"/>
      <c r="N152" s="24"/>
      <c r="O152" s="24"/>
      <c r="P152" s="24"/>
      <c r="Q152" s="24"/>
      <c r="R152" s="24"/>
    </row>
    <row r="153" spans="1:18" x14ac:dyDescent="0.25">
      <c r="A153" s="24"/>
      <c r="B153" s="28">
        <v>5</v>
      </c>
      <c r="C153" s="48">
        <f t="shared" si="20"/>
        <v>-1.2977817610815763</v>
      </c>
      <c r="D153" s="48">
        <f t="shared" si="20"/>
        <v>2.2110655473577179</v>
      </c>
      <c r="E153" s="48">
        <f t="shared" si="20"/>
        <v>3.6643243986241738</v>
      </c>
      <c r="F153" s="48">
        <f t="shared" si="20"/>
        <v>-1.5509743245448926</v>
      </c>
      <c r="G153" s="48">
        <f t="shared" si="20"/>
        <v>-0.35120890505489138</v>
      </c>
      <c r="H153" s="49"/>
      <c r="I153" s="49"/>
      <c r="J153" s="49"/>
      <c r="K153" s="49"/>
      <c r="L153" s="24"/>
      <c r="M153" s="24"/>
      <c r="N153" s="24"/>
      <c r="O153" s="24"/>
      <c r="P153" s="24"/>
      <c r="Q153" s="24"/>
      <c r="R153" s="24"/>
    </row>
    <row r="154" spans="1:18" x14ac:dyDescent="0.25">
      <c r="A154" s="24"/>
      <c r="B154" s="28">
        <v>6</v>
      </c>
      <c r="C154" s="48">
        <f>C136-$C$159</f>
        <v>-0.48226657994170558</v>
      </c>
      <c r="D154" s="48">
        <f>D136-$C$159</f>
        <v>1.061884741484068</v>
      </c>
      <c r="E154" s="48">
        <f>E136-$C$159</f>
        <v>-0.46036868984609119</v>
      </c>
      <c r="F154" s="48">
        <f>F136-$C$159</f>
        <v>0.88906257374896969</v>
      </c>
      <c r="G154" s="49"/>
      <c r="H154" s="49"/>
      <c r="I154" s="49"/>
      <c r="J154" s="49"/>
      <c r="K154" s="49"/>
      <c r="L154" s="24"/>
      <c r="M154" s="24"/>
      <c r="N154" s="24"/>
      <c r="O154" s="24"/>
      <c r="P154" s="24"/>
      <c r="Q154" s="24"/>
      <c r="R154" s="24"/>
    </row>
    <row r="155" spans="1:18" x14ac:dyDescent="0.25">
      <c r="A155" s="24"/>
      <c r="B155" s="28">
        <v>7</v>
      </c>
      <c r="C155" s="48">
        <f>C137-$C$159</f>
        <v>0.63245543502421875</v>
      </c>
      <c r="D155" s="48">
        <f>D137-$C$159</f>
        <v>-0.99225330517541921</v>
      </c>
      <c r="E155" s="48">
        <f>E137-$C$159</f>
        <v>-1.7692550386496639</v>
      </c>
      <c r="F155" s="49"/>
      <c r="G155" s="49"/>
      <c r="H155" s="49"/>
      <c r="I155" s="49"/>
      <c r="J155" s="49"/>
      <c r="K155" s="49"/>
      <c r="L155" s="24"/>
      <c r="M155" s="24"/>
      <c r="N155" s="24"/>
      <c r="O155" s="24"/>
      <c r="P155" s="24"/>
      <c r="Q155" s="24"/>
      <c r="R155" s="24"/>
    </row>
    <row r="156" spans="1:18" x14ac:dyDescent="0.25">
      <c r="A156" s="24"/>
      <c r="B156" s="28">
        <v>8</v>
      </c>
      <c r="C156" s="48">
        <f>C138-$C$159</f>
        <v>1.2511302743611397</v>
      </c>
      <c r="D156" s="48">
        <f>D138-$C$159</f>
        <v>-2.687396310619647</v>
      </c>
      <c r="E156" s="49"/>
      <c r="F156" s="49"/>
      <c r="G156" s="49"/>
      <c r="H156" s="49"/>
      <c r="I156" s="49"/>
      <c r="J156" s="49"/>
      <c r="K156" s="49"/>
      <c r="L156" s="24"/>
      <c r="M156" s="24"/>
      <c r="N156" s="24"/>
      <c r="O156" s="24"/>
      <c r="P156" s="24"/>
      <c r="Q156" s="24"/>
      <c r="R156" s="24"/>
    </row>
    <row r="157" spans="1:18" x14ac:dyDescent="0.25">
      <c r="A157" s="24"/>
      <c r="B157" s="28">
        <v>9</v>
      </c>
      <c r="C157" s="48">
        <f>C139-$C$159</f>
        <v>2.988219921665427E-3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</row>
    <row r="158" spans="1:18" x14ac:dyDescent="0.25">
      <c r="A158" s="24"/>
      <c r="B158" s="28"/>
      <c r="C158" s="46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</row>
    <row r="159" spans="1:18" x14ac:dyDescent="0.25">
      <c r="A159" s="24"/>
      <c r="B159" s="44" t="s">
        <v>84</v>
      </c>
      <c r="C159" s="52">
        <f>IF($E$5=TRUE,C142,0)</f>
        <v>-2.988219921665427E-3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</row>
    <row r="160" spans="1:18" x14ac:dyDescent="0.25">
      <c r="A160" s="24"/>
      <c r="B160" s="44"/>
      <c r="C160" s="46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</row>
    <row r="161" spans="1:18" x14ac:dyDescent="0.2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</row>
    <row r="162" spans="1:18" x14ac:dyDescent="0.25">
      <c r="A162" s="24"/>
      <c r="B162" s="24"/>
      <c r="C162" s="42" t="s">
        <v>85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</row>
    <row r="163" spans="1:18" x14ac:dyDescent="0.25">
      <c r="A163" s="24"/>
      <c r="B163" s="24"/>
      <c r="C163" s="28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</row>
    <row r="164" spans="1:18" x14ac:dyDescent="0.25">
      <c r="A164" s="24"/>
      <c r="B164" s="24"/>
      <c r="C164" s="28">
        <v>0</v>
      </c>
      <c r="D164" s="28">
        <v>1</v>
      </c>
      <c r="E164" s="28">
        <v>2</v>
      </c>
      <c r="F164" s="28">
        <v>3</v>
      </c>
      <c r="G164" s="28">
        <v>4</v>
      </c>
      <c r="H164" s="28">
        <v>5</v>
      </c>
      <c r="I164" s="28">
        <v>6</v>
      </c>
      <c r="J164" s="28">
        <v>7</v>
      </c>
      <c r="K164" s="28">
        <v>8</v>
      </c>
      <c r="L164" s="28">
        <v>9</v>
      </c>
      <c r="M164" s="24"/>
      <c r="N164" s="24"/>
      <c r="O164" s="24"/>
      <c r="P164" s="24"/>
      <c r="Q164" s="24"/>
      <c r="R164" s="24"/>
    </row>
    <row r="165" spans="1:18" x14ac:dyDescent="0.25">
      <c r="A165" s="24"/>
      <c r="B165" s="28">
        <v>0</v>
      </c>
      <c r="C165" s="48">
        <f t="shared" ref="C165:C174" ca="1" si="21">F272</f>
        <v>-0.24591065275978005</v>
      </c>
      <c r="D165" s="48">
        <f ca="1">F282</f>
        <v>0.25359731147881492</v>
      </c>
      <c r="E165" s="48">
        <f ca="1">F291</f>
        <v>-0.24591065275978005</v>
      </c>
      <c r="F165" s="48">
        <f ca="1">F299</f>
        <v>2.9408346173024433E-2</v>
      </c>
      <c r="G165" s="48">
        <f ca="1">F306</f>
        <v>-0.48226657994170558</v>
      </c>
      <c r="H165" s="48">
        <f ca="1">F312</f>
        <v>-1.7692550386496639</v>
      </c>
      <c r="I165" s="48">
        <f ca="1">F317</f>
        <v>0.14117866393294265</v>
      </c>
      <c r="J165" s="48">
        <f ca="1">F321</f>
        <v>-1.4822799902914807</v>
      </c>
      <c r="K165" s="48">
        <f ca="1">F324</f>
        <v>2.2110655473577179</v>
      </c>
      <c r="L165" s="48">
        <f ca="1">F326</f>
        <v>-0.29208487391246801</v>
      </c>
      <c r="M165" s="24"/>
      <c r="N165" s="24"/>
      <c r="O165" s="24"/>
      <c r="P165" s="24"/>
      <c r="Q165" s="24"/>
      <c r="R165" s="24"/>
    </row>
    <row r="166" spans="1:18" x14ac:dyDescent="0.25">
      <c r="A166" s="24"/>
      <c r="B166" s="28">
        <v>1</v>
      </c>
      <c r="C166" s="48">
        <f t="shared" ca="1" si="21"/>
        <v>-0.42714488674697987</v>
      </c>
      <c r="D166" s="48">
        <f ca="1">F283</f>
        <v>-7.2633489413334418E-2</v>
      </c>
      <c r="E166" s="48">
        <f ca="1">F292</f>
        <v>1.7035541097393359</v>
      </c>
      <c r="F166" s="48">
        <f ca="1">F300</f>
        <v>-7.2633489413334418E-2</v>
      </c>
      <c r="G166" s="48">
        <f ca="1">F307</f>
        <v>0.25359731147881492</v>
      </c>
      <c r="H166" s="48">
        <f t="shared" ref="H166:H169" ca="1" si="22">F313</f>
        <v>2.988219921665427E-3</v>
      </c>
      <c r="I166" s="48">
        <f t="shared" ref="I166:I168" ca="1" si="23">F318</f>
        <v>-0.99225330517541921</v>
      </c>
      <c r="J166" s="48">
        <f ca="1">F322</f>
        <v>-0.62634517632475972</v>
      </c>
      <c r="K166" s="48">
        <f ca="1">F325</f>
        <v>2.9408346173024433E-2</v>
      </c>
      <c r="L166" s="24"/>
      <c r="M166" s="24"/>
      <c r="N166" s="24"/>
      <c r="O166" s="24"/>
      <c r="P166" s="24"/>
      <c r="Q166" s="24"/>
      <c r="R166" s="24"/>
    </row>
    <row r="167" spans="1:18" x14ac:dyDescent="0.25">
      <c r="A167" s="24"/>
      <c r="B167" s="28">
        <v>2</v>
      </c>
      <c r="C167" s="48">
        <f t="shared" ca="1" si="21"/>
        <v>-0.65879783018551941</v>
      </c>
      <c r="D167" s="48">
        <f t="shared" ref="D167:D173" ca="1" si="24">F284</f>
        <v>-0.48226657994170558</v>
      </c>
      <c r="E167" s="48">
        <f t="shared" ref="E167:E172" ca="1" si="25">F293</f>
        <v>-0.29208487391246801</v>
      </c>
      <c r="F167" s="48">
        <f t="shared" ref="F167:F171" ca="1" si="26">F301</f>
        <v>0.63245543502421875</v>
      </c>
      <c r="G167" s="48">
        <f t="shared" ref="G167:G170" ca="1" si="27">F308</f>
        <v>-6.8439489441583984E-2</v>
      </c>
      <c r="H167" s="48">
        <f t="shared" ca="1" si="22"/>
        <v>-0.24591065275978005</v>
      </c>
      <c r="I167" s="48">
        <f t="shared" ca="1" si="23"/>
        <v>1.4378898028087679</v>
      </c>
      <c r="J167" s="48">
        <f ca="1">F323</f>
        <v>9.96817557705552E-2</v>
      </c>
      <c r="K167" s="49"/>
      <c r="L167" s="24"/>
      <c r="M167" s="24"/>
      <c r="N167" s="24"/>
      <c r="O167" s="24"/>
      <c r="P167" s="24"/>
      <c r="Q167" s="24"/>
      <c r="R167" s="24"/>
    </row>
    <row r="168" spans="1:18" x14ac:dyDescent="0.25">
      <c r="A168" s="24"/>
      <c r="B168" s="28">
        <v>3</v>
      </c>
      <c r="C168" s="48">
        <f t="shared" ca="1" si="21"/>
        <v>-0.12273805422740794</v>
      </c>
      <c r="D168" s="48">
        <f t="shared" ca="1" si="24"/>
        <v>0.32324531309048027</v>
      </c>
      <c r="E168" s="48">
        <f t="shared" ca="1" si="25"/>
        <v>3.6643243986241738</v>
      </c>
      <c r="F168" s="48">
        <f t="shared" ca="1" si="26"/>
        <v>0.23927961335373266</v>
      </c>
      <c r="G168" s="48">
        <f t="shared" ca="1" si="27"/>
        <v>-0.29208487391246801</v>
      </c>
      <c r="H168" s="48">
        <f t="shared" ca="1" si="22"/>
        <v>1.2511302743611397</v>
      </c>
      <c r="I168" s="48">
        <f t="shared" ca="1" si="23"/>
        <v>-1.4822799902914807</v>
      </c>
      <c r="J168" s="49"/>
      <c r="K168" s="49"/>
      <c r="L168" s="24"/>
      <c r="M168" s="24"/>
      <c r="N168" s="24"/>
      <c r="O168" s="24"/>
      <c r="P168" s="24"/>
      <c r="Q168" s="24"/>
      <c r="R168" s="24"/>
    </row>
    <row r="169" spans="1:18" x14ac:dyDescent="0.25">
      <c r="A169" s="24"/>
      <c r="B169" s="28">
        <v>4</v>
      </c>
      <c r="C169" s="48">
        <f t="shared" ca="1" si="21"/>
        <v>-7.2633489413334418E-2</v>
      </c>
      <c r="D169" s="48">
        <f t="shared" ca="1" si="24"/>
        <v>0.14117866393294265</v>
      </c>
      <c r="E169" s="48">
        <f t="shared" ca="1" si="25"/>
        <v>2.9408346173024433E-2</v>
      </c>
      <c r="F169" s="48">
        <f t="shared" ca="1" si="26"/>
        <v>1.061884741484068</v>
      </c>
      <c r="G169" s="48">
        <f t="shared" ca="1" si="27"/>
        <v>-0.24591065275978005</v>
      </c>
      <c r="H169" s="48">
        <f t="shared" ca="1" si="22"/>
        <v>-6.8439489441583984E-2</v>
      </c>
      <c r="I169" s="49"/>
      <c r="J169" s="49"/>
      <c r="K169" s="49"/>
      <c r="L169" s="24"/>
      <c r="M169" s="24"/>
      <c r="N169" s="24"/>
      <c r="O169" s="24"/>
      <c r="P169" s="24"/>
      <c r="Q169" s="24"/>
      <c r="R169" s="24"/>
    </row>
    <row r="170" spans="1:18" x14ac:dyDescent="0.25">
      <c r="A170" s="24"/>
      <c r="B170" s="28">
        <v>5</v>
      </c>
      <c r="C170" s="48">
        <f t="shared" ca="1" si="21"/>
        <v>-0.48559742064711481</v>
      </c>
      <c r="D170" s="48">
        <f t="shared" ca="1" si="24"/>
        <v>-1.7692550386496639</v>
      </c>
      <c r="E170" s="48">
        <f t="shared" ca="1" si="25"/>
        <v>2.988219921665427E-3</v>
      </c>
      <c r="F170" s="48">
        <f t="shared" ca="1" si="26"/>
        <v>-0.54604974636813397</v>
      </c>
      <c r="G170" s="48">
        <f t="shared" ca="1" si="27"/>
        <v>-1.5509743245448926</v>
      </c>
      <c r="H170" s="49"/>
      <c r="I170" s="49"/>
      <c r="J170" s="49"/>
      <c r="K170" s="49"/>
      <c r="L170" s="24"/>
      <c r="M170" s="24"/>
      <c r="N170" s="24"/>
      <c r="O170" s="24"/>
      <c r="P170" s="24"/>
      <c r="Q170" s="24"/>
      <c r="R170" s="24"/>
    </row>
    <row r="171" spans="1:18" x14ac:dyDescent="0.25">
      <c r="A171" s="24"/>
      <c r="B171" s="28">
        <v>6</v>
      </c>
      <c r="C171" s="48">
        <f t="shared" ca="1" si="21"/>
        <v>1.6835777535523937</v>
      </c>
      <c r="D171" s="48">
        <f t="shared" ca="1" si="24"/>
        <v>0.20836380348837932</v>
      </c>
      <c r="E171" s="48">
        <f t="shared" ca="1" si="25"/>
        <v>0.14117866393294265</v>
      </c>
      <c r="F171" s="48">
        <f t="shared" ca="1" si="26"/>
        <v>-0.17244216981237132</v>
      </c>
      <c r="G171" s="49"/>
      <c r="H171" s="49"/>
      <c r="I171" s="49"/>
      <c r="J171" s="49"/>
      <c r="K171" s="49"/>
      <c r="L171" s="24"/>
      <c r="M171" s="24"/>
      <c r="N171" s="24"/>
      <c r="O171" s="24"/>
      <c r="P171" s="24"/>
      <c r="Q171" s="24"/>
      <c r="R171" s="24"/>
    </row>
    <row r="172" spans="1:18" x14ac:dyDescent="0.25">
      <c r="A172" s="24"/>
      <c r="B172" s="28">
        <v>7</v>
      </c>
      <c r="C172" s="48">
        <f t="shared" ca="1" si="21"/>
        <v>-0.24591065275978005</v>
      </c>
      <c r="D172" s="48">
        <f t="shared" ca="1" si="24"/>
        <v>8.6982313047922685E-2</v>
      </c>
      <c r="E172" s="48">
        <f t="shared" ca="1" si="25"/>
        <v>8.6982313047922685E-2</v>
      </c>
      <c r="F172" s="49"/>
      <c r="G172" s="49"/>
      <c r="H172" s="49"/>
      <c r="I172" s="49"/>
      <c r="J172" s="49"/>
      <c r="K172" s="49"/>
      <c r="L172" s="24"/>
      <c r="M172" s="24"/>
      <c r="N172" s="24"/>
      <c r="O172" s="24"/>
      <c r="P172" s="24"/>
      <c r="Q172" s="24"/>
      <c r="R172" s="24"/>
    </row>
    <row r="173" spans="1:18" x14ac:dyDescent="0.25">
      <c r="A173" s="24"/>
      <c r="B173" s="28">
        <v>8</v>
      </c>
      <c r="C173" s="48">
        <f t="shared" ca="1" si="21"/>
        <v>-2.687396310619647</v>
      </c>
      <c r="D173" s="48">
        <f t="shared" ca="1" si="24"/>
        <v>9.96817557705552E-2</v>
      </c>
      <c r="E173" s="49"/>
      <c r="F173" s="49"/>
      <c r="G173" s="49"/>
      <c r="H173" s="49"/>
      <c r="I173" s="49"/>
      <c r="J173" s="49"/>
      <c r="K173" s="49"/>
      <c r="L173" s="24"/>
      <c r="M173" s="24"/>
      <c r="N173" s="24"/>
      <c r="O173" s="24"/>
      <c r="P173" s="24"/>
      <c r="Q173" s="24"/>
      <c r="R173" s="24"/>
    </row>
    <row r="174" spans="1:18" x14ac:dyDescent="0.25">
      <c r="A174" s="24"/>
      <c r="B174" s="28">
        <v>9</v>
      </c>
      <c r="C174" s="48">
        <f t="shared" ca="1" si="21"/>
        <v>1.6835777535523937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</row>
    <row r="175" spans="1:18" x14ac:dyDescent="0.2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</row>
    <row r="176" spans="1:18" x14ac:dyDescent="0.2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</row>
    <row r="177" spans="1:18" x14ac:dyDescent="0.25">
      <c r="A177" s="24"/>
      <c r="B177" s="24"/>
      <c r="C177" s="42" t="s">
        <v>86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</row>
    <row r="178" spans="1:18" x14ac:dyDescent="0.25">
      <c r="A178" s="24"/>
      <c r="B178" s="24"/>
      <c r="C178" s="28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</row>
    <row r="179" spans="1:18" x14ac:dyDescent="0.25">
      <c r="A179" s="24"/>
      <c r="B179" s="24"/>
      <c r="C179" s="28">
        <v>0</v>
      </c>
      <c r="D179" s="28">
        <v>1</v>
      </c>
      <c r="E179" s="28">
        <v>2</v>
      </c>
      <c r="F179" s="28">
        <v>3</v>
      </c>
      <c r="G179" s="28">
        <v>4</v>
      </c>
      <c r="H179" s="28">
        <v>5</v>
      </c>
      <c r="I179" s="28">
        <v>6</v>
      </c>
      <c r="J179" s="28">
        <v>7</v>
      </c>
      <c r="K179" s="28">
        <v>8</v>
      </c>
      <c r="L179" s="28">
        <v>9</v>
      </c>
      <c r="M179" s="24"/>
      <c r="N179" s="24"/>
      <c r="O179" s="24"/>
      <c r="P179" s="24"/>
      <c r="Q179" s="24"/>
      <c r="R179" s="24"/>
    </row>
    <row r="180" spans="1:18" x14ac:dyDescent="0.25">
      <c r="A180" s="24"/>
      <c r="B180" s="28">
        <v>0</v>
      </c>
      <c r="C180" s="40">
        <f t="shared" ref="C180:F184" ca="1" si="28">C165*SQRT($E$9*C83)+C83</f>
        <v>4219286.2301434083</v>
      </c>
      <c r="D180" s="40">
        <f t="shared" ca="1" si="28"/>
        <v>931403.60151544702</v>
      </c>
      <c r="E180" s="40">
        <f t="shared" ca="1" si="28"/>
        <v>34923.522766133683</v>
      </c>
      <c r="F180" s="40">
        <f t="shared" ca="1" si="28"/>
        <v>7936.7853149064204</v>
      </c>
      <c r="G180" s="40">
        <f ca="1">G165*SQRT($E$9*ABS(G83))+G83</f>
        <v>-1183.3758517435645</v>
      </c>
      <c r="H180" s="40">
        <f ca="1">H165*SQRT($E$9*ABS(H83))+H83</f>
        <v>-4873.8209259605328</v>
      </c>
      <c r="I180" s="40">
        <f ca="1">I165*SQRT($E$9*ABS(I83))+I83</f>
        <v>-359.88897134412582</v>
      </c>
      <c r="J180" s="40">
        <f ca="1">J165*SQRT($E$9*IMABS(J83))+J83</f>
        <v>-3747.5478974277576</v>
      </c>
      <c r="K180" s="40">
        <f ca="1">K165*SQRT($E$9*ABS(K83))+K83</f>
        <v>3091.8376158531687</v>
      </c>
      <c r="L180" s="40">
        <f ca="1">L165*SQRT($E$9*ABS(L83))+L83</f>
        <v>-842.17488527991827</v>
      </c>
      <c r="M180" s="24"/>
      <c r="N180" s="24"/>
      <c r="O180" s="24"/>
      <c r="P180" s="24"/>
      <c r="Q180" s="24"/>
      <c r="R180" s="24"/>
    </row>
    <row r="181" spans="1:18" x14ac:dyDescent="0.25">
      <c r="A181" s="24"/>
      <c r="B181" s="28">
        <v>1</v>
      </c>
      <c r="C181" s="40">
        <f t="shared" ca="1" si="28"/>
        <v>4054381.7588361274</v>
      </c>
      <c r="D181" s="40">
        <f t="shared" ca="1" si="28"/>
        <v>880437.30360847316</v>
      </c>
      <c r="E181" s="40">
        <f t="shared" ca="1" si="28"/>
        <v>58488.861051955522</v>
      </c>
      <c r="F181" s="40">
        <f t="shared" ca="1" si="28"/>
        <v>7090.7554931686363</v>
      </c>
      <c r="G181" s="40">
        <f t="shared" ref="G181:I185" ca="1" si="29">G166*SQRT($E$9*ABS(G84))+G84</f>
        <v>-103.58380895019621</v>
      </c>
      <c r="H181" s="40">
        <f t="shared" ca="1" si="29"/>
        <v>-1018.2995495399072</v>
      </c>
      <c r="I181" s="40">
        <f t="shared" ca="1" si="29"/>
        <v>-2131.0614375942851</v>
      </c>
      <c r="J181" s="40">
        <f t="shared" ref="J181:J182" ca="1" si="30">J166*SQRT($E$9*IMABS(J84))+J84</f>
        <v>-2033.0699766548576</v>
      </c>
      <c r="K181" s="40">
        <f ca="1">K166*SQRT($E$9*ABS(K84))+K84</f>
        <v>-584.09873380373574</v>
      </c>
      <c r="L181" s="41"/>
      <c r="M181" s="24"/>
      <c r="N181" s="24"/>
      <c r="O181" s="24"/>
      <c r="P181" s="24"/>
      <c r="Q181" s="24"/>
      <c r="R181" s="24"/>
    </row>
    <row r="182" spans="1:18" x14ac:dyDescent="0.25">
      <c r="A182" s="24"/>
      <c r="B182" s="28">
        <v>2</v>
      </c>
      <c r="C182" s="40">
        <f t="shared" ca="1" si="28"/>
        <v>4030298.2552965521</v>
      </c>
      <c r="D182" s="40">
        <f t="shared" ca="1" si="28"/>
        <v>856421.59969542501</v>
      </c>
      <c r="E182" s="40">
        <f t="shared" ca="1" si="28"/>
        <v>33185.831175532439</v>
      </c>
      <c r="F182" s="40">
        <f t="shared" ca="1" si="28"/>
        <v>11152.335542467366</v>
      </c>
      <c r="G182" s="40">
        <f t="shared" ca="1" si="29"/>
        <v>-564.88632269858965</v>
      </c>
      <c r="H182" s="40">
        <f t="shared" ca="1" si="29"/>
        <v>-1548.0962834381769</v>
      </c>
      <c r="I182" s="40">
        <f t="shared" ca="1" si="29"/>
        <v>1701.0020442473747</v>
      </c>
      <c r="J182" s="40">
        <f t="shared" ca="1" si="30"/>
        <v>-645.3180272049209</v>
      </c>
      <c r="K182" s="41"/>
      <c r="L182" s="41"/>
      <c r="M182" s="24"/>
      <c r="N182" s="24"/>
      <c r="O182" s="24"/>
      <c r="P182" s="24"/>
      <c r="Q182" s="24"/>
      <c r="R182" s="24"/>
    </row>
    <row r="183" spans="1:18" x14ac:dyDescent="0.25">
      <c r="A183" s="24"/>
      <c r="B183" s="28">
        <v>3</v>
      </c>
      <c r="C183" s="40">
        <f t="shared" ca="1" si="28"/>
        <v>4253573.9351787549</v>
      </c>
      <c r="D183" s="40">
        <f t="shared" ca="1" si="28"/>
        <v>939625.0239413816</v>
      </c>
      <c r="E183" s="40">
        <f t="shared" ca="1" si="28"/>
        <v>85720.210668360378</v>
      </c>
      <c r="F183" s="40">
        <f t="shared" ca="1" si="28"/>
        <v>9196.2515401101518</v>
      </c>
      <c r="G183" s="40">
        <f t="shared" ca="1" si="29"/>
        <v>-909.70477280577677</v>
      </c>
      <c r="H183" s="40">
        <f t="shared" ca="1" si="29"/>
        <v>1638.4656110427804</v>
      </c>
      <c r="I183" s="40">
        <f t="shared" ca="1" si="29"/>
        <v>-2970.0994004543645</v>
      </c>
      <c r="J183" s="41"/>
      <c r="K183" s="41"/>
      <c r="L183" s="41"/>
      <c r="M183" s="24"/>
      <c r="N183" s="24"/>
      <c r="O183" s="24"/>
      <c r="P183" s="24"/>
      <c r="Q183" s="24"/>
      <c r="R183" s="24"/>
    </row>
    <row r="184" spans="1:18" x14ac:dyDescent="0.25">
      <c r="A184" s="24"/>
      <c r="B184" s="28">
        <v>4</v>
      </c>
      <c r="C184" s="40">
        <f ca="1">C169*SQRT($E$9*C87)+C87</f>
        <v>4792281.5031955875</v>
      </c>
      <c r="D184" s="40">
        <f t="shared" ca="1" si="28"/>
        <v>1043207.9792435938</v>
      </c>
      <c r="E184" s="40">
        <f t="shared" ca="1" si="28"/>
        <v>43433.170985590135</v>
      </c>
      <c r="F184" s="40">
        <f ca="1">F169*SQRT($E$9*F87)+F87</f>
        <v>15354.091056365063</v>
      </c>
      <c r="G184" s="40">
        <f t="shared" ca="1" si="29"/>
        <v>-924.47398075364845</v>
      </c>
      <c r="H184" s="40">
        <f t="shared" ca="1" si="29"/>
        <v>-1353.6359104269668</v>
      </c>
      <c r="I184" s="41"/>
      <c r="J184" s="41"/>
      <c r="K184" s="41"/>
      <c r="L184" s="41"/>
      <c r="M184" s="24"/>
      <c r="N184" s="24"/>
      <c r="O184" s="24"/>
      <c r="P184" s="24"/>
      <c r="Q184" s="24"/>
      <c r="R184" s="24"/>
    </row>
    <row r="185" spans="1:18" x14ac:dyDescent="0.25">
      <c r="A185" s="24"/>
      <c r="B185" s="28">
        <v>5</v>
      </c>
      <c r="C185" s="40">
        <f t="shared" ref="C185:E188" ca="1" si="31">C170*SQRT($E$9*C88)+C88</f>
        <v>5688100.42991962</v>
      </c>
      <c r="D185" s="40">
        <f t="shared" ca="1" si="31"/>
        <v>1110351.3761790746</v>
      </c>
      <c r="E185" s="40">
        <f t="shared" ca="1" si="31"/>
        <v>51697.258581474183</v>
      </c>
      <c r="F185" s="40">
        <f ca="1">F170*SQRT($E$9*F88)+F88</f>
        <v>6816.838420766544</v>
      </c>
      <c r="G185" s="40">
        <f t="shared" ca="1" si="29"/>
        <v>-3279.3202718429347</v>
      </c>
      <c r="H185" s="41"/>
      <c r="I185" s="41"/>
      <c r="J185" s="41"/>
      <c r="K185" s="41"/>
      <c r="L185" s="41"/>
      <c r="M185" s="24"/>
      <c r="N185" s="24"/>
      <c r="O185" s="24"/>
      <c r="P185" s="24"/>
      <c r="Q185" s="24"/>
      <c r="R185" s="24"/>
    </row>
    <row r="186" spans="1:18" x14ac:dyDescent="0.25">
      <c r="A186" s="24"/>
      <c r="B186" s="28">
        <v>6</v>
      </c>
      <c r="C186" s="40">
        <f t="shared" ca="1" si="31"/>
        <v>5876642.6949445307</v>
      </c>
      <c r="D186" s="40">
        <f t="shared" ca="1" si="31"/>
        <v>1223139.3549126477</v>
      </c>
      <c r="E186" s="40">
        <f t="shared" ca="1" si="31"/>
        <v>52379.837075947216</v>
      </c>
      <c r="F186" s="40">
        <f ca="1">F171*SQRT($E$9*F89)+F89</f>
        <v>9091.7995945698513</v>
      </c>
      <c r="G186" s="41"/>
      <c r="H186" s="41"/>
      <c r="I186" s="41"/>
      <c r="J186" s="41"/>
      <c r="K186" s="41"/>
      <c r="L186" s="41"/>
      <c r="M186" s="24"/>
      <c r="N186" s="24"/>
      <c r="O186" s="24"/>
      <c r="P186" s="24"/>
      <c r="Q186" s="24"/>
      <c r="R186" s="24"/>
    </row>
    <row r="187" spans="1:18" x14ac:dyDescent="0.25">
      <c r="A187" s="24"/>
      <c r="B187" s="28">
        <v>7</v>
      </c>
      <c r="C187" s="40">
        <f t="shared" ca="1" si="31"/>
        <v>5705331.7262631059</v>
      </c>
      <c r="D187" s="40">
        <f t="shared" ca="1" si="31"/>
        <v>1242753.086135891</v>
      </c>
      <c r="E187" s="40">
        <f t="shared" ca="1" si="31"/>
        <v>52771.264708365859</v>
      </c>
      <c r="F187" s="41"/>
      <c r="G187" s="41"/>
      <c r="H187" s="41"/>
      <c r="I187" s="41"/>
      <c r="J187" s="41"/>
      <c r="K187" s="41"/>
      <c r="L187" s="41"/>
      <c r="M187" s="24"/>
      <c r="N187" s="24"/>
      <c r="O187" s="24"/>
      <c r="P187" s="24"/>
      <c r="Q187" s="24"/>
      <c r="R187" s="24"/>
    </row>
    <row r="188" spans="1:18" x14ac:dyDescent="0.25">
      <c r="A188" s="24"/>
      <c r="B188" s="28">
        <v>8</v>
      </c>
      <c r="C188" s="40">
        <f t="shared" ca="1" si="31"/>
        <v>6107845.8925447576</v>
      </c>
      <c r="D188" s="40">
        <f t="shared" ca="1" si="31"/>
        <v>1420553.3446336186</v>
      </c>
      <c r="E188" s="41"/>
      <c r="F188" s="41"/>
      <c r="G188" s="41"/>
      <c r="H188" s="41"/>
      <c r="I188" s="41"/>
      <c r="J188" s="41"/>
      <c r="K188" s="41"/>
      <c r="L188" s="41"/>
      <c r="M188" s="24"/>
      <c r="N188" s="24"/>
      <c r="O188" s="24"/>
      <c r="P188" s="24"/>
      <c r="Q188" s="24"/>
      <c r="R188" s="24"/>
    </row>
    <row r="189" spans="1:18" x14ac:dyDescent="0.25">
      <c r="A189" s="24"/>
      <c r="B189" s="28">
        <v>9</v>
      </c>
      <c r="C189" s="40">
        <f ca="1">C174*SQRT($E$9*C92)+C92</f>
        <v>6710971.3472714731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24"/>
      <c r="N189" s="24"/>
      <c r="O189" s="24"/>
      <c r="P189" s="24"/>
      <c r="Q189" s="24"/>
      <c r="R189" s="24"/>
    </row>
    <row r="190" spans="1:18" x14ac:dyDescent="0.25">
      <c r="A190" s="24"/>
      <c r="B190" s="24"/>
      <c r="C190" s="41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</row>
    <row r="191" spans="1:18" x14ac:dyDescent="0.25">
      <c r="A191" s="24"/>
      <c r="B191" s="24"/>
      <c r="C191" s="41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</row>
    <row r="192" spans="1:18" x14ac:dyDescent="0.25">
      <c r="A192" s="24"/>
      <c r="B192" s="24"/>
      <c r="C192" s="42" t="s">
        <v>87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</row>
    <row r="193" spans="1:18" x14ac:dyDescent="0.25">
      <c r="A193" s="24"/>
      <c r="B193" s="24"/>
      <c r="C193" s="28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</row>
    <row r="194" spans="1:18" x14ac:dyDescent="0.25">
      <c r="A194" s="24"/>
      <c r="B194" s="24"/>
      <c r="C194" s="28">
        <v>0</v>
      </c>
      <c r="D194" s="28">
        <v>1</v>
      </c>
      <c r="E194" s="28">
        <v>2</v>
      </c>
      <c r="F194" s="28">
        <v>3</v>
      </c>
      <c r="G194" s="28">
        <v>4</v>
      </c>
      <c r="H194" s="28">
        <v>5</v>
      </c>
      <c r="I194" s="28">
        <v>6</v>
      </c>
      <c r="J194" s="28">
        <v>7</v>
      </c>
      <c r="K194" s="28">
        <v>8</v>
      </c>
      <c r="L194" s="28">
        <v>9</v>
      </c>
      <c r="M194" s="24"/>
      <c r="N194" s="24"/>
      <c r="O194" s="24"/>
      <c r="P194" s="24"/>
      <c r="Q194" s="24"/>
      <c r="R194" s="24"/>
    </row>
    <row r="195" spans="1:18" x14ac:dyDescent="0.25">
      <c r="A195" s="24"/>
      <c r="B195" s="28">
        <v>0</v>
      </c>
      <c r="C195" s="40">
        <f ca="1">C180</f>
        <v>4219286.2301434083</v>
      </c>
      <c r="D195" s="40">
        <f t="shared" ref="D195:L203" ca="1" si="32">D180+C195</f>
        <v>5150689.8316588551</v>
      </c>
      <c r="E195" s="40">
        <f t="shared" ca="1" si="32"/>
        <v>5185613.3544249889</v>
      </c>
      <c r="F195" s="40">
        <f t="shared" ca="1" si="32"/>
        <v>5193550.1397398952</v>
      </c>
      <c r="G195" s="40">
        <f t="shared" ca="1" si="32"/>
        <v>5192366.7638881514</v>
      </c>
      <c r="H195" s="40">
        <f t="shared" ca="1" si="32"/>
        <v>5187492.9429621911</v>
      </c>
      <c r="I195" s="40">
        <f t="shared" ca="1" si="32"/>
        <v>5187133.0539908465</v>
      </c>
      <c r="J195" s="40">
        <f t="shared" ca="1" si="32"/>
        <v>5183385.5060934192</v>
      </c>
      <c r="K195" s="40">
        <f t="shared" ca="1" si="32"/>
        <v>5186477.3437092723</v>
      </c>
      <c r="L195" s="40">
        <f t="shared" ca="1" si="32"/>
        <v>5185635.1688239928</v>
      </c>
      <c r="M195" s="24"/>
      <c r="N195" s="24"/>
      <c r="O195" s="24"/>
      <c r="P195" s="24"/>
      <c r="Q195" s="24"/>
      <c r="R195" s="24"/>
    </row>
    <row r="196" spans="1:18" x14ac:dyDescent="0.25">
      <c r="A196" s="24"/>
      <c r="B196" s="28">
        <v>1</v>
      </c>
      <c r="C196" s="40">
        <f t="shared" ref="C196:C204" ca="1" si="33">C181</f>
        <v>4054381.7588361274</v>
      </c>
      <c r="D196" s="40">
        <f t="shared" ca="1" si="32"/>
        <v>4934819.0624446003</v>
      </c>
      <c r="E196" s="40">
        <f t="shared" ca="1" si="32"/>
        <v>4993307.9234965555</v>
      </c>
      <c r="F196" s="40">
        <f t="shared" ca="1" si="32"/>
        <v>5000398.6789897243</v>
      </c>
      <c r="G196" s="40">
        <f t="shared" ca="1" si="32"/>
        <v>5000295.0951807741</v>
      </c>
      <c r="H196" s="40">
        <f t="shared" ca="1" si="32"/>
        <v>4999276.7956312345</v>
      </c>
      <c r="I196" s="40">
        <f t="shared" ca="1" si="32"/>
        <v>4997145.7341936398</v>
      </c>
      <c r="J196" s="40">
        <f t="shared" ca="1" si="32"/>
        <v>4995112.664216985</v>
      </c>
      <c r="K196" s="40">
        <f t="shared" ca="1" si="32"/>
        <v>4994528.5654831808</v>
      </c>
      <c r="L196" s="24"/>
      <c r="M196" s="24"/>
      <c r="N196" s="24"/>
      <c r="O196" s="24"/>
      <c r="P196" s="24"/>
      <c r="Q196" s="24"/>
      <c r="R196" s="24"/>
    </row>
    <row r="197" spans="1:18" x14ac:dyDescent="0.25">
      <c r="A197" s="24"/>
      <c r="B197" s="28">
        <v>2</v>
      </c>
      <c r="C197" s="40">
        <f t="shared" ca="1" si="33"/>
        <v>4030298.2552965521</v>
      </c>
      <c r="D197" s="40">
        <f t="shared" ca="1" si="32"/>
        <v>4886719.8549919771</v>
      </c>
      <c r="E197" s="40">
        <f t="shared" ca="1" si="32"/>
        <v>4919905.6861675093</v>
      </c>
      <c r="F197" s="40">
        <f t="shared" ca="1" si="32"/>
        <v>4931058.0217099767</v>
      </c>
      <c r="G197" s="40">
        <f t="shared" ca="1" si="32"/>
        <v>4930493.1353872782</v>
      </c>
      <c r="H197" s="40">
        <f t="shared" ca="1" si="32"/>
        <v>4928945.0391038395</v>
      </c>
      <c r="I197" s="40">
        <f t="shared" ca="1" si="32"/>
        <v>4930646.041148087</v>
      </c>
      <c r="J197" s="40">
        <f t="shared" ca="1" si="32"/>
        <v>4930000.7231208822</v>
      </c>
      <c r="K197" s="41"/>
      <c r="L197" s="24"/>
      <c r="M197" s="24"/>
      <c r="N197" s="24"/>
      <c r="O197" s="24"/>
      <c r="P197" s="24"/>
      <c r="Q197" s="24"/>
      <c r="R197" s="24"/>
    </row>
    <row r="198" spans="1:18" x14ac:dyDescent="0.25">
      <c r="A198" s="24"/>
      <c r="B198" s="28">
        <v>3</v>
      </c>
      <c r="C198" s="40">
        <f t="shared" ca="1" si="33"/>
        <v>4253573.9351787549</v>
      </c>
      <c r="D198" s="40">
        <f t="shared" ca="1" si="32"/>
        <v>5193198.9591201367</v>
      </c>
      <c r="E198" s="40">
        <f t="shared" ca="1" si="32"/>
        <v>5278919.1697884975</v>
      </c>
      <c r="F198" s="40">
        <f t="shared" ca="1" si="32"/>
        <v>5288115.4213286079</v>
      </c>
      <c r="G198" s="40">
        <f t="shared" ca="1" si="32"/>
        <v>5287205.7165558022</v>
      </c>
      <c r="H198" s="40">
        <f t="shared" ca="1" si="32"/>
        <v>5288844.1821668446</v>
      </c>
      <c r="I198" s="40">
        <f t="shared" ca="1" si="32"/>
        <v>5285874.0827663904</v>
      </c>
      <c r="J198" s="41"/>
      <c r="K198" s="41"/>
      <c r="L198" s="24"/>
      <c r="M198" s="24"/>
      <c r="N198" s="24"/>
      <c r="O198" s="24"/>
      <c r="P198" s="24"/>
      <c r="Q198" s="24"/>
      <c r="R198" s="24"/>
    </row>
    <row r="199" spans="1:18" x14ac:dyDescent="0.25">
      <c r="A199" s="24"/>
      <c r="B199" s="28">
        <v>4</v>
      </c>
      <c r="C199" s="40">
        <f t="shared" ca="1" si="33"/>
        <v>4792281.5031955875</v>
      </c>
      <c r="D199" s="40">
        <f t="shared" ca="1" si="32"/>
        <v>5835489.4824391808</v>
      </c>
      <c r="E199" s="40">
        <f t="shared" ca="1" si="32"/>
        <v>5878922.6534247706</v>
      </c>
      <c r="F199" s="40">
        <f t="shared" ca="1" si="32"/>
        <v>5894276.7444811361</v>
      </c>
      <c r="G199" s="40">
        <f t="shared" ca="1" si="32"/>
        <v>5893352.2705003824</v>
      </c>
      <c r="H199" s="40">
        <f t="shared" ca="1" si="32"/>
        <v>5891998.6345899552</v>
      </c>
      <c r="I199" s="41"/>
      <c r="J199" s="41"/>
      <c r="K199" s="41"/>
      <c r="L199" s="24"/>
      <c r="M199" s="24"/>
      <c r="N199" s="24"/>
      <c r="O199" s="24"/>
      <c r="P199" s="24"/>
      <c r="Q199" s="24"/>
      <c r="R199" s="24"/>
    </row>
    <row r="200" spans="1:18" x14ac:dyDescent="0.25">
      <c r="A200" s="24"/>
      <c r="B200" s="28">
        <v>5</v>
      </c>
      <c r="C200" s="40">
        <f t="shared" ca="1" si="33"/>
        <v>5688100.42991962</v>
      </c>
      <c r="D200" s="40">
        <f t="shared" ca="1" si="32"/>
        <v>6798451.8060986949</v>
      </c>
      <c r="E200" s="40">
        <f t="shared" ca="1" si="32"/>
        <v>6850149.0646801693</v>
      </c>
      <c r="F200" s="40">
        <f t="shared" ca="1" si="32"/>
        <v>6856965.9031009357</v>
      </c>
      <c r="G200" s="40">
        <f t="shared" ca="1" si="32"/>
        <v>6853686.5828290926</v>
      </c>
      <c r="H200" s="41"/>
      <c r="I200" s="41"/>
      <c r="J200" s="41"/>
      <c r="K200" s="41"/>
      <c r="L200" s="24"/>
      <c r="M200" s="24"/>
      <c r="N200" s="24"/>
      <c r="O200" s="24"/>
      <c r="P200" s="24"/>
      <c r="Q200" s="24"/>
      <c r="R200" s="24"/>
    </row>
    <row r="201" spans="1:18" x14ac:dyDescent="0.25">
      <c r="A201" s="24"/>
      <c r="B201" s="28">
        <v>6</v>
      </c>
      <c r="C201" s="40">
        <f t="shared" ca="1" si="33"/>
        <v>5876642.6949445307</v>
      </c>
      <c r="D201" s="40">
        <f t="shared" ca="1" si="32"/>
        <v>7099782.0498571787</v>
      </c>
      <c r="E201" s="40">
        <f t="shared" ca="1" si="32"/>
        <v>7152161.8869331256</v>
      </c>
      <c r="F201" s="40">
        <f t="shared" ca="1" si="32"/>
        <v>7161253.6865276955</v>
      </c>
      <c r="G201" s="41"/>
      <c r="H201" s="41"/>
      <c r="I201" s="41"/>
      <c r="J201" s="41"/>
      <c r="K201" s="41"/>
      <c r="L201" s="24"/>
      <c r="M201" s="24"/>
      <c r="N201" s="24"/>
      <c r="O201" s="24"/>
      <c r="P201" s="24"/>
      <c r="Q201" s="24"/>
      <c r="R201" s="24"/>
    </row>
    <row r="202" spans="1:18" x14ac:dyDescent="0.25">
      <c r="A202" s="24"/>
      <c r="B202" s="28">
        <v>7</v>
      </c>
      <c r="C202" s="40">
        <f t="shared" ca="1" si="33"/>
        <v>5705331.7262631059</v>
      </c>
      <c r="D202" s="40">
        <f t="shared" ca="1" si="32"/>
        <v>6948084.8123989971</v>
      </c>
      <c r="E202" s="40">
        <f t="shared" ca="1" si="32"/>
        <v>7000856.0771073634</v>
      </c>
      <c r="F202" s="41"/>
      <c r="G202" s="41"/>
      <c r="H202" s="41"/>
      <c r="I202" s="41"/>
      <c r="J202" s="41"/>
      <c r="K202" s="41"/>
      <c r="L202" s="24"/>
      <c r="M202" s="24"/>
      <c r="N202" s="24"/>
      <c r="O202" s="24"/>
      <c r="P202" s="24"/>
      <c r="Q202" s="24"/>
      <c r="R202" s="24"/>
    </row>
    <row r="203" spans="1:18" x14ac:dyDescent="0.25">
      <c r="A203" s="24"/>
      <c r="B203" s="28">
        <v>8</v>
      </c>
      <c r="C203" s="40">
        <f ca="1">C188</f>
        <v>6107845.8925447576</v>
      </c>
      <c r="D203" s="40">
        <f t="shared" ca="1" si="32"/>
        <v>7528399.2371783759</v>
      </c>
      <c r="E203" s="41"/>
      <c r="F203" s="41"/>
      <c r="G203" s="41"/>
      <c r="H203" s="41"/>
      <c r="I203" s="41"/>
      <c r="J203" s="41"/>
      <c r="K203" s="41"/>
      <c r="L203" s="24"/>
      <c r="M203" s="24"/>
      <c r="N203" s="24"/>
      <c r="O203" s="24"/>
      <c r="P203" s="24"/>
      <c r="Q203" s="24"/>
      <c r="R203" s="24"/>
    </row>
    <row r="204" spans="1:18" x14ac:dyDescent="0.25">
      <c r="A204" s="24"/>
      <c r="B204" s="28">
        <v>9</v>
      </c>
      <c r="C204" s="40">
        <f t="shared" ca="1" si="33"/>
        <v>6710971.3472714731</v>
      </c>
      <c r="D204" s="41"/>
      <c r="E204" s="41"/>
      <c r="F204" s="41"/>
      <c r="G204" s="41"/>
      <c r="H204" s="41"/>
      <c r="I204" s="41"/>
      <c r="J204" s="41"/>
      <c r="K204" s="41"/>
      <c r="L204" s="24"/>
      <c r="M204" s="24"/>
      <c r="N204" s="24"/>
      <c r="O204" s="24"/>
      <c r="P204" s="24"/>
      <c r="Q204" s="24"/>
      <c r="R204" s="24"/>
    </row>
    <row r="205" spans="1:18" x14ac:dyDescent="0.2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</row>
    <row r="206" spans="1:18" x14ac:dyDescent="0.25">
      <c r="A206" s="24"/>
      <c r="B206" s="24"/>
      <c r="C206" s="28" t="s">
        <v>88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</row>
    <row r="207" spans="1:18" x14ac:dyDescent="0.25">
      <c r="A207" s="24"/>
      <c r="B207" s="44" t="s">
        <v>70</v>
      </c>
      <c r="C207" s="45">
        <f ca="1">SUM(D195:D203)/SUM(C195:C203)</f>
        <v>1.2157026522355336</v>
      </c>
      <c r="D207" s="45">
        <f ca="1">SUM(E195:E202)/SUM(D195:D202)</f>
        <v>1.0088073490238594</v>
      </c>
      <c r="E207" s="45">
        <f ca="1">SUM(F195:F201)/SUM(E195:E201)</f>
        <v>1.0016552544896695</v>
      </c>
      <c r="F207" s="45">
        <f ca="1">SUM(G195:G200)/SUM(F195:F200)</f>
        <v>0.99978997502205058</v>
      </c>
      <c r="G207" s="45">
        <f ca="1">SUM(H195:H199)/SUM(G195:G199)</f>
        <v>0.99972797045560247</v>
      </c>
      <c r="H207" s="45">
        <f ca="1">SUM(I195:I198)/SUM(H195:H198)</f>
        <v>0.9998157251145422</v>
      </c>
      <c r="I207" s="45">
        <f ca="1">SUM(J195:J197)/SUM(I195:I197)</f>
        <v>0.99957486153759656</v>
      </c>
      <c r="J207" s="45">
        <f ca="1">SUM(K195:K196)/SUM(J195:J196)</f>
        <v>1.0002463761195501</v>
      </c>
      <c r="K207" s="45">
        <f ca="1">SUM(L195)/SUM(K195)</f>
        <v>0.999837621023005</v>
      </c>
      <c r="L207" s="24"/>
      <c r="M207" s="24"/>
      <c r="N207" s="24"/>
      <c r="O207" s="24"/>
      <c r="P207" s="24"/>
      <c r="Q207" s="24"/>
      <c r="R207" s="24"/>
    </row>
    <row r="208" spans="1:18" x14ac:dyDescent="0.25">
      <c r="A208" s="24"/>
      <c r="B208" s="44" t="s">
        <v>71</v>
      </c>
      <c r="C208" s="45">
        <f ca="1">C207*D208</f>
        <v>1.2267010367598525</v>
      </c>
      <c r="D208" s="45">
        <f t="shared" ref="D208:I208" ca="1" si="34">D207*E208</f>
        <v>1.0090469363574177</v>
      </c>
      <c r="E208" s="45">
        <f ca="1">E207*F208</f>
        <v>1.0002374956266824</v>
      </c>
      <c r="F208" s="45">
        <f ca="1">F207*G208</f>
        <v>0.99858458401068395</v>
      </c>
      <c r="G208" s="45">
        <f t="shared" ca="1" si="34"/>
        <v>0.99879435577323128</v>
      </c>
      <c r="H208" s="45">
        <f t="shared" ca="1" si="34"/>
        <v>0.99906613127774579</v>
      </c>
      <c r="I208" s="45">
        <f t="shared" ca="1" si="34"/>
        <v>0.99925026800642636</v>
      </c>
      <c r="J208" s="45">
        <f ca="1">K208*K207</f>
        <v>0.99967526841294219</v>
      </c>
      <c r="K208" s="45">
        <f ca="1">K207</f>
        <v>0.999837621023005</v>
      </c>
      <c r="L208" s="24"/>
      <c r="M208" s="24"/>
      <c r="N208" s="24"/>
      <c r="O208" s="24"/>
      <c r="P208" s="24"/>
      <c r="Q208" s="24"/>
      <c r="R208" s="24"/>
    </row>
    <row r="209" spans="1:18" x14ac:dyDescent="0.25">
      <c r="A209" s="24"/>
      <c r="B209" s="24"/>
      <c r="C209" s="46"/>
      <c r="D209" s="46"/>
      <c r="E209" s="46"/>
      <c r="F209" s="46"/>
      <c r="G209" s="46"/>
      <c r="H209" s="46"/>
      <c r="I209" s="46"/>
      <c r="J209" s="46"/>
      <c r="K209" s="46"/>
      <c r="L209" s="24"/>
      <c r="M209" s="24"/>
      <c r="N209" s="24"/>
      <c r="O209" s="24"/>
      <c r="P209" s="24"/>
      <c r="Q209" s="24"/>
      <c r="R209" s="24"/>
    </row>
    <row r="210" spans="1:18" x14ac:dyDescent="0.2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</row>
    <row r="211" spans="1:18" x14ac:dyDescent="0.25">
      <c r="A211" s="24"/>
      <c r="B211" s="24"/>
      <c r="C211" s="42" t="s">
        <v>89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</row>
    <row r="212" spans="1:18" x14ac:dyDescent="0.2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</row>
    <row r="213" spans="1:18" x14ac:dyDescent="0.25">
      <c r="A213" s="24"/>
      <c r="B213" s="24"/>
      <c r="C213" s="28">
        <v>0</v>
      </c>
      <c r="D213" s="28">
        <v>1</v>
      </c>
      <c r="E213" s="28">
        <v>2</v>
      </c>
      <c r="F213" s="28">
        <v>3</v>
      </c>
      <c r="G213" s="28">
        <v>4</v>
      </c>
      <c r="H213" s="28">
        <v>5</v>
      </c>
      <c r="I213" s="28">
        <v>6</v>
      </c>
      <c r="J213" s="28">
        <v>7</v>
      </c>
      <c r="K213" s="28">
        <v>8</v>
      </c>
      <c r="L213" s="28">
        <v>9</v>
      </c>
      <c r="M213" s="24"/>
      <c r="N213" s="24"/>
      <c r="O213" s="24"/>
      <c r="P213" s="24"/>
      <c r="Q213" s="24"/>
      <c r="R213" s="24"/>
    </row>
    <row r="214" spans="1:18" x14ac:dyDescent="0.25">
      <c r="A214" s="24"/>
      <c r="B214" s="28">
        <v>0</v>
      </c>
      <c r="C214" s="40"/>
      <c r="D214" s="40"/>
      <c r="E214" s="40"/>
      <c r="F214" s="40"/>
      <c r="G214" s="40"/>
      <c r="H214" s="40"/>
      <c r="I214" s="40"/>
      <c r="J214" s="40"/>
      <c r="K214" s="40"/>
      <c r="L214" s="40">
        <f ca="1">L195</f>
        <v>5185635.1688239928</v>
      </c>
      <c r="M214" s="24"/>
      <c r="N214" s="24"/>
      <c r="O214" s="24"/>
      <c r="P214" s="24"/>
      <c r="Q214" s="24"/>
      <c r="R214" s="24"/>
    </row>
    <row r="215" spans="1:18" x14ac:dyDescent="0.25">
      <c r="A215" s="24"/>
      <c r="B215" s="28">
        <v>1</v>
      </c>
      <c r="C215" s="40"/>
      <c r="D215" s="40"/>
      <c r="E215" s="40"/>
      <c r="F215" s="40"/>
      <c r="G215" s="40"/>
      <c r="H215" s="40"/>
      <c r="I215" s="40"/>
      <c r="J215" s="40"/>
      <c r="K215" s="40">
        <f ca="1">K196</f>
        <v>4994528.5654831808</v>
      </c>
      <c r="L215" s="41">
        <f ca="1">K215*$K$207</f>
        <v>4993717.559044145</v>
      </c>
      <c r="M215" s="24"/>
      <c r="N215" s="24"/>
      <c r="O215" s="24"/>
      <c r="P215" s="24"/>
      <c r="Q215" s="24"/>
      <c r="R215" s="24"/>
    </row>
    <row r="216" spans="1:18" x14ac:dyDescent="0.25">
      <c r="A216" s="24"/>
      <c r="B216" s="28">
        <v>2</v>
      </c>
      <c r="C216" s="40"/>
      <c r="D216" s="40"/>
      <c r="E216" s="40"/>
      <c r="F216" s="40"/>
      <c r="G216" s="40"/>
      <c r="H216" s="40"/>
      <c r="I216" s="40"/>
      <c r="J216" s="40">
        <f ca="1">J197</f>
        <v>4930000.7231208822</v>
      </c>
      <c r="K216" s="41">
        <f t="shared" ref="I216:K223" ca="1" si="35">J216*J$207</f>
        <v>4931215.3575684242</v>
      </c>
      <c r="L216" s="41">
        <f t="shared" ref="L216:L221" ca="1" si="36">K216*$K$207</f>
        <v>4930414.6318633202</v>
      </c>
      <c r="M216" s="24"/>
      <c r="N216" s="24"/>
      <c r="O216" s="24"/>
      <c r="P216" s="24"/>
      <c r="Q216" s="24"/>
      <c r="R216" s="24"/>
    </row>
    <row r="217" spans="1:18" x14ac:dyDescent="0.25">
      <c r="A217" s="24"/>
      <c r="B217" s="28">
        <v>3</v>
      </c>
      <c r="C217" s="40"/>
      <c r="D217" s="40"/>
      <c r="E217" s="40"/>
      <c r="F217" s="40"/>
      <c r="G217" s="40"/>
      <c r="H217" s="40"/>
      <c r="I217" s="40">
        <f ca="1">I198</f>
        <v>5285874.0827663904</v>
      </c>
      <c r="J217" s="41">
        <f t="shared" ca="1" si="35"/>
        <v>5283626.8543863846</v>
      </c>
      <c r="K217" s="41">
        <f t="shared" ca="1" si="35"/>
        <v>5284928.613867919</v>
      </c>
      <c r="L217" s="41">
        <f t="shared" ca="1" si="36"/>
        <v>5284070.4525661077</v>
      </c>
      <c r="M217" s="24"/>
      <c r="N217" s="24"/>
      <c r="O217" s="24"/>
      <c r="P217" s="24"/>
      <c r="Q217" s="24"/>
      <c r="R217" s="24"/>
    </row>
    <row r="218" spans="1:18" x14ac:dyDescent="0.25">
      <c r="A218" s="24"/>
      <c r="B218" s="28">
        <v>4</v>
      </c>
      <c r="C218" s="40"/>
      <c r="D218" s="40"/>
      <c r="E218" s="40"/>
      <c r="F218" s="40"/>
      <c r="G218" s="40"/>
      <c r="H218" s="40">
        <f ca="1">H199</f>
        <v>5891998.6345899552</v>
      </c>
      <c r="I218" s="41">
        <f t="shared" ca="1" si="35"/>
        <v>5890912.8872164488</v>
      </c>
      <c r="J218" s="41">
        <f t="shared" ca="1" si="35"/>
        <v>5888408.4335694248</v>
      </c>
      <c r="K218" s="41">
        <f t="shared" ca="1" si="35"/>
        <v>5889859.1967896139</v>
      </c>
      <c r="L218" s="41">
        <f t="shared" ca="1" si="36"/>
        <v>5888902.8074785946</v>
      </c>
      <c r="M218" s="24"/>
      <c r="N218" s="24"/>
      <c r="O218" s="24"/>
      <c r="P218" s="24"/>
      <c r="Q218" s="24"/>
      <c r="R218" s="24"/>
    </row>
    <row r="219" spans="1:18" x14ac:dyDescent="0.25">
      <c r="A219" s="24"/>
      <c r="B219" s="28">
        <v>5</v>
      </c>
      <c r="C219" s="40"/>
      <c r="D219" s="40"/>
      <c r="E219" s="40"/>
      <c r="F219" s="40"/>
      <c r="G219" s="40">
        <f ca="1">G200</f>
        <v>6853686.5828290926</v>
      </c>
      <c r="H219" s="41">
        <f t="shared" ref="G219:H223" ca="1" si="37">G219*G$207</f>
        <v>6851822.177590522</v>
      </c>
      <c r="I219" s="41">
        <f t="shared" ca="1" si="35"/>
        <v>6850559.5588435689</v>
      </c>
      <c r="J219" s="41">
        <f t="shared" ca="1" si="35"/>
        <v>6847647.1224861192</v>
      </c>
      <c r="K219" s="41">
        <f t="shared" ca="1" si="35"/>
        <v>6849334.2192122061</v>
      </c>
      <c r="L219" s="41">
        <f t="shared" ca="1" si="36"/>
        <v>6848222.0313285934</v>
      </c>
      <c r="M219" s="24"/>
      <c r="N219" s="24"/>
      <c r="O219" s="24"/>
      <c r="P219" s="24"/>
      <c r="Q219" s="24"/>
      <c r="R219" s="24"/>
    </row>
    <row r="220" spans="1:18" x14ac:dyDescent="0.25">
      <c r="A220" s="24"/>
      <c r="B220" s="28">
        <v>6</v>
      </c>
      <c r="C220" s="40"/>
      <c r="D220" s="40"/>
      <c r="E220" s="40"/>
      <c r="F220" s="40">
        <f ca="1">F201</f>
        <v>7161253.6865276955</v>
      </c>
      <c r="G220" s="41">
        <f t="shared" ca="1" si="37"/>
        <v>7159749.6443800926</v>
      </c>
      <c r="H220" s="41">
        <f t="shared" ca="1" si="37"/>
        <v>7157801.9809463313</v>
      </c>
      <c r="I220" s="41">
        <f t="shared" ca="1" si="35"/>
        <v>7156482.977806163</v>
      </c>
      <c r="J220" s="41">
        <f t="shared" ca="1" si="35"/>
        <v>7153440.4816367617</v>
      </c>
      <c r="K220" s="41">
        <f t="shared" ca="1" si="35"/>
        <v>7155202.9185440606</v>
      </c>
      <c r="L220" s="41">
        <f t="shared" ca="1" si="36"/>
        <v>7154041.0640139561</v>
      </c>
      <c r="M220" s="24"/>
      <c r="N220" s="24"/>
      <c r="O220" s="24"/>
      <c r="P220" s="24"/>
      <c r="Q220" s="24"/>
      <c r="R220" s="24"/>
    </row>
    <row r="221" spans="1:18" x14ac:dyDescent="0.25">
      <c r="A221" s="24"/>
      <c r="B221" s="28">
        <v>7</v>
      </c>
      <c r="C221" s="40"/>
      <c r="D221" s="40"/>
      <c r="E221" s="40">
        <f ca="1">E202</f>
        <v>7000856.0771073634</v>
      </c>
      <c r="F221" s="41">
        <f ca="1">E221*E$207</f>
        <v>7012444.2755605252</v>
      </c>
      <c r="G221" s="41">
        <f t="shared" ca="1" si="37"/>
        <v>7010971.4871061789</v>
      </c>
      <c r="H221" s="41">
        <f t="shared" ca="1" si="37"/>
        <v>7009064.2957267575</v>
      </c>
      <c r="I221" s="41">
        <f t="shared" ca="1" si="35"/>
        <v>7007772.701206496</v>
      </c>
      <c r="J221" s="41">
        <f t="shared" ca="1" si="35"/>
        <v>7004793.4274954321</v>
      </c>
      <c r="K221" s="41">
        <f t="shared" ca="1" si="35"/>
        <v>7006519.2413183488</v>
      </c>
      <c r="L221" s="41">
        <f t="shared" ca="1" si="36"/>
        <v>7005381.5298916474</v>
      </c>
      <c r="M221" s="24"/>
      <c r="N221" s="24"/>
      <c r="O221" s="24"/>
      <c r="P221" s="24"/>
      <c r="Q221" s="24"/>
      <c r="R221" s="24"/>
    </row>
    <row r="222" spans="1:18" x14ac:dyDescent="0.25">
      <c r="A222" s="24"/>
      <c r="B222" s="28">
        <v>8</v>
      </c>
      <c r="C222" s="40"/>
      <c r="D222" s="40">
        <f ca="1">D203</f>
        <v>7528399.2371783759</v>
      </c>
      <c r="E222" s="41">
        <f ca="1">D222*D$207</f>
        <v>7594704.4768511625</v>
      </c>
      <c r="F222" s="41">
        <f ca="1">E222*E$207</f>
        <v>7607275.6455341838</v>
      </c>
      <c r="G222" s="41">
        <f t="shared" ca="1" si="37"/>
        <v>7605677.9276344758</v>
      </c>
      <c r="H222" s="41">
        <f t="shared" ca="1" si="37"/>
        <v>7603608.9585329872</v>
      </c>
      <c r="I222" s="41">
        <f t="shared" ca="1" si="35"/>
        <v>7602207.8043630878</v>
      </c>
      <c r="J222" s="41">
        <f t="shared" ca="1" si="35"/>
        <v>7598975.8134262692</v>
      </c>
      <c r="K222" s="41">
        <f t="shared" ca="1" si="35"/>
        <v>7600848.0195997367</v>
      </c>
      <c r="L222" s="41">
        <f ca="1">K222*$K$207</f>
        <v>7599613.8016740195</v>
      </c>
      <c r="M222" s="24"/>
      <c r="N222" s="24"/>
      <c r="O222" s="24"/>
      <c r="P222" s="24"/>
      <c r="Q222" s="24"/>
      <c r="R222" s="24"/>
    </row>
    <row r="223" spans="1:18" x14ac:dyDescent="0.25">
      <c r="A223" s="24"/>
      <c r="B223" s="28">
        <v>9</v>
      </c>
      <c r="C223" s="40">
        <f ca="1">C204</f>
        <v>6710971.3472714731</v>
      </c>
      <c r="D223" s="41">
        <f ca="1">C223*$C$207</f>
        <v>8158545.665954602</v>
      </c>
      <c r="E223" s="41">
        <f ca="1">D223*D$207</f>
        <v>8230400.8251617597</v>
      </c>
      <c r="F223" s="41">
        <f ca="1">E223*E$207</f>
        <v>8244024.2330793887</v>
      </c>
      <c r="G223" s="41">
        <f t="shared" ca="1" si="37"/>
        <v>8242292.7820716221</v>
      </c>
      <c r="H223" s="41">
        <f t="shared" ca="1" si="37"/>
        <v>8240050.6349213244</v>
      </c>
      <c r="I223" s="41">
        <f t="shared" ca="1" si="35"/>
        <v>8238532.200534408</v>
      </c>
      <c r="J223" s="41">
        <f t="shared" ca="1" si="35"/>
        <v>8235029.6836222112</v>
      </c>
      <c r="K223" s="41">
        <f t="shared" ca="1" si="35"/>
        <v>8237058.5982800424</v>
      </c>
      <c r="L223" s="41">
        <f ca="1">K223*$K$207</f>
        <v>8235721.0731314057</v>
      </c>
      <c r="M223" s="24"/>
      <c r="N223" s="24"/>
      <c r="O223" s="24"/>
      <c r="P223" s="24"/>
      <c r="Q223" s="24"/>
      <c r="R223" s="24"/>
    </row>
    <row r="224" spans="1:18" x14ac:dyDescent="0.2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</row>
    <row r="225" spans="1:18" x14ac:dyDescent="0.2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</row>
    <row r="226" spans="1:18" x14ac:dyDescent="0.25">
      <c r="A226" s="24"/>
      <c r="B226" s="24"/>
      <c r="C226" s="42" t="s">
        <v>90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</row>
    <row r="227" spans="1:18" x14ac:dyDescent="0.2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</row>
    <row r="228" spans="1:18" x14ac:dyDescent="0.25">
      <c r="A228" s="24"/>
      <c r="B228" s="24"/>
      <c r="C228" s="28">
        <v>0</v>
      </c>
      <c r="D228" s="28">
        <v>1</v>
      </c>
      <c r="E228" s="28">
        <v>2</v>
      </c>
      <c r="F228" s="28">
        <v>3</v>
      </c>
      <c r="G228" s="28">
        <v>4</v>
      </c>
      <c r="H228" s="28">
        <v>5</v>
      </c>
      <c r="I228" s="28">
        <v>6</v>
      </c>
      <c r="J228" s="28">
        <v>7</v>
      </c>
      <c r="K228" s="28">
        <v>8</v>
      </c>
      <c r="L228" s="28">
        <v>9</v>
      </c>
      <c r="M228" s="24"/>
      <c r="N228" s="28" t="s">
        <v>75</v>
      </c>
      <c r="O228" s="24"/>
      <c r="P228" s="24"/>
      <c r="Q228" s="24"/>
      <c r="R228" s="24"/>
    </row>
    <row r="229" spans="1:18" x14ac:dyDescent="0.25">
      <c r="A229" s="24"/>
      <c r="B229" s="28">
        <v>0</v>
      </c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40">
        <v>0</v>
      </c>
      <c r="O229" s="24"/>
      <c r="P229" s="24"/>
      <c r="Q229" s="24"/>
      <c r="R229" s="24"/>
    </row>
    <row r="230" spans="1:18" x14ac:dyDescent="0.25">
      <c r="A230" s="24"/>
      <c r="B230" s="28">
        <v>1</v>
      </c>
      <c r="C230" s="24"/>
      <c r="D230" s="53"/>
      <c r="E230" s="53"/>
      <c r="F230" s="53"/>
      <c r="G230" s="53"/>
      <c r="H230" s="53"/>
      <c r="I230" s="53"/>
      <c r="J230" s="53"/>
      <c r="K230" s="47">
        <f t="shared" ref="K230:K235" ca="1" si="38">K215-J215</f>
        <v>4994528.5654831808</v>
      </c>
      <c r="L230" s="47">
        <f t="shared" ref="L230:L238" ca="1" si="39">L215-K215</f>
        <v>-811.00643903575838</v>
      </c>
      <c r="M230" s="24"/>
      <c r="N230" s="40">
        <f ca="1">L230</f>
        <v>-811.00643903575838</v>
      </c>
      <c r="O230" s="24"/>
      <c r="P230" s="24"/>
      <c r="Q230" s="24"/>
      <c r="R230" s="24"/>
    </row>
    <row r="231" spans="1:18" x14ac:dyDescent="0.25">
      <c r="A231" s="24"/>
      <c r="B231" s="28">
        <v>2</v>
      </c>
      <c r="C231" s="24"/>
      <c r="D231" s="53"/>
      <c r="E231" s="53"/>
      <c r="F231" s="53"/>
      <c r="G231" s="53"/>
      <c r="H231" s="53"/>
      <c r="I231" s="53"/>
      <c r="J231" s="47">
        <f ca="1">J216-I216</f>
        <v>4930000.7231208822</v>
      </c>
      <c r="K231" s="47">
        <f t="shared" ca="1" si="38"/>
        <v>1214.6344475420192</v>
      </c>
      <c r="L231" s="47">
        <f t="shared" ca="1" si="39"/>
        <v>-800.72570510394871</v>
      </c>
      <c r="M231" s="24"/>
      <c r="N231" s="40">
        <f ca="1">SUM(K231:L231)</f>
        <v>413.90874243807048</v>
      </c>
      <c r="O231" s="24"/>
      <c r="P231" s="24"/>
      <c r="Q231" s="24"/>
      <c r="R231" s="24"/>
    </row>
    <row r="232" spans="1:18" x14ac:dyDescent="0.25">
      <c r="A232" s="24"/>
      <c r="B232" s="28">
        <v>3</v>
      </c>
      <c r="C232" s="24"/>
      <c r="D232" s="53"/>
      <c r="E232" s="53"/>
      <c r="F232" s="53"/>
      <c r="G232" s="53"/>
      <c r="H232" s="53"/>
      <c r="I232" s="47">
        <f ca="1">I217-H217</f>
        <v>5285874.0827663904</v>
      </c>
      <c r="J232" s="47">
        <f ca="1">J217-I217</f>
        <v>-2247.2283800058067</v>
      </c>
      <c r="K232" s="47">
        <f t="shared" ca="1" si="38"/>
        <v>1301.7594815343618</v>
      </c>
      <c r="L232" s="47">
        <f t="shared" ca="1" si="39"/>
        <v>-858.16130181122571</v>
      </c>
      <c r="M232" s="24"/>
      <c r="N232" s="40">
        <f ca="1">SUM(J232:L232)</f>
        <v>-1803.6302002826706</v>
      </c>
      <c r="O232" s="24"/>
      <c r="P232" s="24"/>
      <c r="Q232" s="24"/>
      <c r="R232" s="24"/>
    </row>
    <row r="233" spans="1:18" x14ac:dyDescent="0.25">
      <c r="A233" s="24"/>
      <c r="B233" s="28">
        <v>4</v>
      </c>
      <c r="C233" s="24"/>
      <c r="D233" s="53"/>
      <c r="E233" s="53"/>
      <c r="F233" s="53"/>
      <c r="G233" s="53"/>
      <c r="H233" s="47">
        <f ca="1">H218-G218</f>
        <v>5891998.6345899552</v>
      </c>
      <c r="I233" s="47">
        <f ca="1">I218-H218</f>
        <v>-1085.7473735064268</v>
      </c>
      <c r="J233" s="47">
        <f ca="1">J218-I218</f>
        <v>-2504.4536470239982</v>
      </c>
      <c r="K233" s="47">
        <f t="shared" ca="1" si="38"/>
        <v>1450.7632201891392</v>
      </c>
      <c r="L233" s="47">
        <f t="shared" ca="1" si="39"/>
        <v>-956.38931101933122</v>
      </c>
      <c r="M233" s="24"/>
      <c r="N233" s="40">
        <f ca="1">SUM(I233:L233)</f>
        <v>-3095.827111360617</v>
      </c>
      <c r="O233" s="24"/>
      <c r="P233" s="24"/>
      <c r="Q233" s="24"/>
      <c r="R233" s="24"/>
    </row>
    <row r="234" spans="1:18" x14ac:dyDescent="0.25">
      <c r="A234" s="24"/>
      <c r="B234" s="28">
        <v>5</v>
      </c>
      <c r="C234" s="24"/>
      <c r="D234" s="53"/>
      <c r="E234" s="53"/>
      <c r="F234" s="53"/>
      <c r="G234" s="47">
        <f ca="1">G219-F219</f>
        <v>6853686.5828290926</v>
      </c>
      <c r="H234" s="47">
        <f ca="1">H219-G219</f>
        <v>-1864.4052385706455</v>
      </c>
      <c r="I234" s="47">
        <f ca="1">I219-H219</f>
        <v>-1262.6187469530851</v>
      </c>
      <c r="J234" s="47">
        <f ca="1">J219-I219</f>
        <v>-2912.4363574497402</v>
      </c>
      <c r="K234" s="47">
        <f t="shared" ca="1" si="38"/>
        <v>1687.096726086922</v>
      </c>
      <c r="L234" s="47">
        <f t="shared" ca="1" si="39"/>
        <v>-1112.1878836126998</v>
      </c>
      <c r="M234" s="24"/>
      <c r="N234" s="40">
        <f ca="1">SUM(H234:L234)</f>
        <v>-5464.5515004992485</v>
      </c>
      <c r="O234" s="24"/>
      <c r="P234" s="24"/>
      <c r="Q234" s="24"/>
      <c r="R234" s="24"/>
    </row>
    <row r="235" spans="1:18" x14ac:dyDescent="0.25">
      <c r="A235" s="24"/>
      <c r="B235" s="28">
        <v>6</v>
      </c>
      <c r="C235" s="24"/>
      <c r="D235" s="53"/>
      <c r="E235" s="53"/>
      <c r="F235" s="47">
        <f ca="1">F220-E220</f>
        <v>7161253.6865276955</v>
      </c>
      <c r="G235" s="47">
        <f ca="1">G220-F220</f>
        <v>-1504.042147602886</v>
      </c>
      <c r="H235" s="47">
        <f ca="1">H220-G220</f>
        <v>-1947.6634337613359</v>
      </c>
      <c r="I235" s="47">
        <f ca="1">I220-H220</f>
        <v>-1319.0031401682645</v>
      </c>
      <c r="J235" s="47">
        <f ca="1">J220-I220</f>
        <v>-3042.4961694013327</v>
      </c>
      <c r="K235" s="47">
        <f t="shared" ca="1" si="38"/>
        <v>1762.4369072988629</v>
      </c>
      <c r="L235" s="47">
        <f t="shared" ca="1" si="39"/>
        <v>-1161.854530104436</v>
      </c>
      <c r="M235" s="24"/>
      <c r="N235" s="40">
        <f ca="1">SUM(G235:L235)</f>
        <v>-7212.6225137393922</v>
      </c>
      <c r="O235" s="24"/>
      <c r="P235" s="24"/>
      <c r="Q235" s="24"/>
      <c r="R235" s="24"/>
    </row>
    <row r="236" spans="1:18" x14ac:dyDescent="0.25">
      <c r="A236" s="24"/>
      <c r="B236" s="28">
        <v>7</v>
      </c>
      <c r="C236" s="24"/>
      <c r="D236" s="53"/>
      <c r="E236" s="47">
        <f ca="1">E221-D221</f>
        <v>7000856.0771073634</v>
      </c>
      <c r="F236" s="47">
        <f ca="1">F221-E221</f>
        <v>11588.198453161865</v>
      </c>
      <c r="G236" s="47">
        <f ca="1">G221-F221</f>
        <v>-1472.7884543463588</v>
      </c>
      <c r="H236" s="47">
        <f t="shared" ref="H236:K237" ca="1" si="40">H221-G221</f>
        <v>-1907.1913794213906</v>
      </c>
      <c r="I236" s="47">
        <f t="shared" ca="1" si="40"/>
        <v>-1291.5945202615112</v>
      </c>
      <c r="J236" s="47">
        <f t="shared" ca="1" si="40"/>
        <v>-2979.2737110638991</v>
      </c>
      <c r="K236" s="47">
        <f t="shared" ca="1" si="40"/>
        <v>1725.8138229167089</v>
      </c>
      <c r="L236" s="47">
        <f t="shared" ca="1" si="39"/>
        <v>-1137.7114267013967</v>
      </c>
      <c r="M236" s="24"/>
      <c r="N236" s="40">
        <f ca="1">SUM(F236:L236)</f>
        <v>4525.452784284018</v>
      </c>
      <c r="O236" s="24"/>
      <c r="P236" s="24"/>
      <c r="Q236" s="24"/>
      <c r="R236" s="24"/>
    </row>
    <row r="237" spans="1:18" x14ac:dyDescent="0.25">
      <c r="A237" s="24"/>
      <c r="B237" s="28">
        <v>8</v>
      </c>
      <c r="C237" s="24"/>
      <c r="D237" s="47">
        <f ca="1">D222-C222</f>
        <v>7528399.2371783759</v>
      </c>
      <c r="E237" s="47">
        <f ca="1">E222-D222</f>
        <v>66305.239672786556</v>
      </c>
      <c r="F237" s="47">
        <f ca="1">F222-E222</f>
        <v>12571.168683021329</v>
      </c>
      <c r="G237" s="47">
        <f ca="1">G222-F222</f>
        <v>-1597.7178997080773</v>
      </c>
      <c r="H237" s="47">
        <f t="shared" ca="1" si="40"/>
        <v>-2068.9691014885902</v>
      </c>
      <c r="I237" s="47">
        <f t="shared" ca="1" si="40"/>
        <v>-1401.1541698994115</v>
      </c>
      <c r="J237" s="47">
        <f t="shared" ca="1" si="40"/>
        <v>-3231.9909368185326</v>
      </c>
      <c r="K237" s="47">
        <f t="shared" ca="1" si="40"/>
        <v>1872.2061734674498</v>
      </c>
      <c r="L237" s="47">
        <f t="shared" ca="1" si="39"/>
        <v>-1234.2179257171229</v>
      </c>
      <c r="M237" s="24"/>
      <c r="N237" s="40">
        <f ca="1">SUM(E237:L237)</f>
        <v>71214.564495643601</v>
      </c>
      <c r="O237" s="24"/>
      <c r="P237" s="24"/>
      <c r="Q237" s="24"/>
      <c r="R237" s="24"/>
    </row>
    <row r="238" spans="1:18" x14ac:dyDescent="0.25">
      <c r="A238" s="24"/>
      <c r="B238" s="28">
        <v>9</v>
      </c>
      <c r="C238" s="47">
        <f ca="1">C223</f>
        <v>6710971.3472714731</v>
      </c>
      <c r="D238" s="47">
        <f ca="1">D223-C223</f>
        <v>1447574.3186831288</v>
      </c>
      <c r="E238" s="47">
        <f ca="1">E223-D223</f>
        <v>71855.159207157791</v>
      </c>
      <c r="F238" s="47">
        <f t="shared" ref="F238:K238" ca="1" si="41">F223-E223</f>
        <v>13623.407917628996</v>
      </c>
      <c r="G238" s="47">
        <f t="shared" ca="1" si="41"/>
        <v>-1731.4510077666491</v>
      </c>
      <c r="H238" s="47">
        <f t="shared" ca="1" si="41"/>
        <v>-2242.1471502976492</v>
      </c>
      <c r="I238" s="47">
        <f t="shared" ca="1" si="41"/>
        <v>-1518.4343869164586</v>
      </c>
      <c r="J238" s="47">
        <f t="shared" ca="1" si="41"/>
        <v>-3502.5169121967629</v>
      </c>
      <c r="K238" s="47">
        <f t="shared" ca="1" si="41"/>
        <v>2028.914657831192</v>
      </c>
      <c r="L238" s="47">
        <f t="shared" ca="1" si="39"/>
        <v>-1337.5251486366615</v>
      </c>
      <c r="M238" s="24"/>
      <c r="N238" s="40">
        <f ca="1">SUM(D238:L238)</f>
        <v>1524749.7258599326</v>
      </c>
      <c r="O238" s="24"/>
      <c r="P238" s="24"/>
      <c r="Q238" s="24"/>
      <c r="R238" s="24"/>
    </row>
    <row r="239" spans="1:18" x14ac:dyDescent="0.2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41"/>
      <c r="O239" s="24"/>
      <c r="P239" s="24"/>
      <c r="Q239" s="24"/>
      <c r="R239" s="24"/>
    </row>
    <row r="240" spans="1:18" x14ac:dyDescent="0.2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44" t="s">
        <v>76</v>
      </c>
      <c r="N240" s="40">
        <f ca="1">SUM(N229:N238)</f>
        <v>1582516.0141173806</v>
      </c>
      <c r="O240" s="24"/>
      <c r="P240" s="24"/>
      <c r="Q240" s="24"/>
      <c r="R240" s="24"/>
    </row>
    <row r="241" spans="1:18" x14ac:dyDescent="0.2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</row>
    <row r="242" spans="1:18" x14ac:dyDescent="0.25">
      <c r="A242" s="24"/>
      <c r="B242" s="24"/>
      <c r="C242" s="42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</row>
    <row r="243" spans="1:18" x14ac:dyDescent="0.25">
      <c r="A243" s="24"/>
      <c r="B243" s="24"/>
      <c r="C243" s="28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</row>
    <row r="244" spans="1:18" x14ac:dyDescent="0.25">
      <c r="A244" s="24"/>
      <c r="B244" s="24"/>
      <c r="C244" s="28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</row>
    <row r="245" spans="1:18" x14ac:dyDescent="0.25">
      <c r="A245" s="24"/>
      <c r="B245" s="28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</row>
    <row r="246" spans="1:18" x14ac:dyDescent="0.25">
      <c r="A246" s="24"/>
      <c r="B246" s="28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</row>
    <row r="247" spans="1:18" x14ac:dyDescent="0.25">
      <c r="A247" s="24"/>
      <c r="B247" s="28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</row>
    <row r="248" spans="1:18" x14ac:dyDescent="0.25">
      <c r="A248" s="24"/>
      <c r="B248" s="28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</row>
    <row r="249" spans="1:18" x14ac:dyDescent="0.25">
      <c r="A249" s="24"/>
      <c r="B249" s="28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</row>
    <row r="250" spans="1:18" x14ac:dyDescent="0.25">
      <c r="A250" s="24"/>
      <c r="B250" s="28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</row>
    <row r="251" spans="1:18" x14ac:dyDescent="0.25">
      <c r="A251" s="24"/>
      <c r="B251" s="28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</row>
    <row r="252" spans="1:18" x14ac:dyDescent="0.25">
      <c r="A252" s="24"/>
      <c r="B252" s="28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</row>
    <row r="253" spans="1:18" x14ac:dyDescent="0.25">
      <c r="A253" s="24"/>
      <c r="B253" s="28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</row>
    <row r="254" spans="1:18" x14ac:dyDescent="0.25">
      <c r="A254" s="24"/>
      <c r="B254" s="28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</row>
    <row r="255" spans="1:18" x14ac:dyDescent="0.2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</row>
    <row r="256" spans="1:18" x14ac:dyDescent="0.2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</row>
    <row r="257" spans="1:39" x14ac:dyDescent="0.2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54"/>
      <c r="R257" s="77" t="s">
        <v>91</v>
      </c>
      <c r="S257" s="77"/>
      <c r="T257" s="77"/>
      <c r="U257" s="77"/>
      <c r="V257" s="77"/>
      <c r="W257" s="77"/>
      <c r="X257" s="77"/>
      <c r="Y257" s="77"/>
      <c r="Z257" s="77"/>
      <c r="AA257" s="77"/>
      <c r="AC257" s="54"/>
      <c r="AD257" s="77" t="s">
        <v>91</v>
      </c>
      <c r="AE257" s="77"/>
      <c r="AF257" s="77"/>
      <c r="AG257" s="77"/>
      <c r="AH257" s="77"/>
      <c r="AI257" s="77"/>
      <c r="AJ257" s="77"/>
      <c r="AK257" s="77"/>
      <c r="AL257" s="77"/>
      <c r="AM257" s="77"/>
    </row>
    <row r="258" spans="1:39" x14ac:dyDescent="0.25">
      <c r="A258" s="24"/>
      <c r="B258" s="24"/>
      <c r="C258" s="42" t="s">
        <v>92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55" t="s">
        <v>93</v>
      </c>
      <c r="R258" s="55">
        <v>1</v>
      </c>
      <c r="S258" s="55">
        <v>2</v>
      </c>
      <c r="T258" s="55">
        <v>3</v>
      </c>
      <c r="U258" s="55">
        <v>4</v>
      </c>
      <c r="V258" s="55">
        <v>5</v>
      </c>
      <c r="W258" s="55">
        <v>6</v>
      </c>
      <c r="X258" s="55">
        <v>7</v>
      </c>
      <c r="Y258" s="55">
        <v>8</v>
      </c>
      <c r="Z258" s="55">
        <v>9</v>
      </c>
      <c r="AA258" s="55" t="s">
        <v>76</v>
      </c>
      <c r="AC258" s="55" t="s">
        <v>93</v>
      </c>
      <c r="AD258" s="55">
        <v>1</v>
      </c>
      <c r="AE258" s="55">
        <v>2</v>
      </c>
      <c r="AF258" s="55">
        <v>3</v>
      </c>
      <c r="AG258" s="55">
        <v>4</v>
      </c>
      <c r="AH258" s="55">
        <v>5</v>
      </c>
      <c r="AI258" s="55">
        <v>6</v>
      </c>
      <c r="AJ258" s="55">
        <v>7</v>
      </c>
      <c r="AK258" s="55">
        <v>8</v>
      </c>
      <c r="AL258" s="55">
        <v>9</v>
      </c>
      <c r="AM258" s="55" t="s">
        <v>76</v>
      </c>
    </row>
    <row r="259" spans="1:39" x14ac:dyDescent="0.25">
      <c r="A259" s="24"/>
      <c r="B259" s="24"/>
      <c r="C259" s="42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55">
        <v>1</v>
      </c>
      <c r="R259" s="54">
        <v>-922.1678806906566</v>
      </c>
      <c r="S259" s="54">
        <v>-1064.7120128255337</v>
      </c>
      <c r="T259" s="54">
        <v>-3475.2117406055331</v>
      </c>
      <c r="U259" s="54">
        <v>-2963.4609191035852</v>
      </c>
      <c r="V259" s="54">
        <v>-2879.0070795379579</v>
      </c>
      <c r="W259" s="54">
        <v>-4315.910944359377</v>
      </c>
      <c r="X259" s="54">
        <v>6654.028294082731</v>
      </c>
      <c r="Y259" s="54">
        <v>66424.299218951724</v>
      </c>
      <c r="Z259" s="54">
        <v>1452303.219859492</v>
      </c>
      <c r="AA259" s="54">
        <f>SUM(R259:Z259)</f>
        <v>1509761.0767954038</v>
      </c>
      <c r="AC259" s="55">
        <v>1</v>
      </c>
      <c r="AD259" s="54">
        <f>R259*$L$268</f>
        <v>-866.69099039544426</v>
      </c>
      <c r="AE259" s="54">
        <f>S259*$L$269</f>
        <v>-936.91771089304245</v>
      </c>
      <c r="AF259" s="54">
        <f>T259*$L$270</f>
        <v>-2859.2756749455784</v>
      </c>
      <c r="AG259" s="54">
        <f>U259*$L$271</f>
        <v>-2281.9777010291587</v>
      </c>
      <c r="AH259" s="54">
        <f>V259*$L$272</f>
        <v>-2077.4250672687499</v>
      </c>
      <c r="AI259" s="54">
        <f>W259*$L$273</f>
        <v>-2921.1155866674194</v>
      </c>
      <c r="AJ259" s="54">
        <f>X259*$L$274</f>
        <v>4227.9822512659803</v>
      </c>
      <c r="AK259" s="54">
        <f>Y259*$L$275</f>
        <v>39629.737144673054</v>
      </c>
      <c r="AL259" s="54">
        <f>Z259*$L$276</f>
        <v>813048.36080023006</v>
      </c>
      <c r="AM259" s="54">
        <f>SUM(AD259:AL259)</f>
        <v>844962.67746496969</v>
      </c>
    </row>
    <row r="260" spans="1:39" x14ac:dyDescent="0.25">
      <c r="A260" s="24"/>
      <c r="B260" s="44" t="s">
        <v>24</v>
      </c>
      <c r="C260" s="54">
        <f ca="1">$N$230</f>
        <v>-811.00643903575838</v>
      </c>
      <c r="D260" s="54">
        <f ca="1">$N$231</f>
        <v>413.90874243807048</v>
      </c>
      <c r="E260" s="54">
        <f ca="1">$N$232</f>
        <v>-1803.6302002826706</v>
      </c>
      <c r="F260" s="54">
        <f ca="1">$N$233</f>
        <v>-3095.827111360617</v>
      </c>
      <c r="G260" s="54">
        <f ca="1">$N$234</f>
        <v>-5464.5515004992485</v>
      </c>
      <c r="H260" s="54">
        <f ca="1">$N$235</f>
        <v>-7212.6225137393922</v>
      </c>
      <c r="I260" s="54">
        <f ca="1">$N$236</f>
        <v>4525.452784284018</v>
      </c>
      <c r="J260" s="54">
        <f ca="1">$N$237</f>
        <v>71214.564495643601</v>
      </c>
      <c r="K260" s="54">
        <f ca="1">$N$238</f>
        <v>1524749.7258599326</v>
      </c>
      <c r="L260" s="54">
        <f ca="1">$N$240</f>
        <v>1582516.0141173806</v>
      </c>
      <c r="M260" s="53"/>
      <c r="N260" s="53"/>
      <c r="O260" s="53"/>
      <c r="P260" s="53"/>
      <c r="Q260" s="55">
        <v>2</v>
      </c>
      <c r="R260" s="54">
        <v>-1199.8516065077856</v>
      </c>
      <c r="S260" s="54">
        <v>-2288.5588157810271</v>
      </c>
      <c r="T260" s="54">
        <v>-2639.9087035721168</v>
      </c>
      <c r="U260" s="54">
        <v>-3830.5601676562801</v>
      </c>
      <c r="V260" s="54">
        <v>-7248.367206685245</v>
      </c>
      <c r="W260" s="54">
        <v>-8131.6575262658298</v>
      </c>
      <c r="X260" s="54">
        <v>8250.1654272042215</v>
      </c>
      <c r="Y260" s="54">
        <v>77069.991686851718</v>
      </c>
      <c r="Z260" s="54">
        <v>1501643.2726630168</v>
      </c>
      <c r="AA260" s="54">
        <f t="shared" ref="AA260:AA323" si="42">SUM(R260:Z260)</f>
        <v>1561624.5257506045</v>
      </c>
      <c r="AC260" s="55">
        <v>2</v>
      </c>
      <c r="AD260" s="54">
        <f t="shared" ref="AD260:AD323" si="43">R260*$L$268</f>
        <v>-1127.669482906914</v>
      </c>
      <c r="AE260" s="54">
        <f t="shared" ref="AE260:AE323" si="44">S260*$L$269</f>
        <v>-2013.8697235465534</v>
      </c>
      <c r="AF260" s="54">
        <f t="shared" ref="AF260:AF323" si="45">T260*$L$270</f>
        <v>-2172.0192332469624</v>
      </c>
      <c r="AG260" s="54">
        <f t="shared" ref="AG260:AG323" si="46">U260*$L$271</f>
        <v>-2949.67712538159</v>
      </c>
      <c r="AH260" s="54">
        <f t="shared" ref="AH260:AH323" si="47">V260*$L$272</f>
        <v>-5230.2544995315866</v>
      </c>
      <c r="AI260" s="54">
        <f t="shared" ref="AI260:AI323" si="48">W260*$L$273</f>
        <v>-5503.7075258609966</v>
      </c>
      <c r="AJ260" s="54">
        <f t="shared" ref="AJ260:AJ323" si="49">X260*$L$274</f>
        <v>5242.1708256406127</v>
      </c>
      <c r="AK260" s="54">
        <f t="shared" ref="AK260:AK323" si="50">Y260*$L$275</f>
        <v>45981.117576030811</v>
      </c>
      <c r="AL260" s="54">
        <f t="shared" ref="AL260:AL323" si="51">Z260*$L$276</f>
        <v>840670.58769137738</v>
      </c>
      <c r="AM260" s="54">
        <f t="shared" ref="AM260:AM323" si="52">SUM(AD260:AL260)</f>
        <v>872896.67850257421</v>
      </c>
    </row>
    <row r="261" spans="1:39" x14ac:dyDescent="0.25">
      <c r="A261" s="24"/>
      <c r="B261" s="44" t="s">
        <v>94</v>
      </c>
      <c r="C261" s="40">
        <f>AVERAGE(AD259:AD358)</f>
        <v>-384.8427443776456</v>
      </c>
      <c r="D261" s="40">
        <f t="shared" ref="D261:L261" si="53">AVERAGE(AE259:AE358)</f>
        <v>-1050.2483493453897</v>
      </c>
      <c r="E261" s="40">
        <f t="shared" si="53"/>
        <v>-1743.503775218516</v>
      </c>
      <c r="F261" s="40">
        <f t="shared" si="53"/>
        <v>-2362.7516482343181</v>
      </c>
      <c r="G261" s="40">
        <f t="shared" si="53"/>
        <v>-3668.9243914310609</v>
      </c>
      <c r="H261" s="40">
        <f t="shared" si="53"/>
        <v>-3803.7682630617533</v>
      </c>
      <c r="I261" s="40">
        <f t="shared" si="53"/>
        <v>2894.0917884278042</v>
      </c>
      <c r="J261" s="40">
        <f t="shared" si="53"/>
        <v>38807.590385026422</v>
      </c>
      <c r="K261" s="40">
        <f t="shared" si="53"/>
        <v>805357.15968049702</v>
      </c>
      <c r="L261" s="40">
        <f t="shared" si="53"/>
        <v>834044.80268228264</v>
      </c>
      <c r="M261" s="53"/>
      <c r="N261" s="53"/>
      <c r="O261" s="53"/>
      <c r="P261" s="53"/>
      <c r="Q261" s="55">
        <v>3</v>
      </c>
      <c r="R261" s="54">
        <v>-1305.0157161038369</v>
      </c>
      <c r="S261" s="54">
        <v>-2319.5521308081225</v>
      </c>
      <c r="T261" s="54">
        <v>-3576.099226214923</v>
      </c>
      <c r="U261" s="54">
        <v>-3159.54853854049</v>
      </c>
      <c r="V261" s="54">
        <v>-6161.8393196035177</v>
      </c>
      <c r="W261" s="54">
        <v>-7024.4565962674096</v>
      </c>
      <c r="X261" s="54">
        <v>6411.596113213338</v>
      </c>
      <c r="Y261" s="54">
        <v>75458.628374161199</v>
      </c>
      <c r="Z261" s="54">
        <v>1398302.0875823107</v>
      </c>
      <c r="AA261" s="54">
        <f t="shared" si="42"/>
        <v>1456625.8005421469</v>
      </c>
      <c r="AC261" s="55">
        <v>3</v>
      </c>
      <c r="AD261" s="54">
        <f t="shared" si="43"/>
        <v>-1226.5070028513237</v>
      </c>
      <c r="AE261" s="54">
        <f t="shared" si="44"/>
        <v>-2041.1430006565877</v>
      </c>
      <c r="AF261" s="54">
        <f t="shared" si="45"/>
        <v>-2942.2821663598502</v>
      </c>
      <c r="AG261" s="54">
        <f t="shared" si="46"/>
        <v>-2432.9726313548344</v>
      </c>
      <c r="AH261" s="54">
        <f t="shared" si="47"/>
        <v>-4446.2410509532046</v>
      </c>
      <c r="AI261" s="54">
        <f t="shared" si="48"/>
        <v>-4754.3264714585603</v>
      </c>
      <c r="AJ261" s="54">
        <f t="shared" si="49"/>
        <v>4073.9403818072942</v>
      </c>
      <c r="AK261" s="54">
        <f t="shared" si="50"/>
        <v>45019.753959442212</v>
      </c>
      <c r="AL261" s="54">
        <f t="shared" si="51"/>
        <v>782816.70429838297</v>
      </c>
      <c r="AM261" s="54">
        <f t="shared" si="52"/>
        <v>814066.92631599808</v>
      </c>
    </row>
    <row r="262" spans="1:39" x14ac:dyDescent="0.25">
      <c r="A262" s="24"/>
      <c r="B262" s="44" t="s">
        <v>95</v>
      </c>
      <c r="C262" s="40">
        <f>_xlfn.STDEV.S(AD259:AD358)</f>
        <v>1099.0894982660793</v>
      </c>
      <c r="D262" s="40">
        <f t="shared" ref="D262:K262" si="54">_xlfn.STDEV.S(AE259:AE358)</f>
        <v>1387.4829555984429</v>
      </c>
      <c r="E262" s="40">
        <f t="shared" si="54"/>
        <v>1660.459646605412</v>
      </c>
      <c r="F262" s="40">
        <f t="shared" si="54"/>
        <v>1786.3896092069901</v>
      </c>
      <c r="G262" s="40">
        <f t="shared" si="54"/>
        <v>2311.0243779009684</v>
      </c>
      <c r="H262" s="40">
        <f t="shared" si="54"/>
        <v>2217.8519293681138</v>
      </c>
      <c r="I262" s="40">
        <f t="shared" si="54"/>
        <v>2882.4164178063747</v>
      </c>
      <c r="J262" s="40">
        <f t="shared" si="54"/>
        <v>4631.0160396079473</v>
      </c>
      <c r="K262" s="40">
        <f t="shared" si="54"/>
        <v>26698.356844916241</v>
      </c>
      <c r="L262" s="40">
        <f>_xlfn.STDEV.S(AM259:AM358)</f>
        <v>31745.856843066085</v>
      </c>
      <c r="M262" s="24"/>
      <c r="N262" s="24"/>
      <c r="O262" s="24"/>
      <c r="P262" s="24"/>
      <c r="Q262" s="55">
        <v>4</v>
      </c>
      <c r="R262" s="54">
        <v>-2466.2249165140092</v>
      </c>
      <c r="S262" s="54">
        <v>-1565.1470074476674</v>
      </c>
      <c r="T262" s="54">
        <v>-2748.956284427084</v>
      </c>
      <c r="U262" s="54">
        <v>-3395.9976338483393</v>
      </c>
      <c r="V262" s="54">
        <v>-5064.0152379097417</v>
      </c>
      <c r="W262" s="54">
        <v>-6197.5734903132543</v>
      </c>
      <c r="X262" s="54">
        <v>2975.4546573199332</v>
      </c>
      <c r="Y262" s="54">
        <v>63626.092785649002</v>
      </c>
      <c r="Z262" s="54">
        <v>1474823.0524361124</v>
      </c>
      <c r="AA262" s="54">
        <f t="shared" si="42"/>
        <v>1519986.6853086213</v>
      </c>
      <c r="AC262" s="55">
        <v>4</v>
      </c>
      <c r="AD262" s="54">
        <f t="shared" si="43"/>
        <v>-2317.8587762464726</v>
      </c>
      <c r="AE262" s="54">
        <f t="shared" si="44"/>
        <v>-1377.2869412240345</v>
      </c>
      <c r="AF262" s="54">
        <f t="shared" si="45"/>
        <v>-2261.739549194082</v>
      </c>
      <c r="AG262" s="54">
        <f t="shared" si="46"/>
        <v>-2615.0474343133446</v>
      </c>
      <c r="AH262" s="54">
        <f t="shared" si="47"/>
        <v>-3654.0765290347804</v>
      </c>
      <c r="AI262" s="54">
        <f t="shared" si="48"/>
        <v>-4194.6714738707497</v>
      </c>
      <c r="AJ262" s="54">
        <f t="shared" si="49"/>
        <v>1890.609556286772</v>
      </c>
      <c r="AK262" s="54">
        <f t="shared" si="50"/>
        <v>37960.285050601415</v>
      </c>
      <c r="AL262" s="54">
        <f t="shared" si="51"/>
        <v>825655.72316887393</v>
      </c>
      <c r="AM262" s="54">
        <f t="shared" si="52"/>
        <v>849085.9370718787</v>
      </c>
    </row>
    <row r="263" spans="1:39" x14ac:dyDescent="0.25">
      <c r="A263" s="24"/>
      <c r="B263" s="44" t="s">
        <v>96</v>
      </c>
      <c r="C263" s="56">
        <f>C262/C261</f>
        <v>-2.8559444456812844</v>
      </c>
      <c r="D263" s="56">
        <f t="shared" ref="D263:K263" si="55">D262/D261</f>
        <v>-1.3210998679152874</v>
      </c>
      <c r="E263" s="56">
        <f t="shared" si="55"/>
        <v>-0.95236940132079961</v>
      </c>
      <c r="F263" s="56">
        <f t="shared" si="55"/>
        <v>-0.756063215760301</v>
      </c>
      <c r="G263" s="56">
        <f t="shared" si="55"/>
        <v>-0.6298915244202008</v>
      </c>
      <c r="H263" s="56">
        <f t="shared" si="55"/>
        <v>-0.58306704719779812</v>
      </c>
      <c r="I263" s="56">
        <f t="shared" si="55"/>
        <v>0.99596579117907935</v>
      </c>
      <c r="J263" s="56">
        <f t="shared" si="55"/>
        <v>0.11933273861277369</v>
      </c>
      <c r="K263" s="56">
        <f t="shared" si="55"/>
        <v>3.315095237435782E-2</v>
      </c>
      <c r="L263" s="56">
        <f>L262/L261</f>
        <v>3.8062531821997592E-2</v>
      </c>
      <c r="M263" s="24"/>
      <c r="N263" s="24"/>
      <c r="O263" s="24"/>
      <c r="P263" s="24"/>
      <c r="Q263" s="55">
        <v>5</v>
      </c>
      <c r="R263" s="54">
        <v>-423.0359941618517</v>
      </c>
      <c r="S263" s="54">
        <v>-1370.7260923571885</v>
      </c>
      <c r="T263" s="54">
        <v>-4173.8239047359675</v>
      </c>
      <c r="U263" s="54">
        <v>-5914.4983848314732</v>
      </c>
      <c r="V263" s="54">
        <v>-7646.5179378818721</v>
      </c>
      <c r="W263" s="54">
        <v>-8919.2902440419421</v>
      </c>
      <c r="X263" s="54">
        <v>-2218.9544304730371</v>
      </c>
      <c r="Y263" s="54">
        <v>61298.229993245564</v>
      </c>
      <c r="Z263" s="54">
        <v>1433185.2981962478</v>
      </c>
      <c r="AA263" s="54">
        <f t="shared" si="42"/>
        <v>1463816.68120101</v>
      </c>
      <c r="AC263" s="55">
        <v>5</v>
      </c>
      <c r="AD263" s="54">
        <f t="shared" si="43"/>
        <v>-397.58648336185911</v>
      </c>
      <c r="AE263" s="54">
        <f t="shared" si="44"/>
        <v>-1206.2018059742732</v>
      </c>
      <c r="AF263" s="54">
        <f t="shared" si="45"/>
        <v>-3434.0679225026101</v>
      </c>
      <c r="AG263" s="54">
        <f t="shared" si="46"/>
        <v>-4554.3888701056394</v>
      </c>
      <c r="AH263" s="54">
        <f t="shared" si="47"/>
        <v>-5517.5508786957525</v>
      </c>
      <c r="AI263" s="54">
        <f t="shared" si="48"/>
        <v>-6036.7968870935256</v>
      </c>
      <c r="AJ263" s="54">
        <f t="shared" si="49"/>
        <v>-1409.9278713243427</v>
      </c>
      <c r="AK263" s="54">
        <f t="shared" si="50"/>
        <v>36571.447055220771</v>
      </c>
      <c r="AL263" s="54">
        <f t="shared" si="51"/>
        <v>802345.50298262388</v>
      </c>
      <c r="AM263" s="54">
        <f t="shared" si="52"/>
        <v>816360.4293187866</v>
      </c>
    </row>
    <row r="264" spans="1:39" x14ac:dyDescent="0.25">
      <c r="A264" s="24"/>
      <c r="B264" s="44" t="s">
        <v>97</v>
      </c>
      <c r="C264" s="44">
        <v>1</v>
      </c>
      <c r="D264" s="44">
        <v>2</v>
      </c>
      <c r="E264" s="44">
        <v>3</v>
      </c>
      <c r="F264" s="44">
        <v>4</v>
      </c>
      <c r="G264" s="44">
        <v>5</v>
      </c>
      <c r="H264" s="44">
        <v>6</v>
      </c>
      <c r="I264" s="44">
        <v>7</v>
      </c>
      <c r="J264" s="44">
        <v>8</v>
      </c>
      <c r="K264" s="44">
        <v>9</v>
      </c>
      <c r="L264" s="44" t="s">
        <v>76</v>
      </c>
      <c r="M264" s="24"/>
      <c r="N264" s="24"/>
      <c r="O264" s="24"/>
      <c r="P264" s="24"/>
      <c r="Q264" s="55">
        <v>6</v>
      </c>
      <c r="R264" s="54">
        <v>-223.5813308833167</v>
      </c>
      <c r="S264" s="54">
        <v>-2380.4338722322136</v>
      </c>
      <c r="T264" s="54">
        <v>-3146.9141818396747</v>
      </c>
      <c r="U264" s="54">
        <v>-5173.9805977456272</v>
      </c>
      <c r="V264" s="54">
        <v>-8873.2248148992658</v>
      </c>
      <c r="W264" s="54">
        <v>-8889.8299138247967</v>
      </c>
      <c r="X264" s="54">
        <v>-165.29099718481302</v>
      </c>
      <c r="Y264" s="54">
        <v>64056.725748220459</v>
      </c>
      <c r="Z264" s="54">
        <v>1467575.442828835</v>
      </c>
      <c r="AA264" s="54">
        <f t="shared" si="42"/>
        <v>1502778.9128684457</v>
      </c>
      <c r="AC264" s="55">
        <v>6</v>
      </c>
      <c r="AD264" s="54">
        <f t="shared" si="43"/>
        <v>-210.13085486350383</v>
      </c>
      <c r="AE264" s="54">
        <f t="shared" si="44"/>
        <v>-2094.7172828316011</v>
      </c>
      <c r="AF264" s="54">
        <f t="shared" si="45"/>
        <v>-2589.1645870497732</v>
      </c>
      <c r="AG264" s="54">
        <f t="shared" si="46"/>
        <v>-3984.1619889438261</v>
      </c>
      <c r="AH264" s="54">
        <f t="shared" si="47"/>
        <v>-6402.7142513804356</v>
      </c>
      <c r="AI264" s="54">
        <f t="shared" si="48"/>
        <v>-6016.8574048161763</v>
      </c>
      <c r="AJ264" s="54">
        <f t="shared" si="49"/>
        <v>-105.02621442306054</v>
      </c>
      <c r="AK264" s="54">
        <f t="shared" si="50"/>
        <v>38217.207160630533</v>
      </c>
      <c r="AL264" s="54">
        <f t="shared" si="51"/>
        <v>821598.26668847934</v>
      </c>
      <c r="AM264" s="54">
        <f t="shared" si="52"/>
        <v>838412.70126480155</v>
      </c>
    </row>
    <row r="265" spans="1:39" x14ac:dyDescent="0.2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55">
        <v>7</v>
      </c>
      <c r="R265" s="54">
        <v>-102.86062927078456</v>
      </c>
      <c r="S265" s="54">
        <v>-2595.6129960156977</v>
      </c>
      <c r="T265" s="54">
        <v>-4414.6762832775712</v>
      </c>
      <c r="U265" s="54">
        <v>-5022.9073867946863</v>
      </c>
      <c r="V265" s="54">
        <v>-7353.9950705952942</v>
      </c>
      <c r="W265" s="54">
        <v>-5550.190471040085</v>
      </c>
      <c r="X265" s="54">
        <v>7038.6464017955586</v>
      </c>
      <c r="Y265" s="54">
        <v>68815.973517717794</v>
      </c>
      <c r="Z265" s="54">
        <v>1413326.2905752901</v>
      </c>
      <c r="AA265" s="54">
        <f t="shared" si="42"/>
        <v>1464140.6676578093</v>
      </c>
      <c r="AC265" s="55">
        <v>7</v>
      </c>
      <c r="AD265" s="54">
        <f t="shared" si="43"/>
        <v>-96.672615173527092</v>
      </c>
      <c r="AE265" s="54">
        <f t="shared" si="44"/>
        <v>-2284.0690790531658</v>
      </c>
      <c r="AF265" s="54">
        <f t="shared" si="45"/>
        <v>-3632.2323506352095</v>
      </c>
      <c r="AG265" s="54">
        <f t="shared" si="46"/>
        <v>-3867.8298664614408</v>
      </c>
      <c r="AH265" s="54">
        <f t="shared" si="47"/>
        <v>-5306.4731284638938</v>
      </c>
      <c r="AI265" s="54">
        <f t="shared" si="48"/>
        <v>-3756.5065875877758</v>
      </c>
      <c r="AJ265" s="54">
        <f t="shared" si="49"/>
        <v>4472.369329447095</v>
      </c>
      <c r="AK265" s="54">
        <f t="shared" si="50"/>
        <v>41056.64604563632</v>
      </c>
      <c r="AL265" s="54">
        <f t="shared" si="51"/>
        <v>791227.76023266208</v>
      </c>
      <c r="AM265" s="54">
        <f t="shared" si="52"/>
        <v>817812.99198037048</v>
      </c>
    </row>
    <row r="266" spans="1:39" x14ac:dyDescent="0.2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55">
        <v>8</v>
      </c>
      <c r="R266" s="54">
        <v>-615.63360099960119</v>
      </c>
      <c r="S266" s="54">
        <v>-366.32403697352856</v>
      </c>
      <c r="T266" s="54">
        <v>-926.42994390428066</v>
      </c>
      <c r="U266" s="54">
        <v>-1814.3758416539058</v>
      </c>
      <c r="V266" s="54">
        <v>-3664.3542111581191</v>
      </c>
      <c r="W266" s="54">
        <v>-5895.8371701417491</v>
      </c>
      <c r="X266" s="54">
        <v>3913.1982675045729</v>
      </c>
      <c r="Y266" s="54">
        <v>59670.332758621313</v>
      </c>
      <c r="Z266" s="54">
        <v>1403674.2302510245</v>
      </c>
      <c r="AA266" s="54">
        <f t="shared" si="42"/>
        <v>1453974.8064723192</v>
      </c>
      <c r="AC266" s="55">
        <v>8</v>
      </c>
      <c r="AD266" s="54">
        <f t="shared" si="43"/>
        <v>-578.59757051118049</v>
      </c>
      <c r="AE266" s="54">
        <f t="shared" si="44"/>
        <v>-322.35522285083556</v>
      </c>
      <c r="AF266" s="54">
        <f t="shared" si="45"/>
        <v>-762.23228996261082</v>
      </c>
      <c r="AG266" s="54">
        <f t="shared" si="46"/>
        <v>-1397.138455665088</v>
      </c>
      <c r="AH266" s="54">
        <f t="shared" si="47"/>
        <v>-2644.1134333137434</v>
      </c>
      <c r="AI266" s="54">
        <f t="shared" si="48"/>
        <v>-3990.4488475747653</v>
      </c>
      <c r="AJ266" s="54">
        <f t="shared" si="49"/>
        <v>2486.4536322166127</v>
      </c>
      <c r="AK266" s="54">
        <f t="shared" si="50"/>
        <v>35600.219051835338</v>
      </c>
      <c r="AL266" s="54">
        <f t="shared" si="51"/>
        <v>785824.21108557121</v>
      </c>
      <c r="AM266" s="54">
        <f t="shared" si="52"/>
        <v>814215.99794974492</v>
      </c>
    </row>
    <row r="267" spans="1:39" x14ac:dyDescent="0.25">
      <c r="A267" s="24"/>
      <c r="B267" s="42"/>
      <c r="C267" s="53"/>
      <c r="D267" s="53"/>
      <c r="E267" s="53"/>
      <c r="F267" s="53"/>
      <c r="G267" s="53"/>
      <c r="H267" s="53"/>
      <c r="I267" s="53"/>
      <c r="J267" s="53" t="s">
        <v>97</v>
      </c>
      <c r="K267" s="53" t="s">
        <v>98</v>
      </c>
      <c r="L267" t="s">
        <v>99</v>
      </c>
      <c r="M267" s="40" t="s">
        <v>100</v>
      </c>
      <c r="N267" s="40">
        <f>LARGE(AM259:AM358,5)</f>
        <v>889646.71598997538</v>
      </c>
      <c r="O267" s="24"/>
      <c r="P267" s="24"/>
      <c r="Q267" s="55">
        <v>9</v>
      </c>
      <c r="R267" s="54">
        <v>435.74256433732808</v>
      </c>
      <c r="S267" s="54">
        <v>-832.80554365180433</v>
      </c>
      <c r="T267" s="54">
        <v>-1789.0862739123404</v>
      </c>
      <c r="U267" s="54">
        <v>-3153.6634633075446</v>
      </c>
      <c r="V267" s="54">
        <v>-4525.209394604899</v>
      </c>
      <c r="W267" s="54">
        <v>-4157.3897091019899</v>
      </c>
      <c r="X267" s="54">
        <v>1686.4619796006009</v>
      </c>
      <c r="Y267" s="54">
        <v>58645.528007812798</v>
      </c>
      <c r="Z267" s="54">
        <v>1381991.8477657363</v>
      </c>
      <c r="AA267" s="54">
        <f t="shared" si="42"/>
        <v>1428301.4259329084</v>
      </c>
      <c r="AC267" s="55">
        <v>9</v>
      </c>
      <c r="AD267" s="54">
        <f t="shared" si="43"/>
        <v>409.52863632609478</v>
      </c>
      <c r="AE267" s="54">
        <f t="shared" si="44"/>
        <v>-732.84630414435014</v>
      </c>
      <c r="AF267" s="54">
        <f t="shared" si="45"/>
        <v>-1471.9940093449488</v>
      </c>
      <c r="AG267" s="54">
        <f t="shared" si="46"/>
        <v>-2428.4408994315659</v>
      </c>
      <c r="AH267" s="54">
        <f t="shared" si="47"/>
        <v>-3265.2866669924833</v>
      </c>
      <c r="AI267" s="54">
        <f t="shared" si="48"/>
        <v>-2813.8244824027879</v>
      </c>
      <c r="AJ267" s="54">
        <f t="shared" si="49"/>
        <v>1071.5811538593944</v>
      </c>
      <c r="AK267" s="54">
        <f t="shared" si="50"/>
        <v>34988.805105784006</v>
      </c>
      <c r="AL267" s="54">
        <f t="shared" si="51"/>
        <v>773685.68154377711</v>
      </c>
      <c r="AM267" s="54">
        <f t="shared" si="52"/>
        <v>799443.20407743042</v>
      </c>
    </row>
    <row r="268" spans="1:39" x14ac:dyDescent="0.25">
      <c r="A268" s="24"/>
      <c r="B268" s="42"/>
      <c r="C268" s="53"/>
      <c r="D268" s="53"/>
      <c r="E268" s="53"/>
      <c r="F268" s="53"/>
      <c r="G268" s="53"/>
      <c r="H268" s="53"/>
      <c r="I268" s="53"/>
      <c r="J268" s="53">
        <v>1</v>
      </c>
      <c r="K268" s="57">
        <v>6.4009999999999997E-2</v>
      </c>
      <c r="L268">
        <v>0.93984079097000972</v>
      </c>
      <c r="M268" s="53"/>
      <c r="N268" s="53"/>
      <c r="O268" s="53"/>
      <c r="P268" s="53"/>
      <c r="Q268" s="55">
        <v>10</v>
      </c>
      <c r="R268" s="54">
        <v>-246.36897699441761</v>
      </c>
      <c r="S268" s="54">
        <v>460.85073578637093</v>
      </c>
      <c r="T268" s="54">
        <v>915.78481286764145</v>
      </c>
      <c r="U268" s="54">
        <v>143.93698365241289</v>
      </c>
      <c r="V268" s="54">
        <v>-815.10428695287555</v>
      </c>
      <c r="W268" s="54">
        <v>-1533.491714309901</v>
      </c>
      <c r="X268" s="54">
        <v>2690.6308032367378</v>
      </c>
      <c r="Y268" s="54">
        <v>66785.794607013464</v>
      </c>
      <c r="Z268" s="54">
        <v>1421753.7561944574</v>
      </c>
      <c r="AA268" s="54">
        <f t="shared" si="42"/>
        <v>1490155.7891587568</v>
      </c>
      <c r="AC268" s="55">
        <v>10</v>
      </c>
      <c r="AD268" s="54">
        <f t="shared" si="43"/>
        <v>-231.54761420890557</v>
      </c>
      <c r="AE268" s="54">
        <f t="shared" si="44"/>
        <v>405.53615553795146</v>
      </c>
      <c r="AF268" s="54">
        <f t="shared" si="45"/>
        <v>753.47386990030782</v>
      </c>
      <c r="AG268" s="54">
        <f t="shared" si="46"/>
        <v>110.83695584808342</v>
      </c>
      <c r="AH268" s="54">
        <f t="shared" si="47"/>
        <v>-588.16044260157878</v>
      </c>
      <c r="AI268" s="54">
        <f t="shared" si="48"/>
        <v>-1037.9052316986349</v>
      </c>
      <c r="AJ268" s="54">
        <f t="shared" si="49"/>
        <v>1709.6319369292146</v>
      </c>
      <c r="AK268" s="54">
        <f t="shared" si="50"/>
        <v>39845.410736661972</v>
      </c>
      <c r="AL268" s="54">
        <f t="shared" si="51"/>
        <v>795945.7399311628</v>
      </c>
      <c r="AM268" s="54">
        <f t="shared" si="52"/>
        <v>836913.0162975312</v>
      </c>
    </row>
    <row r="269" spans="1:39" x14ac:dyDescent="0.25">
      <c r="A269" s="24"/>
      <c r="B269" s="24"/>
      <c r="C269" s="24"/>
      <c r="D269" s="28"/>
      <c r="E269" s="24"/>
      <c r="F269" s="24"/>
      <c r="G269" s="24"/>
      <c r="H269" s="24"/>
      <c r="I269" s="24"/>
      <c r="J269" s="24">
        <v>2</v>
      </c>
      <c r="K269" s="57">
        <v>6.6019999999999995E-2</v>
      </c>
      <c r="L269">
        <v>0.87997289370921006</v>
      </c>
      <c r="M269" s="24"/>
      <c r="N269" s="24"/>
      <c r="O269" s="24"/>
      <c r="P269" s="24"/>
      <c r="Q269" s="55">
        <v>11</v>
      </c>
      <c r="R269" s="54">
        <v>-152.18795040436089</v>
      </c>
      <c r="S269" s="54">
        <v>-1683.4645625976846</v>
      </c>
      <c r="T269" s="54">
        <v>-2041.0587918180972</v>
      </c>
      <c r="U269" s="54">
        <v>-1804.4767356198281</v>
      </c>
      <c r="V269" s="54">
        <v>-4266.7863274142146</v>
      </c>
      <c r="W269" s="54">
        <v>-5335.0526845194399</v>
      </c>
      <c r="X269" s="54">
        <v>2945.3633534274995</v>
      </c>
      <c r="Y269" s="54">
        <v>60351.826448478736</v>
      </c>
      <c r="Z269" s="54">
        <v>1353376.122235924</v>
      </c>
      <c r="AA269" s="54">
        <f t="shared" si="42"/>
        <v>1401390.2849854566</v>
      </c>
      <c r="AC269" s="55">
        <v>11</v>
      </c>
      <c r="AD269" s="54">
        <f t="shared" si="43"/>
        <v>-143.03244368413914</v>
      </c>
      <c r="AE269" s="54">
        <f t="shared" si="44"/>
        <v>-1481.4031826059941</v>
      </c>
      <c r="AF269" s="54">
        <f t="shared" si="45"/>
        <v>-1679.3076768215626</v>
      </c>
      <c r="AG269" s="54">
        <f t="shared" si="46"/>
        <v>-1389.5157672455216</v>
      </c>
      <c r="AH269" s="54">
        <f t="shared" si="47"/>
        <v>-3078.8145455593667</v>
      </c>
      <c r="AI269" s="54">
        <f t="shared" si="48"/>
        <v>-3610.8959970106189</v>
      </c>
      <c r="AJ269" s="54">
        <f t="shared" si="49"/>
        <v>1871.4894844818775</v>
      </c>
      <c r="AK269" s="54">
        <f t="shared" si="50"/>
        <v>36006.808449275261</v>
      </c>
      <c r="AL269" s="54">
        <f t="shared" si="51"/>
        <v>757665.63255058264</v>
      </c>
      <c r="AM269" s="54">
        <f t="shared" si="52"/>
        <v>784160.96087141254</v>
      </c>
    </row>
    <row r="270" spans="1:39" x14ac:dyDescent="0.25">
      <c r="A270" s="24"/>
      <c r="B270" s="24"/>
      <c r="C270" s="24"/>
      <c r="D270" s="28" t="s">
        <v>101</v>
      </c>
      <c r="E270" s="24"/>
      <c r="F270" s="28"/>
      <c r="G270" s="24"/>
      <c r="H270" s="24"/>
      <c r="I270" s="24"/>
      <c r="J270" s="24">
        <v>3</v>
      </c>
      <c r="K270" s="57">
        <v>6.719E-2</v>
      </c>
      <c r="L270">
        <v>0.82276301082228964</v>
      </c>
      <c r="M270" s="24"/>
      <c r="N270" s="24"/>
      <c r="O270" s="24"/>
      <c r="P270" s="24"/>
      <c r="Q270" s="55">
        <v>12</v>
      </c>
      <c r="R270" s="54">
        <v>-102.64166962727904</v>
      </c>
      <c r="S270" s="54">
        <v>2472.2816742286086</v>
      </c>
      <c r="T270" s="54">
        <v>2572.2310814764351</v>
      </c>
      <c r="U270" s="54">
        <v>1856.0979928039014</v>
      </c>
      <c r="V270" s="54">
        <v>2828.632711767219</v>
      </c>
      <c r="W270" s="54">
        <v>2367.0606362503022</v>
      </c>
      <c r="X270" s="54">
        <v>21502.994285692461</v>
      </c>
      <c r="Y270" s="54">
        <v>78130.723384376615</v>
      </c>
      <c r="Z270" s="54">
        <v>1464902.5091991434</v>
      </c>
      <c r="AA270" s="54">
        <f t="shared" si="42"/>
        <v>1576529.8892961117</v>
      </c>
      <c r="AC270" s="55">
        <v>12</v>
      </c>
      <c r="AD270" s="54">
        <f t="shared" si="43"/>
        <v>-96.466827968984362</v>
      </c>
      <c r="AE270" s="54">
        <f t="shared" si="44"/>
        <v>2175.5408589351991</v>
      </c>
      <c r="AF270" s="54">
        <f t="shared" si="45"/>
        <v>2116.336589126226</v>
      </c>
      <c r="AG270" s="54">
        <f t="shared" si="46"/>
        <v>1429.2661000519279</v>
      </c>
      <c r="AH270" s="54">
        <f t="shared" si="47"/>
        <v>2041.0760860180535</v>
      </c>
      <c r="AI270" s="54">
        <f t="shared" si="48"/>
        <v>1602.0853553927973</v>
      </c>
      <c r="AJ270" s="54">
        <f t="shared" si="49"/>
        <v>13663.043523549401</v>
      </c>
      <c r="AK270" s="54">
        <f t="shared" si="50"/>
        <v>46613.966079488426</v>
      </c>
      <c r="AL270" s="54">
        <f t="shared" si="51"/>
        <v>820101.86822538229</v>
      </c>
      <c r="AM270" s="54">
        <f t="shared" si="52"/>
        <v>889646.71598997538</v>
      </c>
    </row>
    <row r="271" spans="1:39" x14ac:dyDescent="0.25">
      <c r="A271" s="24"/>
      <c r="B271" s="24"/>
      <c r="C271" s="28" t="s">
        <v>102</v>
      </c>
      <c r="D271" s="28" t="s">
        <v>103</v>
      </c>
      <c r="E271" s="28" t="s">
        <v>104</v>
      </c>
      <c r="F271" s="28" t="s">
        <v>105</v>
      </c>
      <c r="G271" s="24"/>
      <c r="H271" s="58"/>
      <c r="I271" s="24"/>
      <c r="J271" s="24">
        <v>4</v>
      </c>
      <c r="K271" s="57">
        <v>6.7510000000000001E-2</v>
      </c>
      <c r="L271">
        <v>0.77003806134869912</v>
      </c>
      <c r="M271" s="24"/>
      <c r="N271" s="24"/>
      <c r="O271" s="24"/>
      <c r="P271" s="24"/>
      <c r="Q271" s="55">
        <v>13</v>
      </c>
      <c r="R271" s="54">
        <v>-226.34758072998375</v>
      </c>
      <c r="S271" s="54">
        <v>-1198.3774148598313</v>
      </c>
      <c r="T271" s="54">
        <v>-1170.7894213721156</v>
      </c>
      <c r="U271" s="54">
        <v>-2716.7693728869781</v>
      </c>
      <c r="V271" s="54">
        <v>-5593.8677073614672</v>
      </c>
      <c r="W271" s="54">
        <v>-6072.3290866166353</v>
      </c>
      <c r="X271" s="54">
        <v>-747.07227997295558</v>
      </c>
      <c r="Y271" s="54">
        <v>58538.360787858255</v>
      </c>
      <c r="Z271" s="54">
        <v>1506776.3343719477</v>
      </c>
      <c r="AA271" s="54">
        <f t="shared" si="42"/>
        <v>1547589.142296006</v>
      </c>
      <c r="AC271" s="55">
        <v>13</v>
      </c>
      <c r="AD271" s="54">
        <f t="shared" si="43"/>
        <v>-212.73068930741604</v>
      </c>
      <c r="AE271" s="54">
        <f t="shared" si="44"/>
        <v>-1054.5396415099683</v>
      </c>
      <c r="AF271" s="54">
        <f t="shared" si="45"/>
        <v>-963.2822293670082</v>
      </c>
      <c r="AG271" s="54">
        <f t="shared" si="46"/>
        <v>-2092.0158210294098</v>
      </c>
      <c r="AH271" s="54">
        <f t="shared" si="47"/>
        <v>-4036.405843129387</v>
      </c>
      <c r="AI271" s="54">
        <f t="shared" si="48"/>
        <v>-4109.9029546641132</v>
      </c>
      <c r="AJ271" s="54">
        <f t="shared" si="49"/>
        <v>-474.69114956233972</v>
      </c>
      <c r="AK271" s="54">
        <f t="shared" si="50"/>
        <v>34924.867528613271</v>
      </c>
      <c r="AL271" s="54">
        <f t="shared" si="51"/>
        <v>843544.24888778816</v>
      </c>
      <c r="AM271" s="54">
        <f t="shared" si="52"/>
        <v>865525.54808783182</v>
      </c>
    </row>
    <row r="272" spans="1:39" x14ac:dyDescent="0.25">
      <c r="A272" s="24"/>
      <c r="B272" s="24"/>
      <c r="C272" s="28">
        <v>1</v>
      </c>
      <c r="D272" s="45">
        <f>C148</f>
        <v>8.6982313047922685E-2</v>
      </c>
      <c r="E272" s="24">
        <f ca="1">INT(RAND()*$C$326+1)</f>
        <v>42</v>
      </c>
      <c r="F272" s="45">
        <f ca="1">VLOOKUP(E272,$C$272:$D$326,2)</f>
        <v>-0.24591065275978005</v>
      </c>
      <c r="G272" s="24"/>
      <c r="H272" s="24"/>
      <c r="I272" s="24"/>
      <c r="J272" s="24">
        <v>5</v>
      </c>
      <c r="K272" s="57">
        <v>6.744E-2</v>
      </c>
      <c r="L272">
        <v>0.72157692213877744</v>
      </c>
      <c r="M272" s="24"/>
      <c r="N272" s="24"/>
      <c r="O272" s="24"/>
      <c r="P272" s="24"/>
      <c r="Q272" s="55">
        <v>14</v>
      </c>
      <c r="R272" s="54">
        <v>9.7108121523633599</v>
      </c>
      <c r="S272" s="54">
        <v>-1767.73015959654</v>
      </c>
      <c r="T272" s="54">
        <v>-3301.4481234373525</v>
      </c>
      <c r="U272" s="54">
        <v>-4553.5116157252342</v>
      </c>
      <c r="V272" s="54">
        <v>-9431.0563640547916</v>
      </c>
      <c r="W272" s="54">
        <v>-10978.575852953829</v>
      </c>
      <c r="X272" s="54">
        <v>2588.8101251646876</v>
      </c>
      <c r="Y272" s="54">
        <v>59590.508068154566</v>
      </c>
      <c r="Z272" s="54">
        <v>1389163.734575334</v>
      </c>
      <c r="AA272" s="54">
        <f t="shared" si="42"/>
        <v>1421320.4414650379</v>
      </c>
      <c r="AC272" s="55">
        <v>14</v>
      </c>
      <c r="AD272" s="54">
        <f t="shared" si="43"/>
        <v>9.1266173742383625</v>
      </c>
      <c r="AE272" s="54">
        <f t="shared" si="44"/>
        <v>-1555.554623837211</v>
      </c>
      <c r="AF272" s="54">
        <f t="shared" si="45"/>
        <v>-2716.3093981129141</v>
      </c>
      <c r="AG272" s="54">
        <f t="shared" si="46"/>
        <v>-3506.377256901842</v>
      </c>
      <c r="AH272" s="54">
        <f t="shared" si="47"/>
        <v>-6805.2326236919862</v>
      </c>
      <c r="AI272" s="54">
        <f t="shared" si="48"/>
        <v>-7430.5724693849497</v>
      </c>
      <c r="AJ272" s="54">
        <f t="shared" si="49"/>
        <v>1644.9348841554347</v>
      </c>
      <c r="AK272" s="54">
        <f t="shared" si="50"/>
        <v>35552.594439486405</v>
      </c>
      <c r="AL272" s="54">
        <f t="shared" si="51"/>
        <v>777700.74584622518</v>
      </c>
      <c r="AM272" s="54">
        <f t="shared" si="52"/>
        <v>792893.35541531234</v>
      </c>
    </row>
    <row r="273" spans="1:39" x14ac:dyDescent="0.25">
      <c r="A273" s="24"/>
      <c r="B273" s="24"/>
      <c r="C273" s="28">
        <v>2</v>
      </c>
      <c r="D273" s="45">
        <f t="shared" ref="D273:D281" si="56">C149</f>
        <v>-6.8439489441583984E-2</v>
      </c>
      <c r="E273" s="24">
        <f t="shared" ref="E273:E326" ca="1" si="57">INT(RAND()*$C$326+1)</f>
        <v>13</v>
      </c>
      <c r="F273" s="45">
        <f t="shared" ref="F273:F326" ca="1" si="58">VLOOKUP(E273,$C$272:$D$326,2)</f>
        <v>-0.42714488674697987</v>
      </c>
      <c r="G273" s="24"/>
      <c r="H273" s="24"/>
      <c r="I273" s="24"/>
      <c r="J273" s="24">
        <v>6</v>
      </c>
      <c r="K273" s="57">
        <v>6.7220000000000002E-2</v>
      </c>
      <c r="L273">
        <v>0.67682480577712867</v>
      </c>
      <c r="M273" s="24"/>
      <c r="N273" s="24"/>
      <c r="O273" s="24"/>
      <c r="P273" s="24"/>
      <c r="Q273" s="55">
        <v>15</v>
      </c>
      <c r="R273" s="54">
        <v>-238.26075651682913</v>
      </c>
      <c r="S273" s="54">
        <v>-1223.8912860527635</v>
      </c>
      <c r="T273" s="54">
        <v>-1303.1232089614496</v>
      </c>
      <c r="U273" s="54">
        <v>-3084.6703336853534</v>
      </c>
      <c r="V273" s="54">
        <v>-5488.4153844127432</v>
      </c>
      <c r="W273" s="54">
        <v>-5898.3362444182858</v>
      </c>
      <c r="X273" s="54">
        <v>6786.8578745983541</v>
      </c>
      <c r="Y273" s="54">
        <v>72218.758484224789</v>
      </c>
      <c r="Z273" s="54">
        <v>1449955.4209959256</v>
      </c>
      <c r="AA273" s="54">
        <f t="shared" si="42"/>
        <v>1511724.3401407013</v>
      </c>
      <c r="AC273" s="55">
        <v>15</v>
      </c>
      <c r="AD273" s="54">
        <f t="shared" si="43"/>
        <v>-223.92717786188959</v>
      </c>
      <c r="AE273" s="54">
        <f t="shared" si="44"/>
        <v>-1076.9911565733369</v>
      </c>
      <c r="AF273" s="54">
        <f t="shared" si="45"/>
        <v>-1072.1615748775259</v>
      </c>
      <c r="AG273" s="54">
        <f t="shared" si="46"/>
        <v>-2375.3135636509141</v>
      </c>
      <c r="AH273" s="54">
        <f t="shared" si="47"/>
        <v>-3960.3138805036624</v>
      </c>
      <c r="AI273" s="54">
        <f t="shared" si="48"/>
        <v>-3992.1402830366046</v>
      </c>
      <c r="AJ273" s="54">
        <f t="shared" si="49"/>
        <v>4312.3824197116992</v>
      </c>
      <c r="AK273" s="54">
        <f t="shared" si="50"/>
        <v>43086.798796484494</v>
      </c>
      <c r="AL273" s="54">
        <f t="shared" si="51"/>
        <v>811733.98375319992</v>
      </c>
      <c r="AM273" s="54">
        <f t="shared" si="52"/>
        <v>846432.31733289221</v>
      </c>
    </row>
    <row r="274" spans="1:39" x14ac:dyDescent="0.25">
      <c r="A274" s="24"/>
      <c r="B274" s="24"/>
      <c r="C274" s="28">
        <v>3</v>
      </c>
      <c r="D274" s="45">
        <f t="shared" si="56"/>
        <v>0.23927961335373266</v>
      </c>
      <c r="E274" s="24">
        <f t="shared" ca="1" si="57"/>
        <v>5</v>
      </c>
      <c r="F274" s="45">
        <f t="shared" ca="1" si="58"/>
        <v>-0.65879783018551941</v>
      </c>
      <c r="G274" s="24"/>
      <c r="H274" s="24"/>
      <c r="I274" s="24"/>
      <c r="J274" s="24">
        <v>7</v>
      </c>
      <c r="K274" s="57">
        <v>6.6930000000000003E-2</v>
      </c>
      <c r="L274">
        <v>0.63540190459151258</v>
      </c>
      <c r="M274" s="24"/>
      <c r="N274" s="24"/>
      <c r="O274" s="24"/>
      <c r="P274" s="24"/>
      <c r="Q274" s="55">
        <v>16</v>
      </c>
      <c r="R274" s="54">
        <v>-1090.9830768294632</v>
      </c>
      <c r="S274" s="54">
        <v>-2987.1717342864722</v>
      </c>
      <c r="T274" s="54">
        <v>-3857.8682225802913</v>
      </c>
      <c r="U274" s="54">
        <v>-4694.5452869329602</v>
      </c>
      <c r="V274" s="54">
        <v>-8530.7959658317268</v>
      </c>
      <c r="W274" s="54">
        <v>-9770.5399119174108</v>
      </c>
      <c r="X274" s="54">
        <v>504.70609303936362</v>
      </c>
      <c r="Y274" s="54">
        <v>61544.21707460098</v>
      </c>
      <c r="Z274" s="54">
        <v>1510091.5665017385</v>
      </c>
      <c r="AA274" s="54">
        <f t="shared" si="42"/>
        <v>1541208.5854710005</v>
      </c>
      <c r="AC274" s="55">
        <v>16</v>
      </c>
      <c r="AD274" s="54">
        <f t="shared" si="43"/>
        <v>-1025.3503978622975</v>
      </c>
      <c r="AE274" s="54">
        <f t="shared" si="44"/>
        <v>-2628.6301550264266</v>
      </c>
      <c r="AF274" s="54">
        <f t="shared" si="45"/>
        <v>-3174.1112741657957</v>
      </c>
      <c r="AG274" s="54">
        <f t="shared" si="46"/>
        <v>-3614.9785516635293</v>
      </c>
      <c r="AH274" s="54">
        <f t="shared" si="47"/>
        <v>-6155.6254964187565</v>
      </c>
      <c r="AI274" s="54">
        <f t="shared" si="48"/>
        <v>-6612.9437782211853</v>
      </c>
      <c r="AJ274" s="54">
        <f t="shared" si="49"/>
        <v>320.69121277615278</v>
      </c>
      <c r="AK274" s="54">
        <f t="shared" si="50"/>
        <v>36718.206652081062</v>
      </c>
      <c r="AL274" s="54">
        <f t="shared" si="51"/>
        <v>845400.2277301813</v>
      </c>
      <c r="AM274" s="54">
        <f t="shared" si="52"/>
        <v>859227.4859416805</v>
      </c>
    </row>
    <row r="275" spans="1:39" x14ac:dyDescent="0.25">
      <c r="A275" s="24"/>
      <c r="B275" s="24"/>
      <c r="C275" s="28">
        <v>4</v>
      </c>
      <c r="D275" s="45">
        <f t="shared" si="56"/>
        <v>0.2492509490748919</v>
      </c>
      <c r="E275" s="24">
        <f t="shared" ca="1" si="57"/>
        <v>11</v>
      </c>
      <c r="F275" s="45">
        <f t="shared" ca="1" si="58"/>
        <v>-0.12273805422740794</v>
      </c>
      <c r="G275" s="24"/>
      <c r="H275" s="24"/>
      <c r="I275" s="24"/>
      <c r="J275" s="24">
        <v>8</v>
      </c>
      <c r="K275" s="57">
        <v>6.6689999999999999E-2</v>
      </c>
      <c r="L275">
        <v>0.59661505820397376</v>
      </c>
      <c r="M275" s="24"/>
      <c r="N275" s="24"/>
      <c r="O275" s="24"/>
      <c r="P275" s="24"/>
      <c r="Q275" s="55">
        <v>17</v>
      </c>
      <c r="R275" s="54">
        <v>-1339.3653872292489</v>
      </c>
      <c r="S275" s="54">
        <v>-1168.9257678538561</v>
      </c>
      <c r="T275" s="54">
        <v>-2210.3679129034281</v>
      </c>
      <c r="U275" s="54">
        <v>-3565.7440944435075</v>
      </c>
      <c r="V275" s="54">
        <v>-4840.5049662422389</v>
      </c>
      <c r="W275" s="54">
        <v>-6930.7693791622296</v>
      </c>
      <c r="X275" s="54">
        <v>3763.9561547022313</v>
      </c>
      <c r="Y275" s="54">
        <v>54250.02103721071</v>
      </c>
      <c r="Z275" s="54">
        <v>1474321.0108293761</v>
      </c>
      <c r="AA275" s="54">
        <f t="shared" si="42"/>
        <v>1512279.3105134545</v>
      </c>
      <c r="AC275" s="55">
        <v>17</v>
      </c>
      <c r="AD275" s="54">
        <f t="shared" si="43"/>
        <v>-1258.7902249313906</v>
      </c>
      <c r="AE275" s="54">
        <f t="shared" si="44"/>
        <v>-1028.6229904696181</v>
      </c>
      <c r="AF275" s="54">
        <f t="shared" si="45"/>
        <v>-1818.6089590454051</v>
      </c>
      <c r="AG275" s="54">
        <f t="shared" si="46"/>
        <v>-2745.7586697508514</v>
      </c>
      <c r="AH275" s="54">
        <f t="shared" si="47"/>
        <v>-3492.7966751385416</v>
      </c>
      <c r="AI275" s="54">
        <f t="shared" si="48"/>
        <v>-4690.9166389375468</v>
      </c>
      <c r="AJ275" s="54">
        <f t="shared" si="49"/>
        <v>2391.6249094967438</v>
      </c>
      <c r="AK275" s="54">
        <f t="shared" si="50"/>
        <v>32366.37945868227</v>
      </c>
      <c r="AL275" s="54">
        <f t="shared" si="51"/>
        <v>825374.66333245079</v>
      </c>
      <c r="AM275" s="54">
        <f t="shared" si="52"/>
        <v>845097.17354235647</v>
      </c>
    </row>
    <row r="276" spans="1:39" x14ac:dyDescent="0.25">
      <c r="A276" s="24"/>
      <c r="B276" s="24"/>
      <c r="C276" s="28">
        <v>5</v>
      </c>
      <c r="D276" s="45">
        <f t="shared" si="56"/>
        <v>-0.65879783018551941</v>
      </c>
      <c r="E276" s="24">
        <f t="shared" ca="1" si="57"/>
        <v>50</v>
      </c>
      <c r="F276" s="45">
        <f t="shared" ca="1" si="58"/>
        <v>-7.2633489413334418E-2</v>
      </c>
      <c r="G276" s="24"/>
      <c r="H276" s="24"/>
      <c r="I276" s="24"/>
      <c r="J276" s="24">
        <v>9</v>
      </c>
      <c r="K276" s="57">
        <v>6.658E-2</v>
      </c>
      <c r="L276">
        <v>0.55983375212711517</v>
      </c>
      <c r="M276" s="24"/>
      <c r="N276" s="24"/>
      <c r="O276" s="24"/>
      <c r="P276" s="24"/>
      <c r="Q276" s="55">
        <v>18</v>
      </c>
      <c r="R276" s="54">
        <v>-480.90144436433911</v>
      </c>
      <c r="S276" s="54">
        <v>-2261.8753409823403</v>
      </c>
      <c r="T276" s="54">
        <v>-4289.4623488280922</v>
      </c>
      <c r="U276" s="54">
        <v>-4300.3259301967919</v>
      </c>
      <c r="V276" s="54">
        <v>-7293.2414796128869</v>
      </c>
      <c r="W276" s="54">
        <v>-7964.8114037262276</v>
      </c>
      <c r="X276" s="54">
        <v>2145.3450892511755</v>
      </c>
      <c r="Y276" s="54">
        <v>76850.416277994402</v>
      </c>
      <c r="Z276" s="54">
        <v>1426905.5655786479</v>
      </c>
      <c r="AA276" s="54">
        <f t="shared" si="42"/>
        <v>1479310.7089981828</v>
      </c>
      <c r="AC276" s="55">
        <v>18</v>
      </c>
      <c r="AD276" s="54">
        <f t="shared" si="43"/>
        <v>-451.97079385000058</v>
      </c>
      <c r="AE276" s="54">
        <f t="shared" si="44"/>
        <v>-1990.3889890137361</v>
      </c>
      <c r="AF276" s="54">
        <f t="shared" si="45"/>
        <v>-3529.2109569306517</v>
      </c>
      <c r="AG276" s="54">
        <f t="shared" si="46"/>
        <v>-3311.4146424562787</v>
      </c>
      <c r="AH276" s="54">
        <f t="shared" si="47"/>
        <v>-5262.6347392739299</v>
      </c>
      <c r="AI276" s="54">
        <f t="shared" si="48"/>
        <v>-5390.7819313784639</v>
      </c>
      <c r="AJ276" s="54">
        <f t="shared" si="49"/>
        <v>1363.1563557162456</v>
      </c>
      <c r="AK276" s="54">
        <f t="shared" si="50"/>
        <v>45850.115580695245</v>
      </c>
      <c r="AL276" s="54">
        <f t="shared" si="51"/>
        <v>798829.89670895785</v>
      </c>
      <c r="AM276" s="54">
        <f t="shared" si="52"/>
        <v>826106.76659246627</v>
      </c>
    </row>
    <row r="277" spans="1:39" x14ac:dyDescent="0.25">
      <c r="A277" s="24"/>
      <c r="B277" s="24"/>
      <c r="C277" s="28">
        <v>6</v>
      </c>
      <c r="D277" s="45">
        <f t="shared" si="56"/>
        <v>-1.2977817610815763</v>
      </c>
      <c r="E277" s="24">
        <f t="shared" ca="1" si="57"/>
        <v>14</v>
      </c>
      <c r="F277" s="45">
        <f t="shared" ca="1" si="58"/>
        <v>-0.48559742064711481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55">
        <v>19</v>
      </c>
      <c r="R277" s="54">
        <v>-2171.0152544006705</v>
      </c>
      <c r="S277" s="54">
        <v>-3236.0944803887978</v>
      </c>
      <c r="T277" s="54">
        <v>-5570.5751126958057</v>
      </c>
      <c r="U277" s="54">
        <v>-7111.3707670895383</v>
      </c>
      <c r="V277" s="54">
        <v>-11011.175123823807</v>
      </c>
      <c r="W277" s="54">
        <v>-12294.603239993565</v>
      </c>
      <c r="X277" s="54">
        <v>-1385.9268487636</v>
      </c>
      <c r="Y277" s="54">
        <v>50520.476559889503</v>
      </c>
      <c r="Z277" s="54">
        <v>1302077.3227641787</v>
      </c>
      <c r="AA277" s="54">
        <f t="shared" si="42"/>
        <v>1309817.0384969125</v>
      </c>
      <c r="AC277" s="55">
        <v>19</v>
      </c>
      <c r="AD277" s="54">
        <f t="shared" si="43"/>
        <v>-2040.408693903883</v>
      </c>
      <c r="AE277" s="54">
        <f t="shared" si="44"/>
        <v>-2847.6754242241327</v>
      </c>
      <c r="AF277" s="54">
        <f t="shared" si="45"/>
        <v>-4583.2631517333166</v>
      </c>
      <c r="AG277" s="54">
        <f t="shared" si="46"/>
        <v>-5476.0261590214395</v>
      </c>
      <c r="AH277" s="54">
        <f t="shared" si="47"/>
        <v>-7945.4098549798537</v>
      </c>
      <c r="AI277" s="54">
        <f t="shared" si="48"/>
        <v>-8321.2924500155004</v>
      </c>
      <c r="AJ277" s="54">
        <f t="shared" si="49"/>
        <v>-880.62055932890462</v>
      </c>
      <c r="AK277" s="54">
        <f t="shared" si="50"/>
        <v>30141.277063270969</v>
      </c>
      <c r="AL277" s="54">
        <f t="shared" si="51"/>
        <v>728946.83316269901</v>
      </c>
      <c r="AM277" s="54">
        <f t="shared" si="52"/>
        <v>726993.41393276292</v>
      </c>
    </row>
    <row r="278" spans="1:39" x14ac:dyDescent="0.25">
      <c r="A278" s="24"/>
      <c r="B278" s="24"/>
      <c r="C278" s="28">
        <v>7</v>
      </c>
      <c r="D278" s="45">
        <f t="shared" si="56"/>
        <v>-0.48226657994170558</v>
      </c>
      <c r="E278" s="24">
        <f t="shared" ca="1" si="57"/>
        <v>39</v>
      </c>
      <c r="F278" s="45">
        <f t="shared" ca="1" si="58"/>
        <v>1.6835777535523937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55">
        <v>20</v>
      </c>
      <c r="R278" s="54">
        <v>-240.26501097809523</v>
      </c>
      <c r="S278" s="54">
        <v>-550.05088730249554</v>
      </c>
      <c r="T278" s="54">
        <v>-1578.015657203272</v>
      </c>
      <c r="U278" s="54">
        <v>-3499.0520683247596</v>
      </c>
      <c r="V278" s="54">
        <v>-5327.4501277813688</v>
      </c>
      <c r="W278" s="54">
        <v>-5236.1217003343627</v>
      </c>
      <c r="X278" s="54">
        <v>10529.389791908674</v>
      </c>
      <c r="Y278" s="54">
        <v>86129.715295904316</v>
      </c>
      <c r="Z278" s="54">
        <v>1444232.4380880632</v>
      </c>
      <c r="AA278" s="54">
        <f t="shared" si="42"/>
        <v>1524460.5877239518</v>
      </c>
      <c r="AC278" s="55">
        <v>20</v>
      </c>
      <c r="AD278" s="54">
        <f t="shared" si="43"/>
        <v>-225.8108579600711</v>
      </c>
      <c r="AE278" s="54">
        <f t="shared" si="44"/>
        <v>-484.02987098689556</v>
      </c>
      <c r="AF278" s="54">
        <f t="shared" si="45"/>
        <v>-1298.3329132452782</v>
      </c>
      <c r="AG278" s="54">
        <f t="shared" si="46"/>
        <v>-2694.4032712509538</v>
      </c>
      <c r="AH278" s="54">
        <f t="shared" si="47"/>
        <v>-3844.1650660523169</v>
      </c>
      <c r="AI278" s="54">
        <f t="shared" si="48"/>
        <v>-3543.9370528542136</v>
      </c>
      <c r="AJ278" s="54">
        <f t="shared" si="49"/>
        <v>6690.3943279652021</v>
      </c>
      <c r="AK278" s="54">
        <f t="shared" si="50"/>
        <v>51386.285104357645</v>
      </c>
      <c r="AL278" s="54">
        <f t="shared" si="51"/>
        <v>808530.06475853198</v>
      </c>
      <c r="AM278" s="54">
        <f t="shared" si="52"/>
        <v>854516.06515850511</v>
      </c>
    </row>
    <row r="279" spans="1:39" x14ac:dyDescent="0.25">
      <c r="A279" s="24"/>
      <c r="B279" s="24"/>
      <c r="C279" s="28">
        <v>8</v>
      </c>
      <c r="D279" s="45">
        <f t="shared" si="56"/>
        <v>0.63245543502421875</v>
      </c>
      <c r="E279" s="24">
        <f t="shared" ca="1" si="57"/>
        <v>42</v>
      </c>
      <c r="F279" s="45">
        <f t="shared" ca="1" si="58"/>
        <v>-0.24591065275978005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55">
        <v>21</v>
      </c>
      <c r="R279" s="54">
        <v>-1753.4825886907056</v>
      </c>
      <c r="S279" s="54">
        <v>-2387.9244866827503</v>
      </c>
      <c r="T279" s="54">
        <v>-4041.6478792978451</v>
      </c>
      <c r="U279" s="54">
        <v>-4667.8761285692453</v>
      </c>
      <c r="V279" s="54">
        <v>-7231.2557541402057</v>
      </c>
      <c r="W279" s="54">
        <v>-7643.6495044585317</v>
      </c>
      <c r="X279" s="54">
        <v>1823.0104856872931</v>
      </c>
      <c r="Y279" s="54">
        <v>67831.813817851245</v>
      </c>
      <c r="Z279" s="54">
        <v>1500036.9158147769</v>
      </c>
      <c r="AA279" s="54">
        <f t="shared" si="42"/>
        <v>1541965.9037764762</v>
      </c>
      <c r="AC279" s="55">
        <v>21</v>
      </c>
      <c r="AD279" s="54">
        <f t="shared" si="43"/>
        <v>-1647.9944631072131</v>
      </c>
      <c r="AE279" s="54">
        <f t="shared" si="44"/>
        <v>-2101.3088205053</v>
      </c>
      <c r="AF279" s="54">
        <f t="shared" si="45"/>
        <v>-3325.3183778546168</v>
      </c>
      <c r="AG279" s="54">
        <f t="shared" si="46"/>
        <v>-3594.4422846593325</v>
      </c>
      <c r="AH279" s="54">
        <f t="shared" si="47"/>
        <v>-5217.9072702708136</v>
      </c>
      <c r="AI279" s="54">
        <f t="shared" si="48"/>
        <v>-5173.4115912835914</v>
      </c>
      <c r="AJ279" s="54">
        <f t="shared" si="49"/>
        <v>1158.3443346960044</v>
      </c>
      <c r="AK279" s="54">
        <f t="shared" si="50"/>
        <v>40469.481549018434</v>
      </c>
      <c r="AL279" s="54">
        <f t="shared" si="51"/>
        <v>839771.29490977211</v>
      </c>
      <c r="AM279" s="54">
        <f t="shared" si="52"/>
        <v>860338.73798580572</v>
      </c>
    </row>
    <row r="280" spans="1:39" x14ac:dyDescent="0.25">
      <c r="A280" s="24"/>
      <c r="B280" s="24"/>
      <c r="C280" s="28">
        <v>9</v>
      </c>
      <c r="D280" s="45">
        <f t="shared" si="56"/>
        <v>1.2511302743611397</v>
      </c>
      <c r="E280" s="24">
        <f t="shared" ca="1" si="57"/>
        <v>19</v>
      </c>
      <c r="F280" s="45">
        <f t="shared" ca="1" si="58"/>
        <v>-2.687396310619647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55">
        <v>22</v>
      </c>
      <c r="R280" s="54">
        <v>-1034.7212349660695</v>
      </c>
      <c r="S280" s="54">
        <v>-1874.6034267675132</v>
      </c>
      <c r="T280" s="54">
        <v>-1097.4809639696032</v>
      </c>
      <c r="U280" s="54">
        <v>-2690.8500977177173</v>
      </c>
      <c r="V280" s="54">
        <v>-5739.3615050679073</v>
      </c>
      <c r="W280" s="54">
        <v>-6536.8242868036032</v>
      </c>
      <c r="X280" s="54">
        <v>3333.5706247780472</v>
      </c>
      <c r="Y280" s="54">
        <v>56331.887035639957</v>
      </c>
      <c r="Z280" s="54">
        <v>1471306.4351378847</v>
      </c>
      <c r="AA280" s="54">
        <f t="shared" si="42"/>
        <v>1511998.0512830103</v>
      </c>
      <c r="AC280" s="55">
        <v>22</v>
      </c>
      <c r="AD280" s="54">
        <f t="shared" si="43"/>
        <v>-972.47322390397596</v>
      </c>
      <c r="AE280" s="54">
        <f t="shared" si="44"/>
        <v>-1649.6002020098099</v>
      </c>
      <c r="AF280" s="54">
        <f t="shared" si="45"/>
        <v>-902.96674223577952</v>
      </c>
      <c r="AG280" s="54">
        <f t="shared" si="46"/>
        <v>-2072.0569926265084</v>
      </c>
      <c r="AH280" s="54">
        <f t="shared" si="47"/>
        <v>-4141.3908098686816</v>
      </c>
      <c r="AI280" s="54">
        <f t="shared" si="48"/>
        <v>-4424.2848283150661</v>
      </c>
      <c r="AJ280" s="54">
        <f t="shared" si="49"/>
        <v>2118.1571240742896</v>
      </c>
      <c r="AK280" s="54">
        <f t="shared" si="50"/>
        <v>33608.452062508004</v>
      </c>
      <c r="AL280" s="54">
        <f t="shared" si="51"/>
        <v>823687.00211201201</v>
      </c>
      <c r="AM280" s="54">
        <f t="shared" si="52"/>
        <v>845250.83849963453</v>
      </c>
    </row>
    <row r="281" spans="1:39" x14ac:dyDescent="0.25">
      <c r="A281" s="24"/>
      <c r="B281" s="24"/>
      <c r="C281" s="28">
        <v>10</v>
      </c>
      <c r="D281" s="45">
        <f t="shared" si="56"/>
        <v>2.988219921665427E-3</v>
      </c>
      <c r="E281" s="24">
        <f t="shared" ca="1" si="57"/>
        <v>39</v>
      </c>
      <c r="F281" s="45">
        <f t="shared" ca="1" si="58"/>
        <v>1.6835777535523937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55">
        <v>23</v>
      </c>
      <c r="R281" s="54">
        <v>-756.18033157009631</v>
      </c>
      <c r="S281" s="54">
        <v>-2538.0340003119782</v>
      </c>
      <c r="T281" s="54">
        <v>-2565.20317867212</v>
      </c>
      <c r="U281" s="54">
        <v>-4893.8522810451686</v>
      </c>
      <c r="V281" s="54">
        <v>-6453.5898615727201</v>
      </c>
      <c r="W281" s="54">
        <v>-6614.5964760007337</v>
      </c>
      <c r="X281" s="54">
        <v>616.59506578091532</v>
      </c>
      <c r="Y281" s="54">
        <v>71548.227564744651</v>
      </c>
      <c r="Z281" s="54">
        <v>1444665.2688286537</v>
      </c>
      <c r="AA281" s="54">
        <f t="shared" si="42"/>
        <v>1493008.6353300065</v>
      </c>
      <c r="AC281" s="55">
        <v>23</v>
      </c>
      <c r="AD281" s="54">
        <f t="shared" si="43"/>
        <v>-710.68912093880351</v>
      </c>
      <c r="AE281" s="54">
        <f t="shared" si="44"/>
        <v>-2233.4011235868934</v>
      </c>
      <c r="AF281" s="54">
        <f t="shared" si="45"/>
        <v>-2110.5542906551814</v>
      </c>
      <c r="AG281" s="54">
        <f t="shared" si="46"/>
        <v>-3768.4525230229306</v>
      </c>
      <c r="AH281" s="54">
        <f t="shared" si="47"/>
        <v>-4656.7615090596619</v>
      </c>
      <c r="AI281" s="54">
        <f t="shared" si="48"/>
        <v>-4476.9229751632765</v>
      </c>
      <c r="AJ281" s="54">
        <f t="shared" si="49"/>
        <v>391.78567915892256</v>
      </c>
      <c r="AK281" s="54">
        <f t="shared" si="50"/>
        <v>42686.749952931292</v>
      </c>
      <c r="AL281" s="54">
        <f t="shared" si="51"/>
        <v>808772.37801607279</v>
      </c>
      <c r="AM281" s="54">
        <f t="shared" si="52"/>
        <v>833894.13210573629</v>
      </c>
    </row>
    <row r="282" spans="1:39" x14ac:dyDescent="0.25">
      <c r="A282" s="24"/>
      <c r="B282" s="24"/>
      <c r="C282" s="28">
        <v>11</v>
      </c>
      <c r="D282" s="45">
        <f>D148</f>
        <v>-0.12273805422740794</v>
      </c>
      <c r="E282" s="24">
        <f t="shared" ca="1" si="57"/>
        <v>32</v>
      </c>
      <c r="F282" s="45">
        <f t="shared" ca="1" si="58"/>
        <v>0.25359731147881492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55">
        <v>24</v>
      </c>
      <c r="R282" s="54">
        <v>724.54518794920295</v>
      </c>
      <c r="S282" s="54">
        <v>-1054.2747494103387</v>
      </c>
      <c r="T282" s="54">
        <v>-1912.1638731323183</v>
      </c>
      <c r="U282" s="54">
        <v>-3021.3004929898307</v>
      </c>
      <c r="V282" s="54">
        <v>-4798.122022700496</v>
      </c>
      <c r="W282" s="54">
        <v>-5305.6046108203009</v>
      </c>
      <c r="X282" s="54">
        <v>2774.5659538628533</v>
      </c>
      <c r="Y282" s="54">
        <v>58745.684848411009</v>
      </c>
      <c r="Z282" s="54">
        <v>1476546.0017134938</v>
      </c>
      <c r="AA282" s="54">
        <f t="shared" si="42"/>
        <v>1522699.3319546636</v>
      </c>
      <c r="AC282" s="55">
        <v>24</v>
      </c>
      <c r="AD282" s="54">
        <f t="shared" si="43"/>
        <v>680.95712253569332</v>
      </c>
      <c r="AE282" s="54">
        <f t="shared" si="44"/>
        <v>-927.733202003168</v>
      </c>
      <c r="AF282" s="54">
        <f t="shared" si="45"/>
        <v>-1573.2577054439569</v>
      </c>
      <c r="AG282" s="54">
        <f t="shared" si="46"/>
        <v>-2326.516374373758</v>
      </c>
      <c r="AH282" s="54">
        <f t="shared" si="47"/>
        <v>-3462.2141211865091</v>
      </c>
      <c r="AI282" s="54">
        <f t="shared" si="48"/>
        <v>-3590.9648102486885</v>
      </c>
      <c r="AJ282" s="54">
        <f t="shared" si="49"/>
        <v>1762.9644914992239</v>
      </c>
      <c r="AK282" s="54">
        <f t="shared" si="50"/>
        <v>35048.560185067035</v>
      </c>
      <c r="AL282" s="54">
        <f t="shared" si="51"/>
        <v>826620.28832755506</v>
      </c>
      <c r="AM282" s="54">
        <f t="shared" si="52"/>
        <v>852232.08391340089</v>
      </c>
    </row>
    <row r="283" spans="1:39" x14ac:dyDescent="0.25">
      <c r="A283" s="24"/>
      <c r="B283" s="24"/>
      <c r="C283" s="28">
        <v>12</v>
      </c>
      <c r="D283" s="45">
        <f>D149</f>
        <v>0.23224484665275261</v>
      </c>
      <c r="E283" s="24">
        <f t="shared" ca="1" si="57"/>
        <v>50</v>
      </c>
      <c r="F283" s="45">
        <f t="shared" ca="1" si="58"/>
        <v>-7.2633489413334418E-2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55">
        <v>25</v>
      </c>
      <c r="R283" s="54">
        <v>8.8739464543759823</v>
      </c>
      <c r="S283" s="54">
        <v>-2020.3014323543757</v>
      </c>
      <c r="T283" s="54">
        <v>-3587.9002417474985</v>
      </c>
      <c r="U283" s="54">
        <v>-4457.4801498744637</v>
      </c>
      <c r="V283" s="54">
        <v>-8071.095027346164</v>
      </c>
      <c r="W283" s="54">
        <v>-9366.7087228279561</v>
      </c>
      <c r="X283" s="54">
        <v>4202.5022724540904</v>
      </c>
      <c r="Y283" s="54">
        <v>58961.950179175474</v>
      </c>
      <c r="Z283" s="54">
        <v>1445796.2558742119</v>
      </c>
      <c r="AA283" s="54">
        <f t="shared" si="42"/>
        <v>1481466.0966981454</v>
      </c>
      <c r="AC283" s="55">
        <v>25</v>
      </c>
      <c r="AD283" s="54">
        <f t="shared" si="43"/>
        <v>8.3400968547062373</v>
      </c>
      <c r="AE283" s="54">
        <f t="shared" si="44"/>
        <v>-1777.810497593742</v>
      </c>
      <c r="AF283" s="54">
        <f t="shared" si="45"/>
        <v>-2951.9916054301925</v>
      </c>
      <c r="AG283" s="54">
        <f t="shared" si="46"/>
        <v>-3432.4293731096409</v>
      </c>
      <c r="AH283" s="54">
        <f t="shared" si="47"/>
        <v>-5823.9159081220369</v>
      </c>
      <c r="AI283" s="54">
        <f t="shared" si="48"/>
        <v>-6339.6208120989686</v>
      </c>
      <c r="AJ283" s="54">
        <f t="shared" si="49"/>
        <v>2670.2779479674887</v>
      </c>
      <c r="AK283" s="54">
        <f t="shared" si="50"/>
        <v>35177.587337968573</v>
      </c>
      <c r="AL283" s="54">
        <f t="shared" si="51"/>
        <v>809405.54273739469</v>
      </c>
      <c r="AM283" s="54">
        <f t="shared" si="52"/>
        <v>826935.97992383083</v>
      </c>
    </row>
    <row r="284" spans="1:39" x14ac:dyDescent="0.25">
      <c r="A284" s="24"/>
      <c r="B284" s="24"/>
      <c r="C284" s="28">
        <v>13</v>
      </c>
      <c r="D284" s="45">
        <f t="shared" ref="D284:D290" si="59">D150</f>
        <v>-0.42714488674697987</v>
      </c>
      <c r="E284" s="24">
        <f t="shared" ca="1" si="57"/>
        <v>7</v>
      </c>
      <c r="F284" s="45">
        <f t="shared" ca="1" si="58"/>
        <v>-0.48226657994170558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55">
        <v>26</v>
      </c>
      <c r="R284" s="54">
        <v>-1225.394861751236</v>
      </c>
      <c r="S284" s="54">
        <v>-1772.892304699868</v>
      </c>
      <c r="T284" s="54">
        <v>-3342.2404471021146</v>
      </c>
      <c r="U284" s="54">
        <v>-4090.6366617726162</v>
      </c>
      <c r="V284" s="54">
        <v>-9042.4947446072474</v>
      </c>
      <c r="W284" s="54">
        <v>-8111.2912634750828</v>
      </c>
      <c r="X284" s="54">
        <v>-1764.2070463588461</v>
      </c>
      <c r="Y284" s="54">
        <v>58376.248311500065</v>
      </c>
      <c r="Z284" s="54">
        <v>1456098.2690914841</v>
      </c>
      <c r="AA284" s="54">
        <f t="shared" si="42"/>
        <v>1485125.3600732172</v>
      </c>
      <c r="AC284" s="55">
        <v>26</v>
      </c>
      <c r="AD284" s="54">
        <f t="shared" si="43"/>
        <v>-1151.6760761188673</v>
      </c>
      <c r="AE284" s="54">
        <f t="shared" si="44"/>
        <v>-1560.0971716015333</v>
      </c>
      <c r="AF284" s="54">
        <f t="shared" si="45"/>
        <v>-2749.8718131497712</v>
      </c>
      <c r="AG284" s="54">
        <f t="shared" si="46"/>
        <v>-3149.9459247132995</v>
      </c>
      <c r="AH284" s="54">
        <f t="shared" si="47"/>
        <v>-6524.8555262697682</v>
      </c>
      <c r="AI284" s="54">
        <f t="shared" si="48"/>
        <v>-5489.9231340032438</v>
      </c>
      <c r="AJ284" s="54">
        <f t="shared" si="49"/>
        <v>-1120.9805173501777</v>
      </c>
      <c r="AK284" s="54">
        <f t="shared" si="50"/>
        <v>34828.14878409524</v>
      </c>
      <c r="AL284" s="54">
        <f t="shared" si="51"/>
        <v>815172.95745128335</v>
      </c>
      <c r="AM284" s="54">
        <f t="shared" si="52"/>
        <v>828253.75607217196</v>
      </c>
    </row>
    <row r="285" spans="1:39" x14ac:dyDescent="0.25">
      <c r="A285" s="24"/>
      <c r="B285" s="24"/>
      <c r="C285" s="28">
        <v>14</v>
      </c>
      <c r="D285" s="45">
        <f t="shared" si="59"/>
        <v>-0.48559742064711481</v>
      </c>
      <c r="E285" s="24">
        <f t="shared" ca="1" si="57"/>
        <v>51</v>
      </c>
      <c r="F285" s="45">
        <f t="shared" ca="1" si="58"/>
        <v>0.32324531309048027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55">
        <v>27</v>
      </c>
      <c r="R285" s="54">
        <v>1812.6592863993719</v>
      </c>
      <c r="S285" s="54">
        <v>1249.4097195258364</v>
      </c>
      <c r="T285" s="54">
        <v>2590.8497788785025</v>
      </c>
      <c r="U285" s="54">
        <v>1828.388220993802</v>
      </c>
      <c r="V285" s="54">
        <v>298.87822133675218</v>
      </c>
      <c r="W285" s="54">
        <v>-288.31798920221627</v>
      </c>
      <c r="X285" s="54">
        <v>12064.183085708879</v>
      </c>
      <c r="Y285" s="54">
        <v>71967.715953268111</v>
      </c>
      <c r="Z285" s="54">
        <v>1321910.689693097</v>
      </c>
      <c r="AA285" s="54">
        <f t="shared" si="42"/>
        <v>1413434.4559700061</v>
      </c>
      <c r="AC285" s="55">
        <v>27</v>
      </c>
      <c r="AD285" s="54">
        <f t="shared" si="43"/>
        <v>1703.6111374887191</v>
      </c>
      <c r="AE285" s="54">
        <f t="shared" si="44"/>
        <v>1099.4466863195628</v>
      </c>
      <c r="AF285" s="54">
        <f t="shared" si="45"/>
        <v>2131.6553646583402</v>
      </c>
      <c r="AG285" s="54">
        <f t="shared" si="46"/>
        <v>1407.9285210868641</v>
      </c>
      <c r="AH285" s="54">
        <f t="shared" si="47"/>
        <v>215.66362704648591</v>
      </c>
      <c r="AI285" s="54">
        <f t="shared" si="48"/>
        <v>-195.14076704384232</v>
      </c>
      <c r="AJ285" s="54">
        <f t="shared" si="49"/>
        <v>7665.6049100001328</v>
      </c>
      <c r="AK285" s="54">
        <f t="shared" si="50"/>
        <v>42937.023042266104</v>
      </c>
      <c r="AL285" s="54">
        <f t="shared" si="51"/>
        <v>740050.22138782917</v>
      </c>
      <c r="AM285" s="54">
        <f t="shared" si="52"/>
        <v>797016.01390965155</v>
      </c>
    </row>
    <row r="286" spans="1:39" x14ac:dyDescent="0.25">
      <c r="A286" s="24"/>
      <c r="B286" s="24"/>
      <c r="C286" s="28">
        <v>15</v>
      </c>
      <c r="D286" s="45">
        <f t="shared" si="59"/>
        <v>1.4378898028087679</v>
      </c>
      <c r="E286" s="24">
        <f t="shared" ca="1" si="57"/>
        <v>44</v>
      </c>
      <c r="F286" s="45">
        <f t="shared" ca="1" si="58"/>
        <v>0.14117866393294265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55">
        <v>28</v>
      </c>
      <c r="R286" s="54">
        <v>-104.68275974038988</v>
      </c>
      <c r="S286" s="54">
        <v>-999.49798868317157</v>
      </c>
      <c r="T286" s="54">
        <v>-2119.9047463573515</v>
      </c>
      <c r="U286" s="54">
        <v>-2177.4295902671292</v>
      </c>
      <c r="V286" s="54">
        <v>-5679.005605484359</v>
      </c>
      <c r="W286" s="54">
        <v>-6190.7196184322238</v>
      </c>
      <c r="X286" s="54">
        <v>1584.9002053597942</v>
      </c>
      <c r="Y286" s="54">
        <v>61676.830928320996</v>
      </c>
      <c r="Z286" s="54">
        <v>1406564.0799765131</v>
      </c>
      <c r="AA286" s="54">
        <f t="shared" si="42"/>
        <v>1452554.5708012292</v>
      </c>
      <c r="AC286" s="55">
        <v>28</v>
      </c>
      <c r="AD286" s="54">
        <f t="shared" si="43"/>
        <v>-98.385127715331521</v>
      </c>
      <c r="AE286" s="54">
        <f t="shared" si="44"/>
        <v>-879.53113735806573</v>
      </c>
      <c r="AF286" s="54">
        <f t="shared" si="45"/>
        <v>-1744.1792117694367</v>
      </c>
      <c r="AG286" s="54">
        <f t="shared" si="46"/>
        <v>-1676.7036604125924</v>
      </c>
      <c r="AH286" s="54">
        <f t="shared" si="47"/>
        <v>-4097.8393856142684</v>
      </c>
      <c r="AI286" s="54">
        <f t="shared" si="48"/>
        <v>-4190.0326033660504</v>
      </c>
      <c r="AJ286" s="54">
        <f t="shared" si="49"/>
        <v>1007.0486090730926</v>
      </c>
      <c r="AK286" s="54">
        <f t="shared" si="50"/>
        <v>36797.326074136879</v>
      </c>
      <c r="AL286" s="54">
        <f t="shared" si="51"/>
        <v>787442.04650047503</v>
      </c>
      <c r="AM286" s="54">
        <f t="shared" si="52"/>
        <v>812559.75005744922</v>
      </c>
    </row>
    <row r="287" spans="1:39" x14ac:dyDescent="0.25">
      <c r="A287" s="24"/>
      <c r="B287" s="24"/>
      <c r="C287" s="28">
        <v>16</v>
      </c>
      <c r="D287" s="45">
        <f t="shared" si="59"/>
        <v>2.2110655473577179</v>
      </c>
      <c r="E287" s="24">
        <f t="shared" ca="1" si="57"/>
        <v>27</v>
      </c>
      <c r="F287" s="45">
        <f t="shared" ca="1" si="58"/>
        <v>-1.7692550386496639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55">
        <v>29</v>
      </c>
      <c r="R287" s="54">
        <v>-2867.4052058309317</v>
      </c>
      <c r="S287" s="54">
        <v>-4753.9057813575491</v>
      </c>
      <c r="T287" s="54">
        <v>-4242.9817367466167</v>
      </c>
      <c r="U287" s="54">
        <v>-7444.9197804387659</v>
      </c>
      <c r="V287" s="54">
        <v>-8299.3907767152414</v>
      </c>
      <c r="W287" s="54">
        <v>-8897.4012668067589</v>
      </c>
      <c r="X287" s="54">
        <v>1469.9376058764756</v>
      </c>
      <c r="Y287" s="54">
        <v>61067.826366933063</v>
      </c>
      <c r="Z287" s="54">
        <v>1495517.6035078643</v>
      </c>
      <c r="AA287" s="54">
        <f t="shared" si="42"/>
        <v>1521549.362932778</v>
      </c>
      <c r="AC287" s="55">
        <v>29</v>
      </c>
      <c r="AD287" s="54">
        <f t="shared" si="43"/>
        <v>-2694.9043766796663</v>
      </c>
      <c r="AE287" s="54">
        <f t="shared" si="44"/>
        <v>-4183.3082268421458</v>
      </c>
      <c r="AF287" s="54">
        <f t="shared" si="45"/>
        <v>-3490.9684285896337</v>
      </c>
      <c r="AG287" s="54">
        <f t="shared" si="46"/>
        <v>-5732.8715946256498</v>
      </c>
      <c r="AH287" s="54">
        <f t="shared" si="47"/>
        <v>-5988.6488522891414</v>
      </c>
      <c r="AI287" s="54">
        <f t="shared" si="48"/>
        <v>-6021.9818843276635</v>
      </c>
      <c r="AJ287" s="54">
        <f t="shared" si="49"/>
        <v>934.0011544046007</v>
      </c>
      <c r="AK287" s="54">
        <f t="shared" si="50"/>
        <v>36433.984782297935</v>
      </c>
      <c r="AL287" s="54">
        <f t="shared" si="51"/>
        <v>837241.23134395899</v>
      </c>
      <c r="AM287" s="54">
        <f t="shared" si="52"/>
        <v>846496.53391730762</v>
      </c>
    </row>
    <row r="288" spans="1:39" x14ac:dyDescent="0.25">
      <c r="A288" s="24"/>
      <c r="B288" s="24"/>
      <c r="C288" s="28">
        <v>17</v>
      </c>
      <c r="D288" s="45">
        <f t="shared" si="59"/>
        <v>1.061884741484068</v>
      </c>
      <c r="E288" s="24">
        <f t="shared" ca="1" si="57"/>
        <v>36</v>
      </c>
      <c r="F288" s="45">
        <f t="shared" ca="1" si="58"/>
        <v>0.20836380348837932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55">
        <v>30</v>
      </c>
      <c r="R288" s="54">
        <v>-714.41510067041963</v>
      </c>
      <c r="S288" s="54">
        <v>-1233.7941132290289</v>
      </c>
      <c r="T288" s="54">
        <v>-2380.0342874545604</v>
      </c>
      <c r="U288" s="54">
        <v>-939.86714844871312</v>
      </c>
      <c r="V288" s="54">
        <v>-611.01722867693752</v>
      </c>
      <c r="W288" s="54">
        <v>-1079.1041822638363</v>
      </c>
      <c r="X288" s="54">
        <v>7131.4755971040577</v>
      </c>
      <c r="Y288" s="54">
        <v>62930.170839712024</v>
      </c>
      <c r="Z288" s="54">
        <v>1420404.1354040354</v>
      </c>
      <c r="AA288" s="54">
        <f t="shared" si="42"/>
        <v>1483507.549780108</v>
      </c>
      <c r="AC288" s="55">
        <v>30</v>
      </c>
      <c r="AD288" s="54">
        <f t="shared" si="43"/>
        <v>-671.43645329500634</v>
      </c>
      <c r="AE288" s="54">
        <f t="shared" si="44"/>
        <v>-1085.7053760595372</v>
      </c>
      <c r="AF288" s="54">
        <f t="shared" si="45"/>
        <v>-1958.2041762063968</v>
      </c>
      <c r="AG288" s="54">
        <f t="shared" si="46"/>
        <v>-723.73347691677702</v>
      </c>
      <c r="AH288" s="54">
        <f t="shared" si="47"/>
        <v>-440.89593124247011</v>
      </c>
      <c r="AI288" s="54">
        <f t="shared" si="48"/>
        <v>-730.36447857400822</v>
      </c>
      <c r="AJ288" s="54">
        <f t="shared" si="49"/>
        <v>4531.3531769478122</v>
      </c>
      <c r="AK288" s="54">
        <f t="shared" si="50"/>
        <v>37545.087538320804</v>
      </c>
      <c r="AL288" s="54">
        <f t="shared" si="51"/>
        <v>795190.17666011211</v>
      </c>
      <c r="AM288" s="54">
        <f t="shared" si="52"/>
        <v>831656.27748308657</v>
      </c>
    </row>
    <row r="289" spans="1:39" x14ac:dyDescent="0.25">
      <c r="A289" s="24"/>
      <c r="B289" s="24"/>
      <c r="C289" s="28">
        <v>18</v>
      </c>
      <c r="D289" s="45">
        <f t="shared" si="59"/>
        <v>-0.99225330517541921</v>
      </c>
      <c r="E289" s="24">
        <f t="shared" ca="1" si="57"/>
        <v>1</v>
      </c>
      <c r="F289" s="45">
        <f t="shared" ca="1" si="58"/>
        <v>8.6982313047922685E-2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55">
        <v>31</v>
      </c>
      <c r="R289" s="54">
        <v>-2770.7692030519247</v>
      </c>
      <c r="S289" s="54">
        <v>-1406.4706033058465</v>
      </c>
      <c r="T289" s="54">
        <v>-3004.5508477548137</v>
      </c>
      <c r="U289" s="54">
        <v>-5190.0298819458112</v>
      </c>
      <c r="V289" s="54">
        <v>-7768.2496387325227</v>
      </c>
      <c r="W289" s="54">
        <v>-9155.1031346963719</v>
      </c>
      <c r="X289" s="54">
        <v>811.47362995706499</v>
      </c>
      <c r="Y289" s="54">
        <v>59478.687436137348</v>
      </c>
      <c r="Z289" s="54">
        <v>1436069.529446153</v>
      </c>
      <c r="AA289" s="54">
        <f t="shared" si="42"/>
        <v>1467064.5172027601</v>
      </c>
      <c r="AC289" s="55">
        <v>31</v>
      </c>
      <c r="AD289" s="54">
        <f t="shared" si="43"/>
        <v>-2604.0819193916645</v>
      </c>
      <c r="AE289" s="54">
        <f t="shared" si="44"/>
        <v>-1237.6560067079843</v>
      </c>
      <c r="AF289" s="54">
        <f t="shared" si="45"/>
        <v>-2472.0333016674135</v>
      </c>
      <c r="AG289" s="54">
        <f t="shared" si="46"/>
        <v>-3996.5205486353702</v>
      </c>
      <c r="AH289" s="54">
        <f t="shared" si="47"/>
        <v>-5605.3896647222837</v>
      </c>
      <c r="AI289" s="54">
        <f t="shared" si="48"/>
        <v>-6196.4009010104537</v>
      </c>
      <c r="AJ289" s="54">
        <f t="shared" si="49"/>
        <v>515.6118900005074</v>
      </c>
      <c r="AK289" s="54">
        <f t="shared" si="50"/>
        <v>35485.880566607048</v>
      </c>
      <c r="AL289" s="54">
        <f t="shared" si="51"/>
        <v>803960.19298526051</v>
      </c>
      <c r="AM289" s="54">
        <f t="shared" si="52"/>
        <v>817849.60309973289</v>
      </c>
    </row>
    <row r="290" spans="1:39" x14ac:dyDescent="0.25">
      <c r="A290" s="24"/>
      <c r="B290" s="24"/>
      <c r="C290" s="28">
        <v>19</v>
      </c>
      <c r="D290" s="45">
        <f t="shared" si="59"/>
        <v>-2.687396310619647</v>
      </c>
      <c r="E290" s="24">
        <f t="shared" ca="1" si="57"/>
        <v>49</v>
      </c>
      <c r="F290" s="45">
        <f t="shared" ca="1" si="58"/>
        <v>9.96817557705552E-2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55">
        <v>32</v>
      </c>
      <c r="R290" s="54">
        <v>-419.75549878086895</v>
      </c>
      <c r="S290" s="54">
        <v>-763.34247419424355</v>
      </c>
      <c r="T290" s="54">
        <v>-316.00973073206842</v>
      </c>
      <c r="U290" s="54">
        <v>-261.96428860351443</v>
      </c>
      <c r="V290" s="54">
        <v>-1705.8591504171491</v>
      </c>
      <c r="W290" s="54">
        <v>-2693.0298956539482</v>
      </c>
      <c r="X290" s="54">
        <v>7151.2190711656585</v>
      </c>
      <c r="Y290" s="54">
        <v>53585.559232030064</v>
      </c>
      <c r="Z290" s="54">
        <v>1480718.9613474533</v>
      </c>
      <c r="AA290" s="54">
        <f t="shared" si="42"/>
        <v>1535295.7786122672</v>
      </c>
      <c r="AC290" s="55">
        <v>32</v>
      </c>
      <c r="AD290" s="54">
        <f t="shared" si="43"/>
        <v>-394.50333998822282</v>
      </c>
      <c r="AE290" s="54">
        <f t="shared" si="44"/>
        <v>-671.72068590785648</v>
      </c>
      <c r="AF290" s="54">
        <f t="shared" si="45"/>
        <v>-260.00111750625763</v>
      </c>
      <c r="AG290" s="54">
        <f t="shared" si="46"/>
        <v>-201.72247293884138</v>
      </c>
      <c r="AH290" s="54">
        <f t="shared" si="47"/>
        <v>-1230.9085953602762</v>
      </c>
      <c r="AI290" s="54">
        <f t="shared" si="48"/>
        <v>-1822.7094360779845</v>
      </c>
      <c r="AJ290" s="54">
        <f t="shared" si="49"/>
        <v>4543.8982179698069</v>
      </c>
      <c r="AK290" s="54">
        <f t="shared" si="50"/>
        <v>31969.951540110102</v>
      </c>
      <c r="AL290" s="54">
        <f t="shared" si="51"/>
        <v>828956.45197690965</v>
      </c>
      <c r="AM290" s="54">
        <f t="shared" si="52"/>
        <v>860888.73608721013</v>
      </c>
    </row>
    <row r="291" spans="1:39" x14ac:dyDescent="0.25">
      <c r="A291" s="24"/>
      <c r="B291" s="24"/>
      <c r="C291" s="28">
        <v>20</v>
      </c>
      <c r="D291" s="45">
        <f>E148</f>
        <v>-0.24702472220265792</v>
      </c>
      <c r="E291" s="24">
        <f t="shared" ca="1" si="57"/>
        <v>42</v>
      </c>
      <c r="F291" s="45">
        <f t="shared" ca="1" si="58"/>
        <v>-0.24591065275978005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55">
        <v>33</v>
      </c>
      <c r="R291" s="54">
        <v>-227.59612471610308</v>
      </c>
      <c r="S291" s="54">
        <v>-639.71142148692161</v>
      </c>
      <c r="T291" s="54">
        <v>-3710.2613123962656</v>
      </c>
      <c r="U291" s="54">
        <v>-5491.7526314929128</v>
      </c>
      <c r="V291" s="54">
        <v>-9554.9215028295293</v>
      </c>
      <c r="W291" s="54">
        <v>-9346.4776862096041</v>
      </c>
      <c r="X291" s="54">
        <v>-2439.2222495153546</v>
      </c>
      <c r="Y291" s="54">
        <v>61738.33366771508</v>
      </c>
      <c r="Z291" s="54">
        <v>1356510.8864834672</v>
      </c>
      <c r="AA291" s="54">
        <f t="shared" si="42"/>
        <v>1386839.2772225356</v>
      </c>
      <c r="AC291" s="55">
        <v>33</v>
      </c>
      <c r="AD291" s="54">
        <f t="shared" si="43"/>
        <v>-213.9041218748913</v>
      </c>
      <c r="AE291" s="54">
        <f t="shared" si="44"/>
        <v>-562.92871070467856</v>
      </c>
      <c r="AF291" s="54">
        <f t="shared" si="45"/>
        <v>-3052.6657683246112</v>
      </c>
      <c r="AG291" s="54">
        <f t="shared" si="46"/>
        <v>-4228.8585497614195</v>
      </c>
      <c r="AH291" s="54">
        <f t="shared" si="47"/>
        <v>-6894.6108492893536</v>
      </c>
      <c r="AI291" s="54">
        <f t="shared" si="48"/>
        <v>-6325.9279446690825</v>
      </c>
      <c r="AJ291" s="54">
        <f t="shared" si="49"/>
        <v>-1549.8864630640501</v>
      </c>
      <c r="AK291" s="54">
        <f t="shared" si="50"/>
        <v>36834.019534580184</v>
      </c>
      <c r="AL291" s="54">
        <f t="shared" si="51"/>
        <v>759420.57938131865</v>
      </c>
      <c r="AM291" s="54">
        <f t="shared" si="52"/>
        <v>773425.81650821073</v>
      </c>
    </row>
    <row r="292" spans="1:39" x14ac:dyDescent="0.25">
      <c r="A292" s="24"/>
      <c r="B292" s="24"/>
      <c r="C292" s="28">
        <v>21</v>
      </c>
      <c r="D292" s="45">
        <f>E149</f>
        <v>-0.72583534377716175</v>
      </c>
      <c r="E292" s="24">
        <f t="shared" ca="1" si="57"/>
        <v>45</v>
      </c>
      <c r="F292" s="45">
        <f t="shared" ca="1" si="58"/>
        <v>1.7035541097393359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55">
        <v>34</v>
      </c>
      <c r="R292" s="54">
        <v>-988.84288988728076</v>
      </c>
      <c r="S292" s="54">
        <v>-1977.6801015688106</v>
      </c>
      <c r="T292" s="54">
        <v>296.67245362792164</v>
      </c>
      <c r="U292" s="54">
        <v>-1249.3009193530306</v>
      </c>
      <c r="V292" s="54">
        <v>-3553.3536512395367</v>
      </c>
      <c r="W292" s="54">
        <v>-4987.0282757589594</v>
      </c>
      <c r="X292" s="54">
        <v>10923.328643108718</v>
      </c>
      <c r="Y292" s="54">
        <v>74385.227479045279</v>
      </c>
      <c r="Z292" s="54">
        <v>1477622.88734111</v>
      </c>
      <c r="AA292" s="54">
        <f t="shared" si="42"/>
        <v>1550471.9100790843</v>
      </c>
      <c r="AC292" s="55">
        <v>34</v>
      </c>
      <c r="AD292" s="54">
        <f t="shared" si="43"/>
        <v>-929.35488377673221</v>
      </c>
      <c r="AE292" s="54">
        <f t="shared" si="44"/>
        <v>-1740.3048818086309</v>
      </c>
      <c r="AF292" s="54">
        <f t="shared" si="45"/>
        <v>244.0911211749449</v>
      </c>
      <c r="AG292" s="54">
        <f t="shared" si="46"/>
        <v>-962.00925797975526</v>
      </c>
      <c r="AH292" s="54">
        <f t="shared" si="47"/>
        <v>-2564.0179909320118</v>
      </c>
      <c r="AI292" s="54">
        <f t="shared" si="48"/>
        <v>-3375.3444441456068</v>
      </c>
      <c r="AJ292" s="54">
        <f t="shared" si="49"/>
        <v>6940.7038243103025</v>
      </c>
      <c r="AK292" s="54">
        <f t="shared" si="50"/>
        <v>44379.346821926425</v>
      </c>
      <c r="AL292" s="54">
        <f t="shared" si="51"/>
        <v>827223.16524907527</v>
      </c>
      <c r="AM292" s="54">
        <f t="shared" si="52"/>
        <v>869216.2755578442</v>
      </c>
    </row>
    <row r="293" spans="1:39" x14ac:dyDescent="0.25">
      <c r="A293" s="24"/>
      <c r="B293" s="24"/>
      <c r="C293" s="28">
        <v>22</v>
      </c>
      <c r="D293" s="45">
        <f t="shared" ref="D293:D298" si="60">E150</f>
        <v>0.14304516484773322</v>
      </c>
      <c r="E293" s="24">
        <f t="shared" ca="1" si="57"/>
        <v>31</v>
      </c>
      <c r="F293" s="45">
        <f t="shared" ca="1" si="58"/>
        <v>-0.29208487391246801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55">
        <v>35</v>
      </c>
      <c r="R293" s="54">
        <v>-420.24804000463337</v>
      </c>
      <c r="S293" s="54">
        <v>-62.647483705542982</v>
      </c>
      <c r="T293" s="54">
        <v>-1934.0920259412378</v>
      </c>
      <c r="U293" s="54">
        <v>-1991.3246646719053</v>
      </c>
      <c r="V293" s="54">
        <v>-5106.6780862770975</v>
      </c>
      <c r="W293" s="54">
        <v>-5629.01430713851</v>
      </c>
      <c r="X293" s="54">
        <v>1856.0983667643741</v>
      </c>
      <c r="Y293" s="54">
        <v>74350.818958455697</v>
      </c>
      <c r="Z293" s="54">
        <v>1474535.3555714488</v>
      </c>
      <c r="AA293" s="54">
        <f t="shared" si="42"/>
        <v>1535598.2682889299</v>
      </c>
      <c r="AC293" s="55">
        <v>35</v>
      </c>
      <c r="AD293" s="54">
        <f t="shared" si="43"/>
        <v>-394.96625032155089</v>
      </c>
      <c r="AE293" s="54">
        <f t="shared" si="44"/>
        <v>-55.128087519967245</v>
      </c>
      <c r="AF293" s="54">
        <f t="shared" si="45"/>
        <v>-1591.2993784707946</v>
      </c>
      <c r="AG293" s="54">
        <f t="shared" si="46"/>
        <v>-1533.3957842998022</v>
      </c>
      <c r="AH293" s="54">
        <f t="shared" si="47"/>
        <v>-3684.8610558493701</v>
      </c>
      <c r="AI293" s="54">
        <f t="shared" si="48"/>
        <v>-3809.8565151457005</v>
      </c>
      <c r="AJ293" s="54">
        <f t="shared" si="49"/>
        <v>1179.3684373512792</v>
      </c>
      <c r="AK293" s="54">
        <f t="shared" si="50"/>
        <v>44358.818180412163</v>
      </c>
      <c r="AL293" s="54">
        <f t="shared" si="51"/>
        <v>825494.66075365408</v>
      </c>
      <c r="AM293" s="54">
        <f t="shared" si="52"/>
        <v>859963.34029981028</v>
      </c>
    </row>
    <row r="294" spans="1:39" x14ac:dyDescent="0.25">
      <c r="A294" s="24"/>
      <c r="B294" s="24"/>
      <c r="C294" s="28">
        <v>23</v>
      </c>
      <c r="D294" s="45">
        <f t="shared" si="60"/>
        <v>-0.17244216981237132</v>
      </c>
      <c r="E294" s="24">
        <f t="shared" ca="1" si="57"/>
        <v>25</v>
      </c>
      <c r="F294" s="45">
        <f t="shared" ca="1" si="58"/>
        <v>3.6643243986241738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55">
        <v>36</v>
      </c>
      <c r="R294" s="54">
        <v>-1366.9909143652767</v>
      </c>
      <c r="S294" s="54">
        <v>-2469.174315023236</v>
      </c>
      <c r="T294" s="54">
        <v>-3936.4532182728872</v>
      </c>
      <c r="U294" s="54">
        <v>-5144.2340664509684</v>
      </c>
      <c r="V294" s="54">
        <v>-9426.3552696928382</v>
      </c>
      <c r="W294" s="54">
        <v>-8566.8539708619937</v>
      </c>
      <c r="X294" s="54">
        <v>4889.1613560728729</v>
      </c>
      <c r="Y294" s="54">
        <v>61456.727124561556</v>
      </c>
      <c r="Z294" s="54">
        <v>1453695.7042316264</v>
      </c>
      <c r="AA294" s="54">
        <f t="shared" si="42"/>
        <v>1489131.5309575936</v>
      </c>
      <c r="AC294" s="55">
        <v>36</v>
      </c>
      <c r="AD294" s="54">
        <f t="shared" si="43"/>
        <v>-1284.7538222058786</v>
      </c>
      <c r="AE294" s="54">
        <f t="shared" si="44"/>
        <v>-2172.8064670634535</v>
      </c>
      <c r="AF294" s="54">
        <f t="shared" si="45"/>
        <v>-3238.7681018272924</v>
      </c>
      <c r="AG294" s="54">
        <f t="shared" si="46"/>
        <v>-3961.2560276538388</v>
      </c>
      <c r="AH294" s="54">
        <f t="shared" si="47"/>
        <v>-6801.8404224916039</v>
      </c>
      <c r="AI294" s="54">
        <f t="shared" si="48"/>
        <v>-5798.2592749496926</v>
      </c>
      <c r="AJ294" s="54">
        <f t="shared" si="49"/>
        <v>3106.582437503926</v>
      </c>
      <c r="AK294" s="54">
        <f t="shared" si="50"/>
        <v>36666.008830446022</v>
      </c>
      <c r="AL294" s="54">
        <f t="shared" si="51"/>
        <v>813827.92055106047</v>
      </c>
      <c r="AM294" s="54">
        <f t="shared" si="52"/>
        <v>830342.82770281867</v>
      </c>
    </row>
    <row r="295" spans="1:39" x14ac:dyDescent="0.25">
      <c r="A295" s="24"/>
      <c r="B295" s="24"/>
      <c r="C295" s="28">
        <v>24</v>
      </c>
      <c r="D295" s="45">
        <f t="shared" si="60"/>
        <v>-0.62405517661703203</v>
      </c>
      <c r="E295" s="24">
        <f t="shared" ca="1" si="57"/>
        <v>53</v>
      </c>
      <c r="F295" s="45">
        <f t="shared" ca="1" si="58"/>
        <v>2.9408346173024433E-2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55">
        <v>37</v>
      </c>
      <c r="R295" s="54">
        <v>4619.9607069017366</v>
      </c>
      <c r="S295" s="54">
        <v>5603.784104635939</v>
      </c>
      <c r="T295" s="54">
        <v>3873.0747065749019</v>
      </c>
      <c r="U295" s="54">
        <v>2845.6419882699847</v>
      </c>
      <c r="V295" s="54">
        <v>-691.45062976423651</v>
      </c>
      <c r="W295" s="54">
        <v>-1656.3594809202477</v>
      </c>
      <c r="X295" s="54">
        <v>10309.697547120042</v>
      </c>
      <c r="Y295" s="54">
        <v>70918.589577817358</v>
      </c>
      <c r="Z295" s="54">
        <v>1352552.2698224708</v>
      </c>
      <c r="AA295" s="54">
        <f t="shared" si="42"/>
        <v>1448375.2083431063</v>
      </c>
      <c r="AC295" s="55">
        <v>37</v>
      </c>
      <c r="AD295" s="54">
        <f t="shared" si="43"/>
        <v>4342.0275250248933</v>
      </c>
      <c r="AE295" s="54">
        <f t="shared" si="44"/>
        <v>4931.178114278162</v>
      </c>
      <c r="AF295" s="54">
        <f t="shared" si="45"/>
        <v>3186.6226067212224</v>
      </c>
      <c r="AG295" s="54">
        <f t="shared" si="46"/>
        <v>2191.2526399398766</v>
      </c>
      <c r="AH295" s="54">
        <f t="shared" si="47"/>
        <v>-498.93481723619709</v>
      </c>
      <c r="AI295" s="54">
        <f t="shared" si="48"/>
        <v>-1121.0651839709524</v>
      </c>
      <c r="AJ295" s="54">
        <f t="shared" si="49"/>
        <v>6550.8014572025204</v>
      </c>
      <c r="AK295" s="54">
        <f t="shared" si="50"/>
        <v>42311.09844871323</v>
      </c>
      <c r="AL295" s="54">
        <f t="shared" si="51"/>
        <v>757204.41216276016</v>
      </c>
      <c r="AM295" s="54">
        <f t="shared" si="52"/>
        <v>819097.39295343286</v>
      </c>
    </row>
    <row r="296" spans="1:39" x14ac:dyDescent="0.25">
      <c r="A296" s="24"/>
      <c r="B296" s="24"/>
      <c r="C296" s="28">
        <v>25</v>
      </c>
      <c r="D296" s="45">
        <f t="shared" si="60"/>
        <v>3.6643243986241738</v>
      </c>
      <c r="E296" s="24">
        <f t="shared" ca="1" si="57"/>
        <v>10</v>
      </c>
      <c r="F296" s="45">
        <f t="shared" ca="1" si="58"/>
        <v>2.988219921665427E-3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55">
        <v>38</v>
      </c>
      <c r="R296" s="54">
        <v>-1261.6886315336451</v>
      </c>
      <c r="S296" s="54">
        <v>-1882.3992428751662</v>
      </c>
      <c r="T296" s="54">
        <v>-3432.1183720463887</v>
      </c>
      <c r="U296" s="54">
        <v>-3632.6984717817977</v>
      </c>
      <c r="V296" s="54">
        <v>-6913.3911693422124</v>
      </c>
      <c r="W296" s="54">
        <v>-8365.268533593975</v>
      </c>
      <c r="X296" s="54">
        <v>-2268.3701517554</v>
      </c>
      <c r="Y296" s="54">
        <v>56460.23714096006</v>
      </c>
      <c r="Z296" s="54">
        <v>1432068.2811669363</v>
      </c>
      <c r="AA296" s="54">
        <f t="shared" si="42"/>
        <v>1460772.5837349677</v>
      </c>
      <c r="AC296" s="55">
        <v>38</v>
      </c>
      <c r="AD296" s="54">
        <f t="shared" si="43"/>
        <v>-1185.7864414184501</v>
      </c>
      <c r="AE296" s="54">
        <f t="shared" si="44"/>
        <v>-1656.4603088688862</v>
      </c>
      <c r="AF296" s="54">
        <f t="shared" si="45"/>
        <v>-2823.8200452833821</v>
      </c>
      <c r="AG296" s="54">
        <f t="shared" si="46"/>
        <v>-2797.3160886752376</v>
      </c>
      <c r="AH296" s="54">
        <f t="shared" si="47"/>
        <v>-4988.5435215153575</v>
      </c>
      <c r="AI296" s="54">
        <f t="shared" si="48"/>
        <v>-5661.8212505232677</v>
      </c>
      <c r="AJ296" s="54">
        <f t="shared" si="49"/>
        <v>-1441.3267147439196</v>
      </c>
      <c r="AK296" s="54">
        <f t="shared" si="50"/>
        <v>33685.027668064045</v>
      </c>
      <c r="AL296" s="54">
        <f t="shared" si="51"/>
        <v>801720.1591479145</v>
      </c>
      <c r="AM296" s="54">
        <f t="shared" si="52"/>
        <v>814850.11244495003</v>
      </c>
    </row>
    <row r="297" spans="1:39" x14ac:dyDescent="0.25">
      <c r="A297" s="24"/>
      <c r="B297" s="24"/>
      <c r="C297" s="28">
        <v>26</v>
      </c>
      <c r="D297" s="45">
        <f t="shared" si="60"/>
        <v>-0.46036868984609119</v>
      </c>
      <c r="E297" s="24">
        <f t="shared" ca="1" si="57"/>
        <v>44</v>
      </c>
      <c r="F297" s="45">
        <f t="shared" ca="1" si="58"/>
        <v>0.14117866393294265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55">
        <v>39</v>
      </c>
      <c r="R297" s="54">
        <v>-1324.841833172366</v>
      </c>
      <c r="S297" s="54">
        <v>-941.57909957319498</v>
      </c>
      <c r="T297" s="54">
        <v>-2356.4445043783635</v>
      </c>
      <c r="U297" s="54">
        <v>-4039.3925520163029</v>
      </c>
      <c r="V297" s="54">
        <v>-5684.6984123233706</v>
      </c>
      <c r="W297" s="54">
        <v>-7288.5016604699194</v>
      </c>
      <c r="X297" s="54">
        <v>8136.0070995818824</v>
      </c>
      <c r="Y297" s="54">
        <v>64910.070170057938</v>
      </c>
      <c r="Z297" s="54">
        <v>1399886.8067970769</v>
      </c>
      <c r="AA297" s="54">
        <f t="shared" si="42"/>
        <v>1451297.4260047833</v>
      </c>
      <c r="AC297" s="55">
        <v>39</v>
      </c>
      <c r="AD297" s="54">
        <f t="shared" si="43"/>
        <v>-1245.1403963988741</v>
      </c>
      <c r="AE297" s="54">
        <f t="shared" si="44"/>
        <v>-828.56408490753677</v>
      </c>
      <c r="AF297" s="54">
        <f t="shared" si="45"/>
        <v>-1938.7953752579804</v>
      </c>
      <c r="AG297" s="54">
        <f t="shared" si="46"/>
        <v>-3110.4860097810083</v>
      </c>
      <c r="AH297" s="54">
        <f t="shared" si="47"/>
        <v>-4101.9471836514922</v>
      </c>
      <c r="AI297" s="54">
        <f t="shared" si="48"/>
        <v>-4933.0387207538333</v>
      </c>
      <c r="AJ297" s="54">
        <f t="shared" si="49"/>
        <v>5169.6344068443959</v>
      </c>
      <c r="AK297" s="54">
        <f t="shared" si="50"/>
        <v>38726.32529253314</v>
      </c>
      <c r="AL297" s="54">
        <f t="shared" si="51"/>
        <v>783703.88360245351</v>
      </c>
      <c r="AM297" s="54">
        <f t="shared" si="52"/>
        <v>811441.87153108034</v>
      </c>
    </row>
    <row r="298" spans="1:39" x14ac:dyDescent="0.25">
      <c r="A298" s="24"/>
      <c r="B298" s="24"/>
      <c r="C298" s="28">
        <v>27</v>
      </c>
      <c r="D298" s="45">
        <f t="shared" si="60"/>
        <v>-1.7692550386496639</v>
      </c>
      <c r="E298" s="24">
        <f t="shared" ca="1" si="57"/>
        <v>1</v>
      </c>
      <c r="F298" s="45">
        <f t="shared" ca="1" si="58"/>
        <v>8.6982313047922685E-2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55">
        <v>40</v>
      </c>
      <c r="R298" s="54">
        <v>-587.54557617194951</v>
      </c>
      <c r="S298" s="54">
        <v>-1851.0046149287373</v>
      </c>
      <c r="T298" s="54">
        <v>-3517.649314426817</v>
      </c>
      <c r="U298" s="54">
        <v>-4724.3371849246323</v>
      </c>
      <c r="V298" s="54">
        <v>-7232.6095332521945</v>
      </c>
      <c r="W298" s="54">
        <v>-6917.7943445593119</v>
      </c>
      <c r="X298" s="54">
        <v>6720.9203183287755</v>
      </c>
      <c r="Y298" s="54">
        <v>70178.508031883277</v>
      </c>
      <c r="Z298" s="54">
        <v>1393198.7400370669</v>
      </c>
      <c r="AA298" s="54">
        <f t="shared" si="42"/>
        <v>1445267.2278190153</v>
      </c>
      <c r="AC298" s="55">
        <v>40</v>
      </c>
      <c r="AD298" s="54">
        <f t="shared" si="43"/>
        <v>-552.19929904037508</v>
      </c>
      <c r="AE298" s="54">
        <f t="shared" si="44"/>
        <v>-1628.8338872679431</v>
      </c>
      <c r="AF298" s="54">
        <f t="shared" si="45"/>
        <v>-2894.1917409547709</v>
      </c>
      <c r="AG298" s="54">
        <f t="shared" si="46"/>
        <v>-3637.9194470369343</v>
      </c>
      <c r="AH298" s="54">
        <f t="shared" si="47"/>
        <v>-5218.8841260356985</v>
      </c>
      <c r="AI298" s="54">
        <f t="shared" si="48"/>
        <v>-4682.1348136624756</v>
      </c>
      <c r="AJ298" s="54">
        <f t="shared" si="49"/>
        <v>4270.4855708738987</v>
      </c>
      <c r="AK298" s="54">
        <f t="shared" si="50"/>
        <v>41869.554654110085</v>
      </c>
      <c r="AL298" s="54">
        <f t="shared" si="51"/>
        <v>779959.67809372046</v>
      </c>
      <c r="AM298" s="54">
        <f t="shared" si="52"/>
        <v>807485.55500470626</v>
      </c>
    </row>
    <row r="299" spans="1:39" x14ac:dyDescent="0.25">
      <c r="A299" s="24"/>
      <c r="B299" s="24"/>
      <c r="C299" s="28">
        <v>28</v>
      </c>
      <c r="D299" s="45">
        <f>F148</f>
        <v>0.73207190088117868</v>
      </c>
      <c r="E299" s="24">
        <f t="shared" ca="1" si="57"/>
        <v>53</v>
      </c>
      <c r="F299" s="45">
        <f t="shared" ca="1" si="58"/>
        <v>2.9408346173024433E-2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55">
        <v>41</v>
      </c>
      <c r="R299" s="54">
        <v>-91.849608170799911</v>
      </c>
      <c r="S299" s="54">
        <v>-3007.9452199339867</v>
      </c>
      <c r="T299" s="54">
        <v>-5526.8472825009376</v>
      </c>
      <c r="U299" s="54">
        <v>-7209.1975669711828</v>
      </c>
      <c r="V299" s="54">
        <v>-10871.196564303711</v>
      </c>
      <c r="W299" s="54">
        <v>-12689.799866812304</v>
      </c>
      <c r="X299" s="54">
        <v>-3680.1791576603428</v>
      </c>
      <c r="Y299" s="54">
        <v>49441.689707884565</v>
      </c>
      <c r="Z299" s="54">
        <v>1412275.8430260019</v>
      </c>
      <c r="AA299" s="54">
        <f t="shared" si="42"/>
        <v>1418640.5174675332</v>
      </c>
      <c r="AC299" s="55">
        <v>41</v>
      </c>
      <c r="AD299" s="54">
        <f t="shared" si="43"/>
        <v>-86.32400839353005</v>
      </c>
      <c r="AE299" s="54">
        <f t="shared" si="44"/>
        <v>-2646.9102593040966</v>
      </c>
      <c r="AF299" s="54">
        <f t="shared" si="45"/>
        <v>-4547.2855105054614</v>
      </c>
      <c r="AG299" s="54">
        <f t="shared" si="46"/>
        <v>-5551.3565183502478</v>
      </c>
      <c r="AH299" s="54">
        <f t="shared" si="47"/>
        <v>-7844.4045568359234</v>
      </c>
      <c r="AI299" s="54">
        <f t="shared" si="48"/>
        <v>-8588.771330205871</v>
      </c>
      <c r="AJ299" s="54">
        <f t="shared" si="49"/>
        <v>-2338.3928460153702</v>
      </c>
      <c r="AK299" s="54">
        <f t="shared" si="50"/>
        <v>29497.656582772361</v>
      </c>
      <c r="AL299" s="54">
        <f t="shared" si="51"/>
        <v>790639.6842397314</v>
      </c>
      <c r="AM299" s="54">
        <f t="shared" si="52"/>
        <v>788533.89579289325</v>
      </c>
    </row>
    <row r="300" spans="1:39" x14ac:dyDescent="0.25">
      <c r="A300" s="24"/>
      <c r="B300" s="24"/>
      <c r="C300" s="28">
        <v>29</v>
      </c>
      <c r="D300" s="45">
        <f>F149</f>
        <v>0.64572901274631611</v>
      </c>
      <c r="E300" s="24">
        <f t="shared" ca="1" si="57"/>
        <v>50</v>
      </c>
      <c r="F300" s="45">
        <f t="shared" ca="1" si="58"/>
        <v>-7.2633489413334418E-2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55">
        <v>42</v>
      </c>
      <c r="R300" s="54">
        <v>1517.9013982377946</v>
      </c>
      <c r="S300" s="54">
        <v>575.93486508354545</v>
      </c>
      <c r="T300" s="54">
        <v>1767.9879220137373</v>
      </c>
      <c r="U300" s="54">
        <v>522.36479301098734</v>
      </c>
      <c r="V300" s="54">
        <v>919.06637009140104</v>
      </c>
      <c r="W300" s="54">
        <v>239.98963894881308</v>
      </c>
      <c r="X300" s="54">
        <v>10245.978904119693</v>
      </c>
      <c r="Y300" s="54">
        <v>67478.507220795378</v>
      </c>
      <c r="Z300" s="54">
        <v>1441998.3988882573</v>
      </c>
      <c r="AA300" s="54">
        <f t="shared" si="42"/>
        <v>1525266.1300005587</v>
      </c>
      <c r="AC300" s="55">
        <v>42</v>
      </c>
      <c r="AD300" s="54">
        <f t="shared" si="43"/>
        <v>1426.5856507342926</v>
      </c>
      <c r="AE300" s="54">
        <f t="shared" si="44"/>
        <v>506.80706981559098</v>
      </c>
      <c r="AF300" s="54">
        <f t="shared" si="45"/>
        <v>1454.6350658134659</v>
      </c>
      <c r="AG300" s="54">
        <f t="shared" si="46"/>
        <v>402.24077252699522</v>
      </c>
      <c r="AH300" s="54">
        <f t="shared" si="47"/>
        <v>663.17708257181175</v>
      </c>
      <c r="AI300" s="54">
        <f t="shared" si="48"/>
        <v>162.43094077005364</v>
      </c>
      <c r="AJ300" s="54">
        <f t="shared" si="49"/>
        <v>6510.3145100821121</v>
      </c>
      <c r="AK300" s="54">
        <f t="shared" si="50"/>
        <v>40258.693513052101</v>
      </c>
      <c r="AL300" s="54">
        <f t="shared" si="51"/>
        <v>807279.37421090563</v>
      </c>
      <c r="AM300" s="54">
        <f t="shared" si="52"/>
        <v>858664.25881627202</v>
      </c>
    </row>
    <row r="301" spans="1:39" x14ac:dyDescent="0.25">
      <c r="A301" s="24"/>
      <c r="B301" s="24"/>
      <c r="C301" s="28">
        <v>30</v>
      </c>
      <c r="D301" s="45">
        <f t="shared" ref="D301:D305" si="61">F150</f>
        <v>-0.54604974636813397</v>
      </c>
      <c r="E301" s="24">
        <f t="shared" ca="1" si="57"/>
        <v>8</v>
      </c>
      <c r="F301" s="45">
        <f t="shared" ca="1" si="58"/>
        <v>0.63245543502421875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55">
        <v>43</v>
      </c>
      <c r="R301" s="54">
        <v>-105.39785240869969</v>
      </c>
      <c r="S301" s="54">
        <v>-1096.523050271906</v>
      </c>
      <c r="T301" s="54">
        <v>-2252.5433354554698</v>
      </c>
      <c r="U301" s="54">
        <v>-4928.4800284281373</v>
      </c>
      <c r="V301" s="54">
        <v>-6646.8376763034612</v>
      </c>
      <c r="W301" s="54">
        <v>-6690.5589113552123</v>
      </c>
      <c r="X301" s="54">
        <v>3549.6267579142004</v>
      </c>
      <c r="Y301" s="54">
        <v>62173.594766080379</v>
      </c>
      <c r="Z301" s="54">
        <v>1365717.6537031997</v>
      </c>
      <c r="AA301" s="54">
        <f t="shared" si="42"/>
        <v>1409720.5343729714</v>
      </c>
      <c r="AC301" s="55">
        <v>43</v>
      </c>
      <c r="AD301" s="54">
        <f t="shared" si="43"/>
        <v>-99.057200974332659</v>
      </c>
      <c r="AE301" s="54">
        <f t="shared" si="44"/>
        <v>-964.91056156661875</v>
      </c>
      <c r="AF301" s="54">
        <f t="shared" si="45"/>
        <v>-1853.3093366870251</v>
      </c>
      <c r="AG301" s="54">
        <f t="shared" si="46"/>
        <v>-3795.1172064865846</v>
      </c>
      <c r="AH301" s="54">
        <f t="shared" si="47"/>
        <v>-4796.204672423115</v>
      </c>
      <c r="AI301" s="54">
        <f t="shared" si="48"/>
        <v>-4528.3362357184287</v>
      </c>
      <c r="AJ301" s="54">
        <f t="shared" si="49"/>
        <v>2255.4396025676788</v>
      </c>
      <c r="AK301" s="54">
        <f t="shared" si="50"/>
        <v>37093.702860115322</v>
      </c>
      <c r="AL301" s="54">
        <f t="shared" si="51"/>
        <v>764574.83841890236</v>
      </c>
      <c r="AM301" s="54">
        <f t="shared" si="52"/>
        <v>787887.04566772922</v>
      </c>
    </row>
    <row r="302" spans="1:39" x14ac:dyDescent="0.25">
      <c r="A302" s="24"/>
      <c r="B302" s="24"/>
      <c r="C302" s="28">
        <v>31</v>
      </c>
      <c r="D302" s="45">
        <f t="shared" si="61"/>
        <v>-0.29208487391246801</v>
      </c>
      <c r="E302" s="24">
        <f t="shared" ca="1" si="57"/>
        <v>3</v>
      </c>
      <c r="F302" s="45">
        <f t="shared" ca="1" si="58"/>
        <v>0.23927961335373266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55">
        <v>44</v>
      </c>
      <c r="R302" s="54">
        <v>2580.7833095928654</v>
      </c>
      <c r="S302" s="54">
        <v>2211.9051875947043</v>
      </c>
      <c r="T302" s="54">
        <v>3816.2126099858433</v>
      </c>
      <c r="U302" s="54">
        <v>2478.4333290439099</v>
      </c>
      <c r="V302" s="54">
        <v>1443.5548421982676</v>
      </c>
      <c r="W302" s="54">
        <v>862.40948783326894</v>
      </c>
      <c r="X302" s="54">
        <v>4699.4233667571098</v>
      </c>
      <c r="Y302" s="54">
        <v>73145.84466612339</v>
      </c>
      <c r="Z302" s="54">
        <v>1392222.1935666772</v>
      </c>
      <c r="AA302" s="54">
        <f t="shared" si="42"/>
        <v>1483460.7603658065</v>
      </c>
      <c r="AC302" s="55">
        <v>44</v>
      </c>
      <c r="AD302" s="54">
        <f t="shared" si="43"/>
        <v>2425.5254270099581</v>
      </c>
      <c r="AE302" s="54">
        <f t="shared" si="44"/>
        <v>1946.416608538125</v>
      </c>
      <c r="AF302" s="54">
        <f t="shared" si="45"/>
        <v>3139.8385769299407</v>
      </c>
      <c r="AG302" s="54">
        <f t="shared" si="46"/>
        <v>1908.487995878975</v>
      </c>
      <c r="AH302" s="54">
        <f t="shared" si="47"/>
        <v>1041.6358599719545</v>
      </c>
      <c r="AI302" s="54">
        <f t="shared" si="48"/>
        <v>583.70013410310526</v>
      </c>
      <c r="AJ302" s="54">
        <f t="shared" si="49"/>
        <v>2986.022557719326</v>
      </c>
      <c r="AK302" s="54">
        <f t="shared" si="50"/>
        <v>43639.912372858031</v>
      </c>
      <c r="AL302" s="54">
        <f t="shared" si="51"/>
        <v>779412.97441907565</v>
      </c>
      <c r="AM302" s="54">
        <f t="shared" si="52"/>
        <v>837084.51395208505</v>
      </c>
    </row>
    <row r="303" spans="1:39" x14ac:dyDescent="0.25">
      <c r="A303" s="24"/>
      <c r="B303" s="24"/>
      <c r="C303" s="28">
        <v>32</v>
      </c>
      <c r="D303" s="45">
        <f t="shared" si="61"/>
        <v>0.25359731147881492</v>
      </c>
      <c r="E303" s="24">
        <f t="shared" ca="1" si="57"/>
        <v>17</v>
      </c>
      <c r="F303" s="45">
        <f t="shared" ca="1" si="58"/>
        <v>1.061884741484068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55">
        <v>45</v>
      </c>
      <c r="R303" s="54">
        <v>1785.2486832598224</v>
      </c>
      <c r="S303" s="54">
        <v>-538.05607512034476</v>
      </c>
      <c r="T303" s="54">
        <v>-1998.0378994522616</v>
      </c>
      <c r="U303" s="54">
        <v>-3086.7198073742911</v>
      </c>
      <c r="V303" s="54">
        <v>-7190.7900389200076</v>
      </c>
      <c r="W303" s="54">
        <v>-8297.2099994644523</v>
      </c>
      <c r="X303" s="54">
        <v>-1175.1371293086559</v>
      </c>
      <c r="Y303" s="54">
        <v>66959.029320748523</v>
      </c>
      <c r="Z303" s="54">
        <v>1387833.1892337911</v>
      </c>
      <c r="AA303" s="54">
        <f t="shared" si="42"/>
        <v>1434291.5162881594</v>
      </c>
      <c r="AC303" s="55">
        <v>45</v>
      </c>
      <c r="AD303" s="54">
        <f t="shared" si="43"/>
        <v>1677.8495345530798</v>
      </c>
      <c r="AE303" s="54">
        <f t="shared" si="44"/>
        <v>-473.47476140146989</v>
      </c>
      <c r="AF303" s="54">
        <f t="shared" si="45"/>
        <v>-1643.911677890386</v>
      </c>
      <c r="AG303" s="54">
        <f t="shared" si="46"/>
        <v>-2376.8917363971291</v>
      </c>
      <c r="AH303" s="54">
        <f t="shared" si="47"/>
        <v>-5188.708144030079</v>
      </c>
      <c r="AI303" s="54">
        <f t="shared" si="48"/>
        <v>-5615.7575463795774</v>
      </c>
      <c r="AJ303" s="54">
        <f t="shared" si="49"/>
        <v>-746.68437011892252</v>
      </c>
      <c r="AK303" s="54">
        <f t="shared" si="50"/>
        <v>39948.765175479966</v>
      </c>
      <c r="AL303" s="54">
        <f t="shared" si="51"/>
        <v>776955.86165529396</v>
      </c>
      <c r="AM303" s="54">
        <f t="shared" si="52"/>
        <v>802537.04812910943</v>
      </c>
    </row>
    <row r="304" spans="1:39" x14ac:dyDescent="0.25">
      <c r="A304" s="24"/>
      <c r="B304" s="24"/>
      <c r="C304" s="28">
        <v>33</v>
      </c>
      <c r="D304" s="45">
        <f t="shared" si="61"/>
        <v>-1.5509743245448926</v>
      </c>
      <c r="E304" s="24">
        <f t="shared" ca="1" si="57"/>
        <v>30</v>
      </c>
      <c r="F304" s="45">
        <f t="shared" ca="1" si="58"/>
        <v>-0.54604974636813397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55">
        <v>46</v>
      </c>
      <c r="R304" s="54">
        <v>1526.650969510898</v>
      </c>
      <c r="S304" s="54">
        <v>1005.898413666524</v>
      </c>
      <c r="T304" s="54">
        <v>-1076.7824675049633</v>
      </c>
      <c r="U304" s="54">
        <v>-1323.6988816894591</v>
      </c>
      <c r="V304" s="54">
        <v>234.08025487139821</v>
      </c>
      <c r="W304" s="54">
        <v>218.71764586865902</v>
      </c>
      <c r="X304" s="54">
        <v>10711.088699593209</v>
      </c>
      <c r="Y304" s="54">
        <v>66317.300997537561</v>
      </c>
      <c r="Z304" s="54">
        <v>1453818.7833863925</v>
      </c>
      <c r="AA304" s="54">
        <f t="shared" si="42"/>
        <v>1531432.0390182463</v>
      </c>
      <c r="AC304" s="55">
        <v>46</v>
      </c>
      <c r="AD304" s="54">
        <f t="shared" si="43"/>
        <v>1434.8088547202547</v>
      </c>
      <c r="AE304" s="54">
        <f t="shared" si="44"/>
        <v>885.16333785163511</v>
      </c>
      <c r="AF304" s="54">
        <f t="shared" si="45"/>
        <v>-885.93678496503787</v>
      </c>
      <c r="AG304" s="54">
        <f t="shared" si="46"/>
        <v>-1019.2985206655922</v>
      </c>
      <c r="AH304" s="54">
        <f t="shared" si="47"/>
        <v>168.90690984356408</v>
      </c>
      <c r="AI304" s="54">
        <f t="shared" si="48"/>
        <v>148.03352818508594</v>
      </c>
      <c r="AJ304" s="54">
        <f t="shared" si="49"/>
        <v>6805.8461599701523</v>
      </c>
      <c r="AK304" s="54">
        <f t="shared" si="50"/>
        <v>39565.900394576318</v>
      </c>
      <c r="AL304" s="54">
        <f t="shared" si="51"/>
        <v>813896.82441608177</v>
      </c>
      <c r="AM304" s="54">
        <f t="shared" si="52"/>
        <v>861000.2482955982</v>
      </c>
    </row>
    <row r="305" spans="1:39" x14ac:dyDescent="0.25">
      <c r="A305" s="24"/>
      <c r="B305" s="24"/>
      <c r="C305" s="28">
        <v>34</v>
      </c>
      <c r="D305" s="45">
        <f t="shared" si="61"/>
        <v>0.88906257374896969</v>
      </c>
      <c r="E305" s="24">
        <f t="shared" ca="1" si="57"/>
        <v>23</v>
      </c>
      <c r="F305" s="45">
        <f t="shared" ca="1" si="58"/>
        <v>-0.17244216981237132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55">
        <v>47</v>
      </c>
      <c r="R305" s="54">
        <v>-588.68695079162717</v>
      </c>
      <c r="S305" s="54">
        <v>-1836.5383015358821</v>
      </c>
      <c r="T305" s="54">
        <v>-2497.8363971346989</v>
      </c>
      <c r="U305" s="54">
        <v>-2033.8387590749189</v>
      </c>
      <c r="V305" s="54">
        <v>-551.84198335185647</v>
      </c>
      <c r="W305" s="54">
        <v>278.83642805367708</v>
      </c>
      <c r="X305" s="54">
        <v>10024.779689710587</v>
      </c>
      <c r="Y305" s="54">
        <v>81256.06523009669</v>
      </c>
      <c r="Z305" s="54">
        <v>1467106.4690219657</v>
      </c>
      <c r="AA305" s="54">
        <f t="shared" si="42"/>
        <v>1551157.4079779377</v>
      </c>
      <c r="AC305" s="55">
        <v>47</v>
      </c>
      <c r="AD305" s="54">
        <f t="shared" si="43"/>
        <v>-553.27200946572611</v>
      </c>
      <c r="AE305" s="54">
        <f t="shared" si="44"/>
        <v>-1616.1039236103279</v>
      </c>
      <c r="AF305" s="54">
        <f t="shared" si="45"/>
        <v>-2055.1273946480451</v>
      </c>
      <c r="AG305" s="54">
        <f t="shared" si="46"/>
        <v>-1566.1332551338944</v>
      </c>
      <c r="AH305" s="54">
        <f t="shared" si="47"/>
        <v>-398.19643985399108</v>
      </c>
      <c r="AI305" s="54">
        <f t="shared" si="48"/>
        <v>188.7234112610183</v>
      </c>
      <c r="AJ305" s="54">
        <f t="shared" si="49"/>
        <v>6369.7641079524201</v>
      </c>
      <c r="AK305" s="54">
        <f t="shared" si="50"/>
        <v>48478.592086680022</v>
      </c>
      <c r="AL305" s="54">
        <f t="shared" si="51"/>
        <v>821335.71932253032</v>
      </c>
      <c r="AM305" s="54">
        <f t="shared" si="52"/>
        <v>870183.96590571175</v>
      </c>
    </row>
    <row r="306" spans="1:39" x14ac:dyDescent="0.25">
      <c r="A306" s="24"/>
      <c r="B306" s="24"/>
      <c r="C306" s="28">
        <v>35</v>
      </c>
      <c r="D306" s="45">
        <f t="shared" ref="D306:D311" si="62">G148</f>
        <v>-0.7039276375395277</v>
      </c>
      <c r="E306" s="24">
        <f t="shared" ca="1" si="57"/>
        <v>7</v>
      </c>
      <c r="F306" s="45">
        <f t="shared" ca="1" si="58"/>
        <v>-0.48226657994170558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55">
        <v>48</v>
      </c>
      <c r="R306" s="54">
        <v>348.81534576043487</v>
      </c>
      <c r="S306" s="54">
        <v>-714.49367999937385</v>
      </c>
      <c r="T306" s="54">
        <v>-2304.6468635955825</v>
      </c>
      <c r="U306" s="54">
        <v>-3277.6475161481649</v>
      </c>
      <c r="V306" s="54">
        <v>-5495.5498798117042</v>
      </c>
      <c r="W306" s="54">
        <v>-6609.7212114799768</v>
      </c>
      <c r="X306" s="54">
        <v>7467.2244987208396</v>
      </c>
      <c r="Y306" s="54">
        <v>66369.8399770502</v>
      </c>
      <c r="Z306" s="54">
        <v>1410727.7602682598</v>
      </c>
      <c r="AA306" s="54">
        <f t="shared" si="42"/>
        <v>1466511.5809387565</v>
      </c>
      <c r="AC306" s="55">
        <v>48</v>
      </c>
      <c r="AD306" s="54">
        <f t="shared" si="43"/>
        <v>327.83089046196454</v>
      </c>
      <c r="AE306" s="54">
        <f t="shared" si="44"/>
        <v>-628.73507112599134</v>
      </c>
      <c r="AF306" s="54">
        <f t="shared" si="45"/>
        <v>-1896.1781923740482</v>
      </c>
      <c r="AG306" s="54">
        <f t="shared" si="46"/>
        <v>-2523.9133391191117</v>
      </c>
      <c r="AH306" s="54">
        <f t="shared" si="47"/>
        <v>-3965.4619677346577</v>
      </c>
      <c r="AI306" s="54">
        <f t="shared" si="48"/>
        <v>-4473.6232752009028</v>
      </c>
      <c r="AJ306" s="54">
        <f t="shared" si="49"/>
        <v>4744.6886684996243</v>
      </c>
      <c r="AK306" s="54">
        <f t="shared" si="50"/>
        <v>39597.245940896231</v>
      </c>
      <c r="AL306" s="54">
        <f t="shared" si="51"/>
        <v>789773.01526086126</v>
      </c>
      <c r="AM306" s="54">
        <f t="shared" si="52"/>
        <v>820954.86891516438</v>
      </c>
    </row>
    <row r="307" spans="1:39" x14ac:dyDescent="0.25">
      <c r="A307" s="24"/>
      <c r="B307" s="24"/>
      <c r="C307" s="28">
        <v>36</v>
      </c>
      <c r="D307" s="45">
        <f t="shared" si="62"/>
        <v>0.20836380348837932</v>
      </c>
      <c r="E307" s="24">
        <f t="shared" ca="1" si="57"/>
        <v>32</v>
      </c>
      <c r="F307" s="45">
        <f t="shared" ca="1" si="58"/>
        <v>0.25359731147881492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55">
        <v>49</v>
      </c>
      <c r="R307" s="54">
        <v>-622.96641256194562</v>
      </c>
      <c r="S307" s="54">
        <v>-1942.8575930222869</v>
      </c>
      <c r="T307" s="54">
        <v>-2632.7308136224747</v>
      </c>
      <c r="U307" s="54">
        <v>-3525.0432144049555</v>
      </c>
      <c r="V307" s="54">
        <v>-6058.9210744034499</v>
      </c>
      <c r="W307" s="54">
        <v>-6306.5608675749972</v>
      </c>
      <c r="X307" s="54">
        <v>11265.964102915488</v>
      </c>
      <c r="Y307" s="54">
        <v>71707.087331498973</v>
      </c>
      <c r="Z307" s="54">
        <v>1439637.562060033</v>
      </c>
      <c r="AA307" s="54">
        <f t="shared" si="42"/>
        <v>1501521.5335188573</v>
      </c>
      <c r="AC307" s="55">
        <v>49</v>
      </c>
      <c r="AD307" s="54">
        <f t="shared" si="43"/>
        <v>-585.48924592996832</v>
      </c>
      <c r="AE307" s="54">
        <f t="shared" si="44"/>
        <v>-1709.6620181967326</v>
      </c>
      <c r="AF307" s="54">
        <f t="shared" si="45"/>
        <v>-2166.1135309006436</v>
      </c>
      <c r="AG307" s="54">
        <f t="shared" si="46"/>
        <v>-2714.4174429907785</v>
      </c>
      <c r="AH307" s="54">
        <f t="shared" si="47"/>
        <v>-4371.9776203498159</v>
      </c>
      <c r="AI307" s="54">
        <f t="shared" si="48"/>
        <v>-4268.4368343180877</v>
      </c>
      <c r="AJ307" s="54">
        <f t="shared" si="49"/>
        <v>7158.415048052113</v>
      </c>
      <c r="AK307" s="54">
        <f t="shared" si="50"/>
        <v>42781.528081919692</v>
      </c>
      <c r="AL307" s="54">
        <f t="shared" si="51"/>
        <v>805957.69807120087</v>
      </c>
      <c r="AM307" s="54">
        <f t="shared" si="52"/>
        <v>840081.54450848664</v>
      </c>
    </row>
    <row r="308" spans="1:39" x14ac:dyDescent="0.25">
      <c r="A308" s="24"/>
      <c r="B308" s="24"/>
      <c r="C308" s="28">
        <v>37</v>
      </c>
      <c r="D308" s="45">
        <f t="shared" si="62"/>
        <v>-1.4822799902914807</v>
      </c>
      <c r="E308" s="24">
        <f t="shared" ca="1" si="57"/>
        <v>2</v>
      </c>
      <c r="F308" s="45">
        <f t="shared" ca="1" si="58"/>
        <v>-6.8439489441583984E-2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55">
        <v>50</v>
      </c>
      <c r="R308" s="54">
        <v>-548.49790797568858</v>
      </c>
      <c r="S308" s="54">
        <v>-2577.2137710675597</v>
      </c>
      <c r="T308" s="54">
        <v>-3800.0351248178631</v>
      </c>
      <c r="U308" s="54">
        <v>-4733.4864154141396</v>
      </c>
      <c r="V308" s="54">
        <v>-6277.4448265247047</v>
      </c>
      <c r="W308" s="54">
        <v>-7166.6664020046592</v>
      </c>
      <c r="X308" s="54">
        <v>6725.5091331098229</v>
      </c>
      <c r="Y308" s="54">
        <v>72762.539492575452</v>
      </c>
      <c r="Z308" s="54">
        <v>1388548.9640357969</v>
      </c>
      <c r="AA308" s="54">
        <f t="shared" si="42"/>
        <v>1442933.6682136776</v>
      </c>
      <c r="AC308" s="55">
        <v>50</v>
      </c>
      <c r="AD308" s="54">
        <f t="shared" si="43"/>
        <v>-515.50070767726675</v>
      </c>
      <c r="AE308" s="54">
        <f t="shared" si="44"/>
        <v>-2267.8782598335461</v>
      </c>
      <c r="AF308" s="54">
        <f t="shared" si="45"/>
        <v>-3126.5283405256005</v>
      </c>
      <c r="AG308" s="54">
        <f t="shared" si="46"/>
        <v>-3644.9647027459073</v>
      </c>
      <c r="AH308" s="54">
        <f t="shared" si="47"/>
        <v>-4529.6593168196878</v>
      </c>
      <c r="AI308" s="54">
        <f t="shared" si="48"/>
        <v>-4850.5775956062771</v>
      </c>
      <c r="AJ308" s="54">
        <f t="shared" si="49"/>
        <v>4273.4013125255942</v>
      </c>
      <c r="AK308" s="54">
        <f t="shared" si="50"/>
        <v>43411.226734431839</v>
      </c>
      <c r="AL308" s="54">
        <f t="shared" si="51"/>
        <v>777356.57654837891</v>
      </c>
      <c r="AM308" s="54">
        <f t="shared" si="52"/>
        <v>806106.09567212802</v>
      </c>
    </row>
    <row r="309" spans="1:39" x14ac:dyDescent="0.25">
      <c r="A309" s="24"/>
      <c r="B309" s="24"/>
      <c r="C309" s="28">
        <v>38</v>
      </c>
      <c r="D309" s="45">
        <f t="shared" si="62"/>
        <v>0.59487249474645776</v>
      </c>
      <c r="E309" s="24">
        <f t="shared" ca="1" si="57"/>
        <v>31</v>
      </c>
      <c r="F309" s="45">
        <f t="shared" ca="1" si="58"/>
        <v>-0.29208487391246801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55">
        <v>51</v>
      </c>
      <c r="R309" s="54">
        <v>-83.398339044302702</v>
      </c>
      <c r="S309" s="54">
        <v>-1595.9107941575348</v>
      </c>
      <c r="T309" s="54">
        <v>-995.82794846501201</v>
      </c>
      <c r="U309" s="54">
        <v>-1898.3600716665387</v>
      </c>
      <c r="V309" s="54">
        <v>-4899.4869886692613</v>
      </c>
      <c r="W309" s="54">
        <v>-6232.0505419140682</v>
      </c>
      <c r="X309" s="54">
        <v>3436.6380714476109</v>
      </c>
      <c r="Y309" s="54">
        <v>64734.740570807829</v>
      </c>
      <c r="Z309" s="54">
        <v>1425264.1154089691</v>
      </c>
      <c r="AA309" s="54">
        <f t="shared" si="42"/>
        <v>1477730.4593673078</v>
      </c>
      <c r="AC309" s="55">
        <v>51</v>
      </c>
      <c r="AD309" s="54">
        <f t="shared" si="43"/>
        <v>-78.381160932982496</v>
      </c>
      <c r="AE309" s="54">
        <f t="shared" si="44"/>
        <v>-1404.3582396365694</v>
      </c>
      <c r="AF309" s="54">
        <f t="shared" si="45"/>
        <v>-819.33040114005712</v>
      </c>
      <c r="AG309" s="54">
        <f t="shared" si="46"/>
        <v>-1461.8095093278789</v>
      </c>
      <c r="AH309" s="54">
        <f t="shared" si="47"/>
        <v>-3535.3567413429528</v>
      </c>
      <c r="AI309" s="54">
        <f t="shared" si="48"/>
        <v>-4218.0063976242391</v>
      </c>
      <c r="AJ309" s="54">
        <f t="shared" si="49"/>
        <v>2183.6463759895146</v>
      </c>
      <c r="AK309" s="54">
        <f t="shared" si="50"/>
        <v>38621.721013471652</v>
      </c>
      <c r="AL309" s="54">
        <f t="shared" si="51"/>
        <v>797910.95750153693</v>
      </c>
      <c r="AM309" s="54">
        <f t="shared" si="52"/>
        <v>827199.0824409934</v>
      </c>
    </row>
    <row r="310" spans="1:39" x14ac:dyDescent="0.25">
      <c r="A310" s="24"/>
      <c r="B310" s="24"/>
      <c r="C310" s="28">
        <v>39</v>
      </c>
      <c r="D310" s="45">
        <f t="shared" si="62"/>
        <v>1.6835777535523937</v>
      </c>
      <c r="E310" s="24">
        <f t="shared" ca="1" si="57"/>
        <v>42</v>
      </c>
      <c r="F310" s="45">
        <f t="shared" ca="1" si="58"/>
        <v>-0.24591065275978005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55">
        <v>52</v>
      </c>
      <c r="R310" s="54">
        <v>-1065.2440617019311</v>
      </c>
      <c r="S310" s="54">
        <v>-1464.0572622967884</v>
      </c>
      <c r="T310" s="54">
        <v>-1495.5321417143568</v>
      </c>
      <c r="U310" s="54">
        <v>-2938.1390807582065</v>
      </c>
      <c r="V310" s="54">
        <v>-5491.6881767939776</v>
      </c>
      <c r="W310" s="54">
        <v>-5501.2800629865378</v>
      </c>
      <c r="X310" s="54">
        <v>5499.1187879163772</v>
      </c>
      <c r="Y310" s="54">
        <v>70429.939888270572</v>
      </c>
      <c r="Z310" s="54">
        <v>1436466.9248277824</v>
      </c>
      <c r="AA310" s="54">
        <f t="shared" si="42"/>
        <v>1494440.0427177176</v>
      </c>
      <c r="AC310" s="55">
        <v>52</v>
      </c>
      <c r="AD310" s="54">
        <f t="shared" si="43"/>
        <v>-1001.1598215260487</v>
      </c>
      <c r="AE310" s="54">
        <f t="shared" si="44"/>
        <v>-1288.3307056592889</v>
      </c>
      <c r="AF310" s="54">
        <f t="shared" si="45"/>
        <v>-1230.4685276984114</v>
      </c>
      <c r="AG310" s="54">
        <f t="shared" si="46"/>
        <v>-2262.4789217198982</v>
      </c>
      <c r="AH310" s="54">
        <f t="shared" si="47"/>
        <v>-3962.6754519569126</v>
      </c>
      <c r="AI310" s="54">
        <f t="shared" si="48"/>
        <v>-3723.4028101564536</v>
      </c>
      <c r="AJ310" s="54">
        <f t="shared" si="49"/>
        <v>3494.1505514170362</v>
      </c>
      <c r="AK310" s="54">
        <f t="shared" si="50"/>
        <v>42019.562685742923</v>
      </c>
      <c r="AL310" s="54">
        <f t="shared" si="51"/>
        <v>804182.66833283613</v>
      </c>
      <c r="AM310" s="54">
        <f t="shared" si="52"/>
        <v>836227.86533127911</v>
      </c>
    </row>
    <row r="311" spans="1:39" x14ac:dyDescent="0.25">
      <c r="A311" s="24"/>
      <c r="B311" s="24"/>
      <c r="C311" s="28">
        <v>40</v>
      </c>
      <c r="D311" s="45">
        <f t="shared" si="62"/>
        <v>-0.35120890505489138</v>
      </c>
      <c r="E311" s="24">
        <f t="shared" ca="1" si="57"/>
        <v>33</v>
      </c>
      <c r="F311" s="45">
        <f t="shared" ca="1" si="58"/>
        <v>-1.5509743245448926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55">
        <v>53</v>
      </c>
      <c r="R311" s="54">
        <v>1467.1412365622818</v>
      </c>
      <c r="S311" s="54">
        <v>-37.339184079319239</v>
      </c>
      <c r="T311" s="54">
        <v>-1254.5787986554205</v>
      </c>
      <c r="U311" s="54">
        <v>-2149.1619617650285</v>
      </c>
      <c r="V311" s="54">
        <v>-2377.98332872428</v>
      </c>
      <c r="W311" s="54">
        <v>-1948.7078735204414</v>
      </c>
      <c r="X311" s="54">
        <v>5275.9627273119986</v>
      </c>
      <c r="Y311" s="54">
        <v>66485.732643475756</v>
      </c>
      <c r="Z311" s="54">
        <v>1432960.9818255445</v>
      </c>
      <c r="AA311" s="54">
        <f t="shared" si="42"/>
        <v>1498422.04728615</v>
      </c>
      <c r="AC311" s="55">
        <v>53</v>
      </c>
      <c r="AD311" s="54">
        <f t="shared" si="43"/>
        <v>1378.8791802354131</v>
      </c>
      <c r="AE311" s="54">
        <f t="shared" si="44"/>
        <v>-32.857469863019418</v>
      </c>
      <c r="AF311" s="54">
        <f t="shared" si="45"/>
        <v>-1032.221029695545</v>
      </c>
      <c r="AG311" s="54">
        <f t="shared" si="46"/>
        <v>-1654.9365105619097</v>
      </c>
      <c r="AH311" s="54">
        <f t="shared" si="47"/>
        <v>-1715.8978912381906</v>
      </c>
      <c r="AI311" s="54">
        <f t="shared" si="48"/>
        <v>-1318.9338280118341</v>
      </c>
      <c r="AJ311" s="54">
        <f t="shared" si="49"/>
        <v>3352.3567654878752</v>
      </c>
      <c r="AK311" s="54">
        <f t="shared" si="50"/>
        <v>39666.389250821128</v>
      </c>
      <c r="AL311" s="54">
        <f t="shared" si="51"/>
        <v>802219.92310714943</v>
      </c>
      <c r="AM311" s="54">
        <f t="shared" si="52"/>
        <v>840862.70157432335</v>
      </c>
    </row>
    <row r="312" spans="1:39" x14ac:dyDescent="0.25">
      <c r="A312" s="24"/>
      <c r="B312" s="24"/>
      <c r="C312" s="28">
        <v>41</v>
      </c>
      <c r="D312" s="45">
        <f>H148</f>
        <v>-1.0785925301315826</v>
      </c>
      <c r="E312" s="24">
        <f t="shared" ca="1" si="57"/>
        <v>27</v>
      </c>
      <c r="F312" s="45">
        <f t="shared" ca="1" si="58"/>
        <v>-1.7692550386496639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55">
        <v>54</v>
      </c>
      <c r="R312" s="54">
        <v>-1331.8704402968287</v>
      </c>
      <c r="S312" s="54">
        <v>-2933.7595874611288</v>
      </c>
      <c r="T312" s="54">
        <v>-2595.1806447245181</v>
      </c>
      <c r="U312" s="54">
        <v>-2497.8867402374744</v>
      </c>
      <c r="V312" s="54">
        <v>-5241.5528498077765</v>
      </c>
      <c r="W312" s="54">
        <v>-6775.6141349226236</v>
      </c>
      <c r="X312" s="54">
        <v>2491.2224824111909</v>
      </c>
      <c r="Y312" s="54">
        <v>56955.181306553073</v>
      </c>
      <c r="Z312" s="54">
        <v>1469390.3637236729</v>
      </c>
      <c r="AA312" s="54">
        <f t="shared" si="42"/>
        <v>1507460.9031151868</v>
      </c>
      <c r="AC312" s="55">
        <v>54</v>
      </c>
      <c r="AD312" s="54">
        <f t="shared" si="43"/>
        <v>-1251.7461680781466</v>
      </c>
      <c r="AE312" s="54">
        <f t="shared" si="44"/>
        <v>-2581.6289136253081</v>
      </c>
      <c r="AF312" s="54">
        <f t="shared" si="45"/>
        <v>-2135.2186408812754</v>
      </c>
      <c r="AG312" s="54">
        <f t="shared" si="46"/>
        <v>-1923.4678629210864</v>
      </c>
      <c r="AH312" s="54">
        <f t="shared" si="47"/>
        <v>-3782.1835725920328</v>
      </c>
      <c r="AI312" s="54">
        <f t="shared" si="48"/>
        <v>-4585.9037208897726</v>
      </c>
      <c r="AJ312" s="54">
        <f t="shared" si="49"/>
        <v>1582.9275100852667</v>
      </c>
      <c r="AK312" s="54">
        <f t="shared" si="50"/>
        <v>33980.318810227043</v>
      </c>
      <c r="AL312" s="54">
        <f t="shared" si="51"/>
        <v>822614.32066285028</v>
      </c>
      <c r="AM312" s="54">
        <f t="shared" si="52"/>
        <v>841917.41810417501</v>
      </c>
    </row>
    <row r="313" spans="1:39" x14ac:dyDescent="0.25">
      <c r="A313" s="24"/>
      <c r="B313" s="24"/>
      <c r="C313" s="28">
        <v>42</v>
      </c>
      <c r="D313" s="45">
        <f>H149</f>
        <v>-0.24591065275978005</v>
      </c>
      <c r="E313" s="24">
        <f t="shared" ca="1" si="57"/>
        <v>55</v>
      </c>
      <c r="F313" s="45">
        <f t="shared" ca="1" si="58"/>
        <v>2.988219921665427E-3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55">
        <v>55</v>
      </c>
      <c r="R313" s="54">
        <v>562.19668539613485</v>
      </c>
      <c r="S313" s="54">
        <v>-511.90688077919185</v>
      </c>
      <c r="T313" s="54">
        <v>-3192.8365265270695</v>
      </c>
      <c r="U313" s="54">
        <v>-6253.363911385648</v>
      </c>
      <c r="V313" s="54">
        <v>-8522.8810490332544</v>
      </c>
      <c r="W313" s="54">
        <v>-9326.1812478844076</v>
      </c>
      <c r="X313" s="54">
        <v>-1888.0322580030188</v>
      </c>
      <c r="Y313" s="54">
        <v>58586.662178779021</v>
      </c>
      <c r="Z313" s="54">
        <v>1405091.0312158819</v>
      </c>
      <c r="AA313" s="54">
        <f t="shared" si="42"/>
        <v>1434544.6882064445</v>
      </c>
      <c r="AC313" s="55">
        <v>55</v>
      </c>
      <c r="AD313" s="54">
        <f t="shared" si="43"/>
        <v>528.37537748342106</v>
      </c>
      <c r="AE313" s="54">
        <f t="shared" si="44"/>
        <v>-450.46417918892104</v>
      </c>
      <c r="AF313" s="54">
        <f t="shared" si="45"/>
        <v>-2626.9477936287931</v>
      </c>
      <c r="AG313" s="54">
        <f t="shared" si="46"/>
        <v>-4815.3282232313222</v>
      </c>
      <c r="AH313" s="54">
        <f t="shared" si="47"/>
        <v>-6149.9142751163308</v>
      </c>
      <c r="AI313" s="54">
        <f t="shared" si="48"/>
        <v>-6312.1908117416633</v>
      </c>
      <c r="AJ313" s="54">
        <f t="shared" si="49"/>
        <v>-1199.6592926653323</v>
      </c>
      <c r="AK313" s="54">
        <f t="shared" si="50"/>
        <v>34953.684865768795</v>
      </c>
      <c r="AL313" s="54">
        <f t="shared" si="51"/>
        <v>786617.38408574474</v>
      </c>
      <c r="AM313" s="54">
        <f t="shared" si="52"/>
        <v>800544.93975342461</v>
      </c>
    </row>
    <row r="314" spans="1:39" x14ac:dyDescent="0.25">
      <c r="A314" s="24"/>
      <c r="B314" s="24"/>
      <c r="C314" s="28">
        <v>43</v>
      </c>
      <c r="D314" s="45">
        <f>H150</f>
        <v>-0.62634517632475972</v>
      </c>
      <c r="E314" s="24">
        <f t="shared" ca="1" si="57"/>
        <v>42</v>
      </c>
      <c r="F314" s="45">
        <f t="shared" ca="1" si="58"/>
        <v>-0.24591065275978005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55">
        <v>56</v>
      </c>
      <c r="R314" s="54">
        <v>906.20942067541182</v>
      </c>
      <c r="S314" s="54">
        <v>1675.7840035809204</v>
      </c>
      <c r="T314" s="54">
        <v>992.43318886496127</v>
      </c>
      <c r="U314" s="54">
        <v>581.78409747034311</v>
      </c>
      <c r="V314" s="54">
        <v>-1888.2848026929423</v>
      </c>
      <c r="W314" s="54">
        <v>-2608.0166531810537</v>
      </c>
      <c r="X314" s="54">
        <v>6398.8615254824981</v>
      </c>
      <c r="Y314" s="54">
        <v>69790.013411058113</v>
      </c>
      <c r="Z314" s="54">
        <v>1448373.9934891658</v>
      </c>
      <c r="AA314" s="54">
        <f t="shared" si="42"/>
        <v>1524222.777680424</v>
      </c>
      <c r="AC314" s="55">
        <v>56</v>
      </c>
      <c r="AD314" s="54">
        <f t="shared" si="43"/>
        <v>851.69257871205332</v>
      </c>
      <c r="AE314" s="54">
        <f t="shared" si="44"/>
        <v>1474.6444988627077</v>
      </c>
      <c r="AF314" s="54">
        <f t="shared" si="45"/>
        <v>816.53731851050156</v>
      </c>
      <c r="AG314" s="54">
        <f t="shared" si="46"/>
        <v>447.99589853956564</v>
      </c>
      <c r="AH314" s="54">
        <f t="shared" si="47"/>
        <v>-1362.5427360486019</v>
      </c>
      <c r="AI314" s="54">
        <f t="shared" si="48"/>
        <v>-1765.1703647527838</v>
      </c>
      <c r="AJ314" s="54">
        <f t="shared" si="49"/>
        <v>4065.8488005089307</v>
      </c>
      <c r="AK314" s="54">
        <f t="shared" si="50"/>
        <v>41637.772913294546</v>
      </c>
      <c r="AL314" s="54">
        <f t="shared" si="51"/>
        <v>810848.64725837356</v>
      </c>
      <c r="AM314" s="54">
        <f t="shared" si="52"/>
        <v>857015.42616600043</v>
      </c>
    </row>
    <row r="315" spans="1:39" x14ac:dyDescent="0.25">
      <c r="A315" s="24"/>
      <c r="B315" s="24"/>
      <c r="C315" s="28">
        <v>44</v>
      </c>
      <c r="D315" s="45">
        <f>H151</f>
        <v>0.14117866393294265</v>
      </c>
      <c r="E315" s="24">
        <f t="shared" ca="1" si="57"/>
        <v>9</v>
      </c>
      <c r="F315" s="45">
        <f t="shared" ca="1" si="58"/>
        <v>1.2511302743611397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55">
        <v>57</v>
      </c>
      <c r="R315" s="54">
        <v>-103.18637352529913</v>
      </c>
      <c r="S315" s="54">
        <v>-632.43145560193807</v>
      </c>
      <c r="T315" s="54">
        <v>-2125.9587625516579</v>
      </c>
      <c r="U315" s="54">
        <v>-3916.758741794154</v>
      </c>
      <c r="V315" s="54">
        <v>-6722.1303023537621</v>
      </c>
      <c r="W315" s="54">
        <v>-6436.6639882083982</v>
      </c>
      <c r="X315" s="54">
        <v>-1018.8345564659685</v>
      </c>
      <c r="Y315" s="54">
        <v>65220.301954684779</v>
      </c>
      <c r="Z315" s="54">
        <v>1410549.4421042651</v>
      </c>
      <c r="AA315" s="54">
        <f t="shared" si="42"/>
        <v>1454813.7798784487</v>
      </c>
      <c r="AC315" s="55">
        <v>57</v>
      </c>
      <c r="AD315" s="54">
        <f t="shared" si="43"/>
        <v>-96.978762911344006</v>
      </c>
      <c r="AE315" s="54">
        <f t="shared" si="44"/>
        <v>-556.52253805876524</v>
      </c>
      <c r="AF315" s="54">
        <f t="shared" si="45"/>
        <v>-1749.1602323610311</v>
      </c>
      <c r="AG315" s="54">
        <f t="shared" si="46"/>
        <v>-3016.0533083017403</v>
      </c>
      <c r="AH315" s="54">
        <f t="shared" si="47"/>
        <v>-4850.5340937882374</v>
      </c>
      <c r="AI315" s="54">
        <f t="shared" si="48"/>
        <v>-4356.4938536717873</v>
      </c>
      <c r="AJ315" s="54">
        <f t="shared" si="49"/>
        <v>-647.36941764212531</v>
      </c>
      <c r="AK315" s="54">
        <f t="shared" si="50"/>
        <v>38911.414246775006</v>
      </c>
      <c r="AL315" s="54">
        <f t="shared" si="51"/>
        <v>789673.18673403969</v>
      </c>
      <c r="AM315" s="54">
        <f t="shared" si="52"/>
        <v>813311.48877407971</v>
      </c>
    </row>
    <row r="316" spans="1:39" x14ac:dyDescent="0.25">
      <c r="A316" s="24"/>
      <c r="B316" s="24"/>
      <c r="C316" s="28">
        <v>45</v>
      </c>
      <c r="D316" s="45">
        <f>H152</f>
        <v>1.7035541097393359</v>
      </c>
      <c r="E316" s="24">
        <f t="shared" ca="1" si="57"/>
        <v>2</v>
      </c>
      <c r="F316" s="45">
        <f t="shared" ca="1" si="58"/>
        <v>-6.8439489441583984E-2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55">
        <v>58</v>
      </c>
      <c r="R316" s="54">
        <v>-1737.3181898891926</v>
      </c>
      <c r="S316" s="54">
        <v>-2488.5014234259725</v>
      </c>
      <c r="T316" s="54">
        <v>-3053.9496231488883</v>
      </c>
      <c r="U316" s="54">
        <v>-3506.0059675155208</v>
      </c>
      <c r="V316" s="54">
        <v>-3519.4429433988407</v>
      </c>
      <c r="W316" s="54">
        <v>-4777.4683960787952</v>
      </c>
      <c r="X316" s="54">
        <v>4918.3955026520416</v>
      </c>
      <c r="Y316" s="54">
        <v>71869.579635324888</v>
      </c>
      <c r="Z316" s="54">
        <v>1481868.2030141652</v>
      </c>
      <c r="AA316" s="54">
        <f t="shared" si="42"/>
        <v>1539573.4916086849</v>
      </c>
      <c r="AC316" s="55">
        <v>58</v>
      </c>
      <c r="AD316" s="54">
        <f t="shared" si="43"/>
        <v>-1632.8025017520442</v>
      </c>
      <c r="AE316" s="54">
        <f t="shared" si="44"/>
        <v>-2189.8137985716412</v>
      </c>
      <c r="AF316" s="54">
        <f t="shared" si="45"/>
        <v>-2512.6767868415764</v>
      </c>
      <c r="AG316" s="54">
        <f t="shared" si="46"/>
        <v>-2699.7580383026216</v>
      </c>
      <c r="AH316" s="54">
        <f t="shared" si="47"/>
        <v>-2539.548806740775</v>
      </c>
      <c r="AI316" s="54">
        <f t="shared" si="48"/>
        <v>-3233.5091192824011</v>
      </c>
      <c r="AJ316" s="54">
        <f t="shared" si="49"/>
        <v>3125.157869919437</v>
      </c>
      <c r="AK316" s="54">
        <f t="shared" si="50"/>
        <v>42878.473437224486</v>
      </c>
      <c r="AL316" s="54">
        <f t="shared" si="51"/>
        <v>829599.83625128574</v>
      </c>
      <c r="AM316" s="54">
        <f t="shared" si="52"/>
        <v>860795.35850693856</v>
      </c>
    </row>
    <row r="317" spans="1:39" x14ac:dyDescent="0.25">
      <c r="C317" s="28">
        <v>46</v>
      </c>
      <c r="D317" s="45">
        <f>I148</f>
        <v>-0.66181681152533756</v>
      </c>
      <c r="E317" s="24">
        <f t="shared" ca="1" si="57"/>
        <v>44</v>
      </c>
      <c r="F317" s="45">
        <f t="shared" ca="1" si="58"/>
        <v>0.14117866393294265</v>
      </c>
      <c r="Q317" s="55">
        <v>59</v>
      </c>
      <c r="R317" s="54">
        <v>-1238.1680609518662</v>
      </c>
      <c r="S317" s="54">
        <v>-1426.220393717289</v>
      </c>
      <c r="T317" s="54">
        <v>-2711.1391452476382</v>
      </c>
      <c r="U317" s="54">
        <v>-3055.9943082835525</v>
      </c>
      <c r="V317" s="54">
        <v>-6669.5511110220104</v>
      </c>
      <c r="W317" s="54">
        <v>-6738.6220187582076</v>
      </c>
      <c r="X317" s="54">
        <v>-429.12417265959084</v>
      </c>
      <c r="Y317" s="54">
        <v>67510.497919120826</v>
      </c>
      <c r="Z317" s="54">
        <v>1431385.2927893149</v>
      </c>
      <c r="AA317" s="54">
        <f t="shared" si="42"/>
        <v>1476626.9714977955</v>
      </c>
      <c r="AC317" s="55">
        <v>59</v>
      </c>
      <c r="AD317" s="54">
        <f t="shared" si="43"/>
        <v>-1163.6808497588052</v>
      </c>
      <c r="AE317" s="54">
        <f t="shared" si="44"/>
        <v>-1255.0352869264916</v>
      </c>
      <c r="AF317" s="54">
        <f t="shared" si="45"/>
        <v>-2230.6250059021158</v>
      </c>
      <c r="AG317" s="54">
        <f t="shared" si="46"/>
        <v>-2353.2319326433258</v>
      </c>
      <c r="AH317" s="54">
        <f t="shared" si="47"/>
        <v>-4812.5941627385255</v>
      </c>
      <c r="AI317" s="54">
        <f t="shared" si="48"/>
        <v>-4560.8665390515062</v>
      </c>
      <c r="AJ317" s="54">
        <f t="shared" si="49"/>
        <v>-272.66631661416113</v>
      </c>
      <c r="AK317" s="54">
        <f t="shared" si="50"/>
        <v>40277.779645395523</v>
      </c>
      <c r="AL317" s="54">
        <f t="shared" si="51"/>
        <v>801337.79920181143</v>
      </c>
      <c r="AM317" s="54">
        <f t="shared" si="52"/>
        <v>824966.878753572</v>
      </c>
    </row>
    <row r="318" spans="1:39" x14ac:dyDescent="0.25">
      <c r="C318" s="28">
        <v>47</v>
      </c>
      <c r="D318" s="45">
        <f>I149</f>
        <v>0.35243188171963469</v>
      </c>
      <c r="E318" s="24">
        <f t="shared" ca="1" si="57"/>
        <v>18</v>
      </c>
      <c r="F318" s="45">
        <f t="shared" ca="1" si="58"/>
        <v>-0.99225330517541921</v>
      </c>
      <c r="Q318" s="55">
        <v>60</v>
      </c>
      <c r="R318" s="54">
        <v>1737.0034101158381</v>
      </c>
      <c r="S318" s="54">
        <v>765.11061361525208</v>
      </c>
      <c r="T318" s="54">
        <v>595.32414629589766</v>
      </c>
      <c r="U318" s="54">
        <v>302.96037511248142</v>
      </c>
      <c r="V318" s="54">
        <v>-1548.0869463821873</v>
      </c>
      <c r="W318" s="54">
        <v>-3413.952884987928</v>
      </c>
      <c r="X318" s="54">
        <v>2338.280062250793</v>
      </c>
      <c r="Y318" s="54">
        <v>61183.400554637425</v>
      </c>
      <c r="Z318" s="54">
        <v>1466989.9421014199</v>
      </c>
      <c r="AA318" s="54">
        <f t="shared" si="42"/>
        <v>1528949.9814320775</v>
      </c>
      <c r="AC318" s="55">
        <v>60</v>
      </c>
      <c r="AD318" s="54">
        <f t="shared" si="43"/>
        <v>1632.5066588808734</v>
      </c>
      <c r="AE318" s="54">
        <f t="shared" si="44"/>
        <v>673.27660067064267</v>
      </c>
      <c r="AF318" s="54">
        <f t="shared" si="45"/>
        <v>489.81068702162202</v>
      </c>
      <c r="AG318" s="54">
        <f t="shared" si="46"/>
        <v>233.29101991708987</v>
      </c>
      <c r="AH318" s="54">
        <f t="shared" si="47"/>
        <v>-1117.0638139736773</v>
      </c>
      <c r="AI318" s="54">
        <f t="shared" si="48"/>
        <v>-2310.6479983142226</v>
      </c>
      <c r="AJ318" s="54">
        <f t="shared" si="49"/>
        <v>1485.7476050225146</v>
      </c>
      <c r="AK318" s="54">
        <f t="shared" si="50"/>
        <v>36502.938083022047</v>
      </c>
      <c r="AL318" s="54">
        <f t="shared" si="51"/>
        <v>821270.48361937737</v>
      </c>
      <c r="AM318" s="54">
        <f t="shared" si="52"/>
        <v>858860.3424616243</v>
      </c>
    </row>
    <row r="319" spans="1:39" x14ac:dyDescent="0.25">
      <c r="C319" s="28">
        <v>48</v>
      </c>
      <c r="D319" s="45">
        <f>I150</f>
        <v>0.23092493900885905</v>
      </c>
      <c r="E319" s="24">
        <f t="shared" ca="1" si="57"/>
        <v>15</v>
      </c>
      <c r="F319" s="45">
        <f t="shared" ca="1" si="58"/>
        <v>1.4378898028087679</v>
      </c>
      <c r="Q319" s="55">
        <v>61</v>
      </c>
      <c r="R319" s="54">
        <v>-1048.0512934047729</v>
      </c>
      <c r="S319" s="54">
        <v>-2176.9967744685709</v>
      </c>
      <c r="T319" s="54">
        <v>-4266.226801703684</v>
      </c>
      <c r="U319" s="54">
        <v>-6384.4573458349332</v>
      </c>
      <c r="V319" s="54">
        <v>-6754.8001295346767</v>
      </c>
      <c r="W319" s="54">
        <v>-5974.4400432528928</v>
      </c>
      <c r="X319" s="54">
        <v>3102.7305219797418</v>
      </c>
      <c r="Y319" s="54">
        <v>64734.52985347528</v>
      </c>
      <c r="Z319" s="54">
        <v>1549888.9187536323</v>
      </c>
      <c r="AA319" s="54">
        <f t="shared" si="42"/>
        <v>1591121.2067408878</v>
      </c>
      <c r="AC319" s="55">
        <v>61</v>
      </c>
      <c r="AD319" s="54">
        <f t="shared" si="43"/>
        <v>-985.00135657068347</v>
      </c>
      <c r="AE319" s="54">
        <f t="shared" si="44"/>
        <v>-1915.6981512247248</v>
      </c>
      <c r="AF319" s="54">
        <f t="shared" si="45"/>
        <v>-3510.0936082204703</v>
      </c>
      <c r="AG319" s="54">
        <f t="shared" si="46"/>
        <v>-4916.2751573501928</v>
      </c>
      <c r="AH319" s="54">
        <f t="shared" si="47"/>
        <v>-4874.107887132247</v>
      </c>
      <c r="AI319" s="54">
        <f t="shared" si="48"/>
        <v>-4043.6492219017396</v>
      </c>
      <c r="AJ319" s="54">
        <f t="shared" si="49"/>
        <v>1971.480883100146</v>
      </c>
      <c r="AK319" s="54">
        <f t="shared" si="50"/>
        <v>38621.595296338033</v>
      </c>
      <c r="AL319" s="54">
        <f t="shared" si="51"/>
        <v>867680.12876608351</v>
      </c>
      <c r="AM319" s="54">
        <f t="shared" si="52"/>
        <v>888028.37956312159</v>
      </c>
    </row>
    <row r="320" spans="1:39" x14ac:dyDescent="0.25">
      <c r="C320" s="28">
        <v>49</v>
      </c>
      <c r="D320" s="45">
        <f>I151</f>
        <v>9.96817557705552E-2</v>
      </c>
      <c r="E320" s="24">
        <f t="shared" ca="1" si="57"/>
        <v>37</v>
      </c>
      <c r="F320" s="45">
        <f t="shared" ca="1" si="58"/>
        <v>-1.4822799902914807</v>
      </c>
      <c r="Q320" s="55">
        <v>62</v>
      </c>
      <c r="R320" s="54">
        <v>-1307.1054738881066</v>
      </c>
      <c r="S320" s="54">
        <v>-2878.2115674121305</v>
      </c>
      <c r="T320" s="54">
        <v>-2991.3196116769686</v>
      </c>
      <c r="U320" s="54">
        <v>-5104.4980582389981</v>
      </c>
      <c r="V320" s="54">
        <v>-7022.2566838143393</v>
      </c>
      <c r="W320" s="54">
        <v>-8445.5094621442258</v>
      </c>
      <c r="X320" s="54">
        <v>1597.016864025034</v>
      </c>
      <c r="Y320" s="54">
        <v>60504.553385966457</v>
      </c>
      <c r="Z320" s="54">
        <v>1431645.0805008952</v>
      </c>
      <c r="AA320" s="54">
        <f t="shared" si="42"/>
        <v>1465997.7498937119</v>
      </c>
      <c r="AC320" s="55">
        <v>62</v>
      </c>
      <c r="AD320" s="54">
        <f t="shared" si="43"/>
        <v>-1228.4710424602276</v>
      </c>
      <c r="AE320" s="54">
        <f t="shared" si="44"/>
        <v>-2532.7481616829737</v>
      </c>
      <c r="AF320" s="54">
        <f t="shared" si="45"/>
        <v>-2461.147130035105</v>
      </c>
      <c r="AG320" s="54">
        <f t="shared" si="46"/>
        <v>-3930.6577889245573</v>
      </c>
      <c r="AH320" s="54">
        <f t="shared" si="47"/>
        <v>-5067.0983643752088</v>
      </c>
      <c r="AI320" s="54">
        <f t="shared" si="48"/>
        <v>-5716.130301404668</v>
      </c>
      <c r="AJ320" s="54">
        <f t="shared" si="49"/>
        <v>1014.7475570662713</v>
      </c>
      <c r="AK320" s="54">
        <f t="shared" si="50"/>
        <v>36097.927639973816</v>
      </c>
      <c r="AL320" s="54">
        <f t="shared" si="51"/>
        <v>801483.23713114194</v>
      </c>
      <c r="AM320" s="54">
        <f t="shared" si="52"/>
        <v>817659.65953929932</v>
      </c>
    </row>
    <row r="321" spans="3:39" x14ac:dyDescent="0.25">
      <c r="C321" s="28">
        <v>50</v>
      </c>
      <c r="D321" s="45">
        <f>J148</f>
        <v>-7.2633489413334418E-2</v>
      </c>
      <c r="E321" s="24">
        <f t="shared" ca="1" si="57"/>
        <v>37</v>
      </c>
      <c r="F321" s="45">
        <f t="shared" ca="1" si="58"/>
        <v>-1.4822799902914807</v>
      </c>
      <c r="Q321" s="55">
        <v>63</v>
      </c>
      <c r="R321" s="54">
        <v>400.83152649272233</v>
      </c>
      <c r="S321" s="54">
        <v>1333.2052108906209</v>
      </c>
      <c r="T321" s="54">
        <v>1205.2085195733234</v>
      </c>
      <c r="U321" s="54">
        <v>747.80437155906111</v>
      </c>
      <c r="V321" s="54">
        <v>-1034.7673177318648</v>
      </c>
      <c r="W321" s="54">
        <v>-1765.8235160503536</v>
      </c>
      <c r="X321" s="54">
        <v>11874.739531001076</v>
      </c>
      <c r="Y321" s="54">
        <v>70265.679815157317</v>
      </c>
      <c r="Z321" s="54">
        <v>1442913.3687489349</v>
      </c>
      <c r="AA321" s="54">
        <f t="shared" si="42"/>
        <v>1525940.2468898268</v>
      </c>
      <c r="AC321" s="55">
        <v>63</v>
      </c>
      <c r="AD321" s="54">
        <f t="shared" si="43"/>
        <v>376.71781890463654</v>
      </c>
      <c r="AE321" s="54">
        <f t="shared" si="44"/>
        <v>1173.1844473356173</v>
      </c>
      <c r="AF321" s="54">
        <f t="shared" si="45"/>
        <v>991.60099023282203</v>
      </c>
      <c r="AG321" s="54">
        <f t="shared" si="46"/>
        <v>575.83782854342167</v>
      </c>
      <c r="AH321" s="54">
        <f t="shared" si="47"/>
        <v>-746.66421625875739</v>
      </c>
      <c r="AI321" s="54">
        <f t="shared" si="48"/>
        <v>-1195.153158287467</v>
      </c>
      <c r="AJ321" s="54">
        <f t="shared" si="49"/>
        <v>7545.2321145262085</v>
      </c>
      <c r="AK321" s="54">
        <f t="shared" si="50"/>
        <v>41921.562652661865</v>
      </c>
      <c r="AL321" s="54">
        <f t="shared" si="51"/>
        <v>807791.605221092</v>
      </c>
      <c r="AM321" s="54">
        <f t="shared" si="52"/>
        <v>858433.92369875032</v>
      </c>
    </row>
    <row r="322" spans="3:39" x14ac:dyDescent="0.25">
      <c r="C322" s="28">
        <v>51</v>
      </c>
      <c r="D322" s="45">
        <f>J149</f>
        <v>0.32324531309048027</v>
      </c>
      <c r="E322" s="24">
        <f t="shared" ca="1" si="57"/>
        <v>43</v>
      </c>
      <c r="F322" s="45">
        <f t="shared" ca="1" si="58"/>
        <v>-0.62634517632475972</v>
      </c>
      <c r="Q322" s="55">
        <v>64</v>
      </c>
      <c r="R322" s="54">
        <v>-302.54397241212428</v>
      </c>
      <c r="S322" s="54">
        <v>-605.31556602939963</v>
      </c>
      <c r="T322" s="54">
        <v>-2657.2889314871281</v>
      </c>
      <c r="U322" s="54">
        <v>-440.85270115919411</v>
      </c>
      <c r="V322" s="54">
        <v>-1688.9797973511741</v>
      </c>
      <c r="W322" s="54">
        <v>-1738.7384474659339</v>
      </c>
      <c r="X322" s="54">
        <v>12492.097081460059</v>
      </c>
      <c r="Y322" s="54">
        <v>69543.06596856378</v>
      </c>
      <c r="Z322" s="54">
        <v>1423887.5004874673</v>
      </c>
      <c r="AA322" s="54">
        <f t="shared" si="42"/>
        <v>1498488.9441215862</v>
      </c>
      <c r="AC322" s="55">
        <v>64</v>
      </c>
      <c r="AD322" s="54">
        <f t="shared" si="43"/>
        <v>-284.3431663350197</v>
      </c>
      <c r="AE322" s="54">
        <f t="shared" si="44"/>
        <v>-532.66129024611917</v>
      </c>
      <c r="AF322" s="54">
        <f t="shared" si="45"/>
        <v>-2186.3190418950944</v>
      </c>
      <c r="AG322" s="54">
        <f t="shared" si="46"/>
        <v>-339.47335934096321</v>
      </c>
      <c r="AH322" s="54">
        <f t="shared" si="47"/>
        <v>-1218.7288437272362</v>
      </c>
      <c r="AI322" s="54">
        <f t="shared" si="48"/>
        <v>-1176.821312003357</v>
      </c>
      <c r="AJ322" s="54">
        <f t="shared" si="49"/>
        <v>7937.5022779017972</v>
      </c>
      <c r="AK322" s="54">
        <f t="shared" si="50"/>
        <v>41490.440350517463</v>
      </c>
      <c r="AL322" s="54">
        <f t="shared" si="51"/>
        <v>797140.2820047983</v>
      </c>
      <c r="AM322" s="54">
        <f t="shared" si="52"/>
        <v>840829.87761966977</v>
      </c>
    </row>
    <row r="323" spans="3:39" x14ac:dyDescent="0.25">
      <c r="C323" s="28">
        <v>52</v>
      </c>
      <c r="D323" s="45">
        <f>J150</f>
        <v>-0.24015052656811275</v>
      </c>
      <c r="E323" s="24">
        <f t="shared" ca="1" si="57"/>
        <v>49</v>
      </c>
      <c r="F323" s="45">
        <f t="shared" ca="1" si="58"/>
        <v>9.96817557705552E-2</v>
      </c>
      <c r="Q323" s="55">
        <v>65</v>
      </c>
      <c r="R323" s="54">
        <v>-824.33302325662225</v>
      </c>
      <c r="S323" s="54">
        <v>-1522.5637927213684</v>
      </c>
      <c r="T323" s="54">
        <v>-2637.7493522372097</v>
      </c>
      <c r="U323" s="54">
        <v>-3920.2505691954866</v>
      </c>
      <c r="V323" s="54">
        <v>-6187.9027881780639</v>
      </c>
      <c r="W323" s="54">
        <v>-7356.2101723235101</v>
      </c>
      <c r="X323" s="54">
        <v>4232.5844200653955</v>
      </c>
      <c r="Y323" s="54">
        <v>70014.528485091403</v>
      </c>
      <c r="Z323" s="54">
        <v>1434452.9404327059</v>
      </c>
      <c r="AA323" s="54">
        <f t="shared" si="42"/>
        <v>1486251.0436399505</v>
      </c>
      <c r="AC323" s="55">
        <v>65</v>
      </c>
      <c r="AD323" s="54">
        <f t="shared" si="43"/>
        <v>-774.74180060020331</v>
      </c>
      <c r="AE323" s="54">
        <f t="shared" si="44"/>
        <v>-1339.8148665378924</v>
      </c>
      <c r="AF323" s="54">
        <f t="shared" si="45"/>
        <v>-2170.242598841231</v>
      </c>
      <c r="AG323" s="54">
        <f t="shared" si="46"/>
        <v>-3018.7421483044268</v>
      </c>
      <c r="AH323" s="54">
        <f t="shared" si="47"/>
        <v>-4465.0478483874867</v>
      </c>
      <c r="AI323" s="54">
        <f t="shared" si="48"/>
        <v>-4978.8655211385976</v>
      </c>
      <c r="AJ323" s="54">
        <f t="shared" si="49"/>
        <v>2689.3922018539151</v>
      </c>
      <c r="AK323" s="54">
        <f t="shared" si="50"/>
        <v>41771.721987256584</v>
      </c>
      <c r="AL323" s="54">
        <f t="shared" si="51"/>
        <v>803055.17189221503</v>
      </c>
      <c r="AM323" s="54">
        <f t="shared" si="52"/>
        <v>830768.83129751566</v>
      </c>
    </row>
    <row r="324" spans="3:39" x14ac:dyDescent="0.25">
      <c r="C324" s="28">
        <v>53</v>
      </c>
      <c r="D324" s="45">
        <f>K148</f>
        <v>2.9408346173024433E-2</v>
      </c>
      <c r="E324" s="24">
        <f t="shared" ca="1" si="57"/>
        <v>16</v>
      </c>
      <c r="F324" s="45">
        <f t="shared" ca="1" si="58"/>
        <v>2.2110655473577179</v>
      </c>
      <c r="Q324" s="55">
        <v>66</v>
      </c>
      <c r="R324" s="54">
        <v>-1084.6287173796445</v>
      </c>
      <c r="S324" s="54">
        <v>-2569.8570277383551</v>
      </c>
      <c r="T324" s="54">
        <v>-1761.3985321680084</v>
      </c>
      <c r="U324" s="54">
        <v>-3209.7937316074967</v>
      </c>
      <c r="V324" s="54">
        <v>-6350.8114061709493</v>
      </c>
      <c r="W324" s="54">
        <v>-4041.9283033702523</v>
      </c>
      <c r="X324" s="54">
        <v>3569.3770930552855</v>
      </c>
      <c r="Y324" s="54">
        <v>70529.014315448701</v>
      </c>
      <c r="Z324" s="54">
        <v>1446315.2997113792</v>
      </c>
      <c r="AA324" s="54">
        <f t="shared" ref="AA324:AA358" si="63">SUM(R324:Z324)</f>
        <v>1501395.2734014485</v>
      </c>
      <c r="AC324" s="55">
        <v>66</v>
      </c>
      <c r="AD324" s="54">
        <f t="shared" ref="AD324:AD358" si="64">R324*$L$268</f>
        <v>-1019.3783116508722</v>
      </c>
      <c r="AE324" s="54">
        <f t="shared" ref="AE324:AE358" si="65">S324*$L$269</f>
        <v>-2261.40452511787</v>
      </c>
      <c r="AF324" s="54">
        <f t="shared" ref="AF324:AF358" si="66">T324*$L$270</f>
        <v>-1449.2135595845123</v>
      </c>
      <c r="AG324" s="54">
        <f t="shared" ref="AG324:AG358" si="67">U324*$L$271</f>
        <v>-2471.6633424162433</v>
      </c>
      <c r="AH324" s="54">
        <f t="shared" ref="AH324:AH358" si="68">V324*$L$272</f>
        <v>-4582.5989475486749</v>
      </c>
      <c r="AI324" s="54">
        <f t="shared" ref="AI324:AI358" si="69">W324*$L$273</f>
        <v>-2735.6773388936504</v>
      </c>
      <c r="AJ324" s="54">
        <f t="shared" ref="AJ324:AJ358" si="70">X324*$L$274</f>
        <v>2267.9890031326449</v>
      </c>
      <c r="AK324" s="54">
        <f t="shared" ref="AK324:AK358" si="71">Y324*$L$275</f>
        <v>42078.671980880325</v>
      </c>
      <c r="AL324" s="54">
        <f t="shared" ref="AL324:AL358" si="72">Z324*$L$276</f>
        <v>809696.12099627452</v>
      </c>
      <c r="AM324" s="54">
        <f t="shared" ref="AM324:AM358" si="73">SUM(AD324:AL324)</f>
        <v>839522.8459550757</v>
      </c>
    </row>
    <row r="325" spans="3:39" x14ac:dyDescent="0.25">
      <c r="C325" s="28">
        <v>54</v>
      </c>
      <c r="D325" s="45">
        <f>K149</f>
        <v>-2.3881503308225971E-2</v>
      </c>
      <c r="E325" s="24">
        <f t="shared" ca="1" si="57"/>
        <v>53</v>
      </c>
      <c r="F325" s="45">
        <f t="shared" ca="1" si="58"/>
        <v>2.9408346173024433E-2</v>
      </c>
      <c r="Q325" s="55">
        <v>67</v>
      </c>
      <c r="R325" s="54">
        <v>-974.42598313931376</v>
      </c>
      <c r="S325" s="54">
        <v>-2773.4300629673526</v>
      </c>
      <c r="T325" s="54">
        <v>-4119.8705965373665</v>
      </c>
      <c r="U325" s="54">
        <v>-5586.3278944557533</v>
      </c>
      <c r="V325" s="54">
        <v>-7827.497569556348</v>
      </c>
      <c r="W325" s="54">
        <v>-9353.1461230963469</v>
      </c>
      <c r="X325" s="54">
        <v>8298.2708981987089</v>
      </c>
      <c r="Y325" s="54">
        <v>73528.21768131014</v>
      </c>
      <c r="Z325" s="54">
        <v>1434847.5958118355</v>
      </c>
      <c r="AA325" s="54">
        <f t="shared" si="63"/>
        <v>1486039.3861615919</v>
      </c>
      <c r="AC325" s="55">
        <v>67</v>
      </c>
      <c r="AD325" s="54">
        <f t="shared" si="64"/>
        <v>-915.80528673538197</v>
      </c>
      <c r="AE325" s="54">
        <f t="shared" si="65"/>
        <v>-2440.543278009498</v>
      </c>
      <c r="AF325" s="54">
        <f t="shared" si="66"/>
        <v>-3389.6771362053059</v>
      </c>
      <c r="AG325" s="54">
        <f t="shared" si="67"/>
        <v>-4301.6851019048681</v>
      </c>
      <c r="AH325" s="54">
        <f t="shared" si="68"/>
        <v>-5648.1416042892306</v>
      </c>
      <c r="AI325" s="54">
        <f t="shared" si="69"/>
        <v>-6330.4413081697885</v>
      </c>
      <c r="AJ325" s="54">
        <f t="shared" si="70"/>
        <v>5272.7371335317812</v>
      </c>
      <c r="AK325" s="54">
        <f t="shared" si="71"/>
        <v>43868.041871569301</v>
      </c>
      <c r="AL325" s="54">
        <f t="shared" si="72"/>
        <v>803276.11329391028</v>
      </c>
      <c r="AM325" s="54">
        <f t="shared" si="73"/>
        <v>829390.59858369734</v>
      </c>
    </row>
    <row r="326" spans="3:39" x14ac:dyDescent="0.25">
      <c r="C326" s="28">
        <v>55</v>
      </c>
      <c r="D326" s="45">
        <f>L148</f>
        <v>2.988219921665427E-3</v>
      </c>
      <c r="E326" s="24">
        <f t="shared" ca="1" si="57"/>
        <v>31</v>
      </c>
      <c r="F326" s="45">
        <f t="shared" ca="1" si="58"/>
        <v>-0.29208487391246801</v>
      </c>
      <c r="Q326" s="55">
        <v>68</v>
      </c>
      <c r="R326" s="54">
        <v>-1044.3826176030561</v>
      </c>
      <c r="S326" s="54">
        <v>-3306.5603118417785</v>
      </c>
      <c r="T326" s="54">
        <v>-5925.6996891293675</v>
      </c>
      <c r="U326" s="54">
        <v>-7736.2734090406448</v>
      </c>
      <c r="V326" s="54">
        <v>-12094.093118305318</v>
      </c>
      <c r="W326" s="54">
        <v>-12400.879219934344</v>
      </c>
      <c r="X326" s="54">
        <v>987.75498464517295</v>
      </c>
      <c r="Y326" s="54">
        <v>61193.845093938522</v>
      </c>
      <c r="Z326" s="54">
        <v>1514082.5617807247</v>
      </c>
      <c r="AA326" s="54">
        <f t="shared" si="63"/>
        <v>1533756.2734934539</v>
      </c>
      <c r="AC326" s="55">
        <v>68</v>
      </c>
      <c r="AD326" s="54">
        <f t="shared" si="64"/>
        <v>-981.55338540338551</v>
      </c>
      <c r="AE326" s="54">
        <f t="shared" si="65"/>
        <v>-2909.6834458354379</v>
      </c>
      <c r="AF326" s="54">
        <f t="shared" si="66"/>
        <v>-4875.446517456784</v>
      </c>
      <c r="AG326" s="54">
        <f t="shared" si="67"/>
        <v>-5957.2249779611493</v>
      </c>
      <c r="AH326" s="54">
        <f t="shared" si="68"/>
        <v>-8726.8184883665199</v>
      </c>
      <c r="AI326" s="54">
        <f t="shared" si="69"/>
        <v>-8393.2226694976926</v>
      </c>
      <c r="AJ326" s="54">
        <f t="shared" si="70"/>
        <v>627.62139851330312</v>
      </c>
      <c r="AK326" s="54">
        <f t="shared" si="71"/>
        <v>36509.169452445087</v>
      </c>
      <c r="AL326" s="54">
        <f t="shared" si="72"/>
        <v>847634.52159193775</v>
      </c>
      <c r="AM326" s="54">
        <f t="shared" si="73"/>
        <v>852927.36295837513</v>
      </c>
    </row>
    <row r="327" spans="3:39" x14ac:dyDescent="0.25">
      <c r="Q327" s="55">
        <v>69</v>
      </c>
      <c r="R327" s="54">
        <v>794.75893029477447</v>
      </c>
      <c r="S327" s="54">
        <v>-210.79595271497965</v>
      </c>
      <c r="T327" s="54">
        <v>-1570.8019267506897</v>
      </c>
      <c r="U327" s="54">
        <v>-2998.3528115870431</v>
      </c>
      <c r="V327" s="54">
        <v>-3712.0818236796185</v>
      </c>
      <c r="W327" s="54">
        <v>-3578.00326145906</v>
      </c>
      <c r="X327" s="54">
        <v>1971.4803339922801</v>
      </c>
      <c r="Y327" s="54">
        <v>54226.664265395142</v>
      </c>
      <c r="Z327" s="54">
        <v>1421458.1721342178</v>
      </c>
      <c r="AA327" s="54">
        <f t="shared" si="63"/>
        <v>1466381.0398877086</v>
      </c>
      <c r="AC327" s="55">
        <v>69</v>
      </c>
      <c r="AD327" s="54">
        <f t="shared" si="64"/>
        <v>746.94686167871964</v>
      </c>
      <c r="AE327" s="54">
        <f t="shared" si="65"/>
        <v>-185.49472449279045</v>
      </c>
      <c r="AF327" s="54">
        <f t="shared" si="66"/>
        <v>-1292.3977226588511</v>
      </c>
      <c r="AG327" s="54">
        <f t="shared" si="67"/>
        <v>-2308.8457862739078</v>
      </c>
      <c r="AH327" s="54">
        <f t="shared" si="68"/>
        <v>-2678.5525770580389</v>
      </c>
      <c r="AI327" s="54">
        <f t="shared" si="69"/>
        <v>-2421.6813625069612</v>
      </c>
      <c r="AJ327" s="54">
        <f t="shared" si="70"/>
        <v>1252.682359083406</v>
      </c>
      <c r="AK327" s="54">
        <f t="shared" si="71"/>
        <v>32352.444456906065</v>
      </c>
      <c r="AL327" s="54">
        <f t="shared" si="72"/>
        <v>795780.26199764991</v>
      </c>
      <c r="AM327" s="54">
        <f t="shared" si="73"/>
        <v>821245.36350232759</v>
      </c>
    </row>
    <row r="328" spans="3:39" x14ac:dyDescent="0.25">
      <c r="Q328" s="55">
        <v>70</v>
      </c>
      <c r="R328" s="54">
        <v>-1330.7975641945377</v>
      </c>
      <c r="S328" s="54">
        <v>-2681.4360039476305</v>
      </c>
      <c r="T328" s="54">
        <v>-3148.4534068759531</v>
      </c>
      <c r="U328" s="54">
        <v>-5281.5167289860547</v>
      </c>
      <c r="V328" s="54">
        <v>-8105.9531597914174</v>
      </c>
      <c r="W328" s="54">
        <v>-8390.0414631348103</v>
      </c>
      <c r="X328" s="54">
        <v>-1052.959958801046</v>
      </c>
      <c r="Y328" s="54">
        <v>55572.042592536658</v>
      </c>
      <c r="Z328" s="54">
        <v>1457340.214571855</v>
      </c>
      <c r="AA328" s="54">
        <f t="shared" si="63"/>
        <v>1482921.0988786602</v>
      </c>
      <c r="AC328" s="55">
        <v>70</v>
      </c>
      <c r="AD328" s="54">
        <f t="shared" si="64"/>
        <v>-1250.7378353535566</v>
      </c>
      <c r="AE328" s="54">
        <f t="shared" si="65"/>
        <v>-2359.5909996898572</v>
      </c>
      <c r="AF328" s="54">
        <f t="shared" si="66"/>
        <v>-2590.4310044749545</v>
      </c>
      <c r="AG328" s="54">
        <f t="shared" si="67"/>
        <v>-4066.9689029691444</v>
      </c>
      <c r="AH328" s="54">
        <f t="shared" si="68"/>
        <v>-5849.068732043389</v>
      </c>
      <c r="AI328" s="54">
        <f t="shared" si="69"/>
        <v>-5678.5881837482748</v>
      </c>
      <c r="AJ328" s="54">
        <f t="shared" si="70"/>
        <v>-669.05276328078526</v>
      </c>
      <c r="AK328" s="54">
        <f t="shared" si="71"/>
        <v>33155.117425859964</v>
      </c>
      <c r="AL328" s="54">
        <f t="shared" si="72"/>
        <v>815868.24044949678</v>
      </c>
      <c r="AM328" s="54">
        <f t="shared" si="73"/>
        <v>826558.91945379681</v>
      </c>
    </row>
    <row r="329" spans="3:39" x14ac:dyDescent="0.25">
      <c r="Q329" s="55">
        <v>71</v>
      </c>
      <c r="R329" s="54">
        <v>-1287.6564418934286</v>
      </c>
      <c r="S329" s="54">
        <v>-1384.1190726999193</v>
      </c>
      <c r="T329" s="54">
        <v>-1738.6535244481638</v>
      </c>
      <c r="U329" s="54">
        <v>-915.91122629772872</v>
      </c>
      <c r="V329" s="54">
        <v>-2433.3394133327529</v>
      </c>
      <c r="W329" s="54">
        <v>-3667.4995755022392</v>
      </c>
      <c r="X329" s="54">
        <v>5842.0331726437435</v>
      </c>
      <c r="Y329" s="54">
        <v>69587.536541795358</v>
      </c>
      <c r="Z329" s="54">
        <v>1412011.581044171</v>
      </c>
      <c r="AA329" s="54">
        <f t="shared" si="63"/>
        <v>1476013.9715044359</v>
      </c>
      <c r="AC329" s="55">
        <v>71</v>
      </c>
      <c r="AD329" s="54">
        <f t="shared" si="64"/>
        <v>-1210.1920488467483</v>
      </c>
      <c r="AE329" s="54">
        <f t="shared" si="65"/>
        <v>-1217.9872656418565</v>
      </c>
      <c r="AF329" s="54">
        <f t="shared" si="66"/>
        <v>-1430.4998085517566</v>
      </c>
      <c r="AG329" s="54">
        <f t="shared" si="67"/>
        <v>-705.28650506581266</v>
      </c>
      <c r="AH329" s="54">
        <f t="shared" si="68"/>
        <v>-1755.8415643916262</v>
      </c>
      <c r="AI329" s="54">
        <f t="shared" si="69"/>
        <v>-2482.2546878770049</v>
      </c>
      <c r="AJ329" s="54">
        <f t="shared" si="70"/>
        <v>3712.0390045846316</v>
      </c>
      <c r="AK329" s="54">
        <f t="shared" si="71"/>
        <v>41516.972164154387</v>
      </c>
      <c r="AL329" s="54">
        <f t="shared" si="72"/>
        <v>790491.74146289844</v>
      </c>
      <c r="AM329" s="54">
        <f t="shared" si="73"/>
        <v>826918.69075126271</v>
      </c>
    </row>
    <row r="330" spans="3:39" x14ac:dyDescent="0.25">
      <c r="Q330" s="55">
        <v>72</v>
      </c>
      <c r="R330" s="54">
        <v>-985.62303428631276</v>
      </c>
      <c r="S330" s="54">
        <v>-308.11337406095117</v>
      </c>
      <c r="T330" s="54">
        <v>-347.68293031863868</v>
      </c>
      <c r="U330" s="54">
        <v>-944.6618192223832</v>
      </c>
      <c r="V330" s="54">
        <v>462.57421377114952</v>
      </c>
      <c r="W330" s="54">
        <v>-309.81505965441465</v>
      </c>
      <c r="X330" s="54">
        <v>9272.2061103768647</v>
      </c>
      <c r="Y330" s="54">
        <v>64329.966707725078</v>
      </c>
      <c r="Z330" s="54">
        <v>1394918.866684569</v>
      </c>
      <c r="AA330" s="54">
        <f t="shared" si="63"/>
        <v>1466087.7174988994</v>
      </c>
      <c r="AC330" s="55">
        <v>72</v>
      </c>
      <c r="AD330" s="54">
        <f t="shared" si="64"/>
        <v>-926.3287321419092</v>
      </c>
      <c r="AE330" s="54">
        <f t="shared" si="65"/>
        <v>-271.13141736292346</v>
      </c>
      <c r="AF330" s="54">
        <f t="shared" si="66"/>
        <v>-286.06065456047952</v>
      </c>
      <c r="AG330" s="54">
        <f t="shared" si="67"/>
        <v>-727.42555590413929</v>
      </c>
      <c r="AH330" s="54">
        <f t="shared" si="68"/>
        <v>333.78287743375097</v>
      </c>
      <c r="AI330" s="54">
        <f t="shared" si="69"/>
        <v>-209.69051757742872</v>
      </c>
      <c r="AJ330" s="54">
        <f t="shared" si="70"/>
        <v>5891.5774222985201</v>
      </c>
      <c r="AK330" s="54">
        <f t="shared" si="71"/>
        <v>38380.226831589091</v>
      </c>
      <c r="AL330" s="54">
        <f t="shared" si="72"/>
        <v>780922.66304892546</v>
      </c>
      <c r="AM330" s="54">
        <f t="shared" si="73"/>
        <v>823107.61330269999</v>
      </c>
    </row>
    <row r="331" spans="3:39" x14ac:dyDescent="0.25">
      <c r="Q331" s="55">
        <v>73</v>
      </c>
      <c r="R331" s="54">
        <v>9.4209959106519818</v>
      </c>
      <c r="S331" s="54">
        <v>-1058.9874845622107</v>
      </c>
      <c r="T331" s="54">
        <v>-3252.5701153380796</v>
      </c>
      <c r="U331" s="54">
        <v>-3773.817424595356</v>
      </c>
      <c r="V331" s="54">
        <v>-7503.6028258213773</v>
      </c>
      <c r="W331" s="54">
        <v>-8756.314534152858</v>
      </c>
      <c r="X331" s="54">
        <v>-1941.880466141738</v>
      </c>
      <c r="Y331" s="54">
        <v>52254.837874798104</v>
      </c>
      <c r="Z331" s="54">
        <v>1406248.3964510476</v>
      </c>
      <c r="AA331" s="54">
        <f t="shared" si="63"/>
        <v>1432225.4824711448</v>
      </c>
      <c r="AC331" s="55">
        <v>73</v>
      </c>
      <c r="AD331" s="54">
        <f t="shared" si="64"/>
        <v>8.854236248392386</v>
      </c>
      <c r="AE331" s="54">
        <f t="shared" si="65"/>
        <v>-931.88028119204603</v>
      </c>
      <c r="AF331" s="54">
        <f t="shared" si="66"/>
        <v>-2676.0943810061603</v>
      </c>
      <c r="AG331" s="54">
        <f t="shared" si="67"/>
        <v>-2905.9830535193482</v>
      </c>
      <c r="AH331" s="54">
        <f t="shared" si="68"/>
        <v>-5414.4266320080224</v>
      </c>
      <c r="AI331" s="54">
        <f t="shared" si="69"/>
        <v>-5926.490883901457</v>
      </c>
      <c r="AJ331" s="54">
        <f t="shared" si="70"/>
        <v>-1233.8745466755145</v>
      </c>
      <c r="AK331" s="54">
        <f t="shared" si="71"/>
        <v>31176.023140111884</v>
      </c>
      <c r="AL331" s="54">
        <f t="shared" si="72"/>
        <v>787265.31620792893</v>
      </c>
      <c r="AM331" s="54">
        <f t="shared" si="73"/>
        <v>799361.44380598667</v>
      </c>
    </row>
    <row r="332" spans="3:39" x14ac:dyDescent="0.25">
      <c r="Q332" s="55">
        <v>74</v>
      </c>
      <c r="R332" s="54">
        <v>-1207.1992062442005</v>
      </c>
      <c r="S332" s="54">
        <v>-1727.3476515077055</v>
      </c>
      <c r="T332" s="54">
        <v>-2350.3153742328286</v>
      </c>
      <c r="U332" s="54">
        <v>-1549.9606205159798</v>
      </c>
      <c r="V332" s="54">
        <v>-2501.5502338055521</v>
      </c>
      <c r="W332" s="54">
        <v>-3544.8358435314149</v>
      </c>
      <c r="X332" s="54">
        <v>4553.4854083331302</v>
      </c>
      <c r="Y332" s="54">
        <v>74376.30370697286</v>
      </c>
      <c r="Z332" s="54">
        <v>1509531.9283381216</v>
      </c>
      <c r="AA332" s="54">
        <f t="shared" si="63"/>
        <v>1575580.5085235899</v>
      </c>
      <c r="AC332" s="55">
        <v>74</v>
      </c>
      <c r="AD332" s="54">
        <f t="shared" si="64"/>
        <v>-1134.5750568549172</v>
      </c>
      <c r="AE332" s="54">
        <f t="shared" si="65"/>
        <v>-1520.0191113390438</v>
      </c>
      <c r="AF332" s="54">
        <f t="shared" si="66"/>
        <v>-1933.7525536857186</v>
      </c>
      <c r="AG332" s="54">
        <f t="shared" si="67"/>
        <v>-1193.5286713889518</v>
      </c>
      <c r="AH332" s="54">
        <f t="shared" si="68"/>
        <v>-1805.0609182849494</v>
      </c>
      <c r="AI332" s="54">
        <f t="shared" si="69"/>
        <v>-2399.2328313099538</v>
      </c>
      <c r="AJ332" s="54">
        <f t="shared" si="70"/>
        <v>2893.2933009845324</v>
      </c>
      <c r="AK332" s="54">
        <f t="shared" si="71"/>
        <v>44374.022765132038</v>
      </c>
      <c r="AL332" s="54">
        <f t="shared" si="72"/>
        <v>845086.92339721019</v>
      </c>
      <c r="AM332" s="54">
        <f t="shared" si="73"/>
        <v>882368.07032046327</v>
      </c>
    </row>
    <row r="333" spans="3:39" x14ac:dyDescent="0.25">
      <c r="Q333" s="55">
        <v>75</v>
      </c>
      <c r="R333" s="54">
        <v>362.29162723664194</v>
      </c>
      <c r="S333" s="54">
        <v>-336.76063774060458</v>
      </c>
      <c r="T333" s="54">
        <v>-1579.3583030533046</v>
      </c>
      <c r="U333" s="54">
        <v>-3137.7627082318068</v>
      </c>
      <c r="V333" s="54">
        <v>-7997.1942906724289</v>
      </c>
      <c r="W333" s="54">
        <v>-8633.8802572833374</v>
      </c>
      <c r="X333" s="54">
        <v>1161.0519650047645</v>
      </c>
      <c r="Y333" s="54">
        <v>56380.565230478533</v>
      </c>
      <c r="Z333" s="54">
        <v>1398552.8086925447</v>
      </c>
      <c r="AA333" s="54">
        <f t="shared" si="63"/>
        <v>1434771.7613182832</v>
      </c>
      <c r="AC333" s="55">
        <v>75</v>
      </c>
      <c r="AD333" s="54">
        <f t="shared" si="64"/>
        <v>340.49644950389751</v>
      </c>
      <c r="AE333" s="54">
        <f t="shared" si="65"/>
        <v>-296.34023287995882</v>
      </c>
      <c r="AF333" s="54">
        <f t="shared" si="66"/>
        <v>-1299.4375925873189</v>
      </c>
      <c r="AG333" s="54">
        <f t="shared" si="67"/>
        <v>-2416.1967128190645</v>
      </c>
      <c r="AH333" s="54">
        <f t="shared" si="68"/>
        <v>-5770.5908420092146</v>
      </c>
      <c r="AI333" s="54">
        <f t="shared" si="69"/>
        <v>-5843.6243282387804</v>
      </c>
      <c r="AJ333" s="54">
        <f t="shared" si="70"/>
        <v>737.73462989374559</v>
      </c>
      <c r="AK333" s="54">
        <f t="shared" si="71"/>
        <v>33637.494206554889</v>
      </c>
      <c r="AL333" s="54">
        <f t="shared" si="72"/>
        <v>782957.06643826282</v>
      </c>
      <c r="AM333" s="54">
        <f t="shared" si="73"/>
        <v>802046.60201568098</v>
      </c>
    </row>
    <row r="334" spans="3:39" x14ac:dyDescent="0.25">
      <c r="Q334" s="55">
        <v>76</v>
      </c>
      <c r="R334" s="54">
        <v>-151.27392824459821</v>
      </c>
      <c r="S334" s="54">
        <v>513.89196871221066</v>
      </c>
      <c r="T334" s="54">
        <v>-1607.4938617786393</v>
      </c>
      <c r="U334" s="54">
        <v>-2682.8434330755845</v>
      </c>
      <c r="V334" s="54">
        <v>-4571.8968548625708</v>
      </c>
      <c r="W334" s="54">
        <v>-4116.736845003441</v>
      </c>
      <c r="X334" s="54">
        <v>9038.0209011053666</v>
      </c>
      <c r="Y334" s="54">
        <v>77147.848272107542</v>
      </c>
      <c r="Z334" s="54">
        <v>1520632.3981967447</v>
      </c>
      <c r="AA334" s="54">
        <f t="shared" si="63"/>
        <v>1594201.914415705</v>
      </c>
      <c r="AC334" s="55">
        <v>76</v>
      </c>
      <c r="AD334" s="54">
        <f t="shared" si="64"/>
        <v>-142.17340837454367</v>
      </c>
      <c r="AE334" s="54">
        <f t="shared" si="65"/>
        <v>452.21100276160684</v>
      </c>
      <c r="AF334" s="54">
        <f t="shared" si="66"/>
        <v>-1322.5864895953428</v>
      </c>
      <c r="AG334" s="54">
        <f t="shared" si="67"/>
        <v>-2065.8915561076114</v>
      </c>
      <c r="AH334" s="54">
        <f t="shared" si="68"/>
        <v>-3298.9752608676908</v>
      </c>
      <c r="AI334" s="54">
        <f t="shared" si="69"/>
        <v>-2786.3096155550033</v>
      </c>
      <c r="AJ334" s="54">
        <f t="shared" si="70"/>
        <v>5742.7756943002487</v>
      </c>
      <c r="AK334" s="54">
        <f t="shared" si="71"/>
        <v>46027.567987174778</v>
      </c>
      <c r="AL334" s="54">
        <f t="shared" si="72"/>
        <v>851301.34108853713</v>
      </c>
      <c r="AM334" s="54">
        <f t="shared" si="73"/>
        <v>893907.9594422736</v>
      </c>
    </row>
    <row r="335" spans="3:39" x14ac:dyDescent="0.25">
      <c r="Q335" s="55">
        <v>77</v>
      </c>
      <c r="R335" s="54">
        <v>-1246.2326115323231</v>
      </c>
      <c r="S335" s="54">
        <v>-1805.8955570431426</v>
      </c>
      <c r="T335" s="54">
        <v>-2654.499646352604</v>
      </c>
      <c r="U335" s="54">
        <v>-4175.0167597858235</v>
      </c>
      <c r="V335" s="54">
        <v>-5910.3672676580027</v>
      </c>
      <c r="W335" s="54">
        <v>-6582.6607222231105</v>
      </c>
      <c r="X335" s="54">
        <v>5962.8289011819288</v>
      </c>
      <c r="Y335" s="54">
        <v>65431.89768660441</v>
      </c>
      <c r="Z335" s="54">
        <v>1435290.1046521068</v>
      </c>
      <c r="AA335" s="54">
        <f t="shared" si="63"/>
        <v>1484310.1586752981</v>
      </c>
      <c r="AC335" s="55">
        <v>77</v>
      </c>
      <c r="AD335" s="54">
        <f t="shared" si="64"/>
        <v>-1171.2602433551594</v>
      </c>
      <c r="AE335" s="54">
        <f t="shared" si="65"/>
        <v>-1589.13913906786</v>
      </c>
      <c r="AF335" s="54">
        <f t="shared" si="66"/>
        <v>-2184.0241212597716</v>
      </c>
      <c r="AG335" s="54">
        <f t="shared" si="67"/>
        <v>-3214.9218118038029</v>
      </c>
      <c r="AH335" s="54">
        <f t="shared" si="68"/>
        <v>-4264.7846217064371</v>
      </c>
      <c r="AI335" s="54">
        <f t="shared" si="69"/>
        <v>-4455.30806481539</v>
      </c>
      <c r="AJ335" s="54">
        <f t="shared" si="70"/>
        <v>3788.7928405643138</v>
      </c>
      <c r="AK335" s="54">
        <f t="shared" si="71"/>
        <v>39037.655446689947</v>
      </c>
      <c r="AL335" s="54">
        <f t="shared" si="72"/>
        <v>803523.8446783087</v>
      </c>
      <c r="AM335" s="54">
        <f t="shared" si="73"/>
        <v>829470.85496355454</v>
      </c>
    </row>
    <row r="336" spans="3:39" x14ac:dyDescent="0.25">
      <c r="Q336" s="55">
        <v>78</v>
      </c>
      <c r="R336" s="54">
        <v>-2819.5084584942088</v>
      </c>
      <c r="S336" s="54">
        <v>-3573.2868387224153</v>
      </c>
      <c r="T336" s="54">
        <v>-3944.6792331160977</v>
      </c>
      <c r="U336" s="54">
        <v>-5050.4801170099527</v>
      </c>
      <c r="V336" s="54">
        <v>-6786.0490504978225</v>
      </c>
      <c r="W336" s="54">
        <v>-5637.5286188544706</v>
      </c>
      <c r="X336" s="54">
        <v>4681.5212420495227</v>
      </c>
      <c r="Y336" s="54">
        <v>59474.371599064209</v>
      </c>
      <c r="Z336" s="54">
        <v>1462777.8608473409</v>
      </c>
      <c r="AA336" s="54">
        <f t="shared" si="63"/>
        <v>1499122.2213717597</v>
      </c>
      <c r="AC336" s="55">
        <v>78</v>
      </c>
      <c r="AD336" s="54">
        <f t="shared" si="64"/>
        <v>-2649.88905977783</v>
      </c>
      <c r="AE336" s="54">
        <f t="shared" si="65"/>
        <v>-3144.3955595235993</v>
      </c>
      <c r="AF336" s="54">
        <f t="shared" si="66"/>
        <v>-3245.536162566761</v>
      </c>
      <c r="AG336" s="54">
        <f t="shared" si="67"/>
        <v>-3889.061918182495</v>
      </c>
      <c r="AH336" s="54">
        <f t="shared" si="68"/>
        <v>-4896.6563873409914</v>
      </c>
      <c r="AI336" s="54">
        <f t="shared" si="69"/>
        <v>-3815.6192125191815</v>
      </c>
      <c r="AJ336" s="54">
        <f t="shared" si="70"/>
        <v>2974.6475135838905</v>
      </c>
      <c r="AK336" s="54">
        <f t="shared" si="71"/>
        <v>35483.305673220457</v>
      </c>
      <c r="AL336" s="54">
        <f t="shared" si="72"/>
        <v>818912.41836664197</v>
      </c>
      <c r="AM336" s="54">
        <f t="shared" si="73"/>
        <v>835729.21325353545</v>
      </c>
    </row>
    <row r="337" spans="17:39" x14ac:dyDescent="0.25">
      <c r="Q337" s="55">
        <v>79</v>
      </c>
      <c r="R337" s="54">
        <v>459.25695839431137</v>
      </c>
      <c r="S337" s="54">
        <v>217.39290934801102</v>
      </c>
      <c r="T337" s="54">
        <v>-1370.3758339937776</v>
      </c>
      <c r="U337" s="54">
        <v>-1028.1342607755214</v>
      </c>
      <c r="V337" s="54">
        <v>-3478.7174750585109</v>
      </c>
      <c r="W337" s="54">
        <v>-3923.0906362878159</v>
      </c>
      <c r="X337" s="54">
        <v>5120.0967504121363</v>
      </c>
      <c r="Y337" s="54">
        <v>68623.87729169894</v>
      </c>
      <c r="Z337" s="54">
        <v>1557951.4892750718</v>
      </c>
      <c r="AA337" s="54">
        <f t="shared" si="63"/>
        <v>1622571.7949788095</v>
      </c>
      <c r="AC337" s="55">
        <v>79</v>
      </c>
      <c r="AD337" s="54">
        <f t="shared" si="64"/>
        <v>431.62842303579043</v>
      </c>
      <c r="AE337" s="54">
        <f t="shared" si="65"/>
        <v>191.29986751083322</v>
      </c>
      <c r="AF337" s="54">
        <f t="shared" si="66"/>
        <v>-1127.4945471348267</v>
      </c>
      <c r="AG337" s="54">
        <f t="shared" si="67"/>
        <v>-791.70251297376035</v>
      </c>
      <c r="AH337" s="54">
        <f t="shared" si="68"/>
        <v>-2510.1622486430997</v>
      </c>
      <c r="AI337" s="54">
        <f t="shared" si="69"/>
        <v>-2655.245057951573</v>
      </c>
      <c r="AJ337" s="54">
        <f t="shared" si="70"/>
        <v>3253.3192269046858</v>
      </c>
      <c r="AK337" s="54">
        <f t="shared" si="71"/>
        <v>40942.038544569317</v>
      </c>
      <c r="AL337" s="54">
        <f t="shared" si="72"/>
        <v>872193.82787289051</v>
      </c>
      <c r="AM337" s="54">
        <f t="shared" si="73"/>
        <v>909927.5095682079</v>
      </c>
    </row>
    <row r="338" spans="17:39" x14ac:dyDescent="0.25">
      <c r="Q338" s="55">
        <v>80</v>
      </c>
      <c r="R338" s="54">
        <v>-584.30272500216961</v>
      </c>
      <c r="S338" s="54">
        <v>-395.2446948653087</v>
      </c>
      <c r="T338" s="54">
        <v>-835.40433104895055</v>
      </c>
      <c r="U338" s="54">
        <v>-1366.9430051920936</v>
      </c>
      <c r="V338" s="54">
        <v>-3875.5198077214882</v>
      </c>
      <c r="W338" s="54">
        <v>-5410.5084938211367</v>
      </c>
      <c r="X338" s="54">
        <v>3986.8955058483407</v>
      </c>
      <c r="Y338" s="54">
        <v>67027.285158705898</v>
      </c>
      <c r="Z338" s="54">
        <v>1461587.2417277442</v>
      </c>
      <c r="AA338" s="54">
        <f t="shared" si="63"/>
        <v>1520133.4993346473</v>
      </c>
      <c r="AC338" s="55">
        <v>80</v>
      </c>
      <c r="AD338" s="54">
        <f t="shared" si="64"/>
        <v>-549.15153523197114</v>
      </c>
      <c r="AE338" s="54">
        <f t="shared" si="65"/>
        <v>-347.80461786383944</v>
      </c>
      <c r="AF338" s="54">
        <f t="shared" si="66"/>
        <v>-687.33978266781537</v>
      </c>
      <c r="AG338" s="54">
        <f t="shared" si="67"/>
        <v>-1052.5981416922846</v>
      </c>
      <c r="AH338" s="54">
        <f t="shared" si="68"/>
        <v>-2796.4856545435382</v>
      </c>
      <c r="AI338" s="54">
        <f t="shared" si="69"/>
        <v>-3661.9663604859957</v>
      </c>
      <c r="AJ338" s="54">
        <f t="shared" si="70"/>
        <v>2533.2809978233777</v>
      </c>
      <c r="AK338" s="54">
        <f t="shared" si="71"/>
        <v>39989.487636215665</v>
      </c>
      <c r="AL338" s="54">
        <f t="shared" si="72"/>
        <v>818245.86959756387</v>
      </c>
      <c r="AM338" s="54">
        <f t="shared" si="73"/>
        <v>851673.29213911749</v>
      </c>
    </row>
    <row r="339" spans="17:39" x14ac:dyDescent="0.25">
      <c r="Q339" s="55">
        <v>81</v>
      </c>
      <c r="R339" s="54">
        <v>-229.02508116047829</v>
      </c>
      <c r="S339" s="54">
        <v>-1460.822056228295</v>
      </c>
      <c r="T339" s="54">
        <v>-3988.6226166691631</v>
      </c>
      <c r="U339" s="54">
        <v>-6479.2502573747188</v>
      </c>
      <c r="V339" s="54">
        <v>-9003.4608822157606</v>
      </c>
      <c r="W339" s="54">
        <v>-8248.3609145674855</v>
      </c>
      <c r="X339" s="54">
        <v>-194.97447854001075</v>
      </c>
      <c r="Y339" s="54">
        <v>55011.225057079457</v>
      </c>
      <c r="Z339" s="54">
        <v>1342015.3662965056</v>
      </c>
      <c r="AA339" s="54">
        <f t="shared" si="63"/>
        <v>1367422.0750668291</v>
      </c>
      <c r="AC339" s="55">
        <v>81</v>
      </c>
      <c r="AD339" s="54">
        <f t="shared" si="64"/>
        <v>-215.2471134298346</v>
      </c>
      <c r="AE339" s="54">
        <f t="shared" si="65"/>
        <v>-1285.4838120134511</v>
      </c>
      <c r="AF339" s="54">
        <f t="shared" si="66"/>
        <v>-3281.6911531246001</v>
      </c>
      <c r="AG339" s="54">
        <f t="shared" si="67"/>
        <v>-4989.2693071818885</v>
      </c>
      <c r="AH339" s="54">
        <f t="shared" si="68"/>
        <v>-6496.6895919861308</v>
      </c>
      <c r="AI339" s="54">
        <f t="shared" si="69"/>
        <v>-5582.695273981798</v>
      </c>
      <c r="AJ339" s="54">
        <f t="shared" si="70"/>
        <v>-123.88715501105983</v>
      </c>
      <c r="AK339" s="54">
        <f t="shared" si="71"/>
        <v>32820.525239301358</v>
      </c>
      <c r="AL339" s="54">
        <f t="shared" si="72"/>
        <v>751305.4979260175</v>
      </c>
      <c r="AM339" s="54">
        <f t="shared" si="73"/>
        <v>762151.05975859007</v>
      </c>
    </row>
    <row r="340" spans="17:39" x14ac:dyDescent="0.25">
      <c r="Q340" s="55">
        <v>82</v>
      </c>
      <c r="R340" s="54">
        <v>-807.86253665573895</v>
      </c>
      <c r="S340" s="54">
        <v>1579.851242990233</v>
      </c>
      <c r="T340" s="54">
        <v>2679.6664237305522</v>
      </c>
      <c r="U340" s="54">
        <v>1707.8562043197453</v>
      </c>
      <c r="V340" s="54">
        <v>1677.0017126528546</v>
      </c>
      <c r="W340" s="54">
        <v>1129.0806466573849</v>
      </c>
      <c r="X340" s="54">
        <v>8697.2620985275134</v>
      </c>
      <c r="Y340" s="54">
        <v>62907.084307650104</v>
      </c>
      <c r="Z340" s="54">
        <v>1494799.7130731801</v>
      </c>
      <c r="AA340" s="54">
        <f t="shared" si="63"/>
        <v>1574369.6531730527</v>
      </c>
      <c r="AC340" s="55">
        <v>82</v>
      </c>
      <c r="AD340" s="54">
        <f t="shared" si="64"/>
        <v>-759.26216544556814</v>
      </c>
      <c r="AE340" s="54">
        <f t="shared" si="65"/>
        <v>1390.2262699242076</v>
      </c>
      <c r="AF340" s="54">
        <f t="shared" si="66"/>
        <v>2204.7304147879463</v>
      </c>
      <c r="AG340" s="54">
        <f t="shared" si="67"/>
        <v>1315.1142806367245</v>
      </c>
      <c r="AH340" s="54">
        <f t="shared" si="68"/>
        <v>1210.0857342375052</v>
      </c>
      <c r="AI340" s="54">
        <f t="shared" si="69"/>
        <v>764.18978938059945</v>
      </c>
      <c r="AJ340" s="54">
        <f t="shared" si="70"/>
        <v>5526.2569021359577</v>
      </c>
      <c r="AK340" s="54">
        <f t="shared" si="71"/>
        <v>37531.31376565095</v>
      </c>
      <c r="AL340" s="54">
        <f t="shared" si="72"/>
        <v>836839.33204829355</v>
      </c>
      <c r="AM340" s="54">
        <f t="shared" si="73"/>
        <v>886021.9870396019</v>
      </c>
    </row>
    <row r="341" spans="17:39" x14ac:dyDescent="0.25">
      <c r="Q341" s="55">
        <v>83</v>
      </c>
      <c r="R341" s="54">
        <v>-101.09431455377489</v>
      </c>
      <c r="S341" s="54">
        <v>-2034.7473083250225</v>
      </c>
      <c r="T341" s="54">
        <v>-2772.3168634185567</v>
      </c>
      <c r="U341" s="54">
        <v>-3404.0573502872139</v>
      </c>
      <c r="V341" s="54">
        <v>-4053.4051653360948</v>
      </c>
      <c r="W341" s="54">
        <v>-6255.6439569434151</v>
      </c>
      <c r="X341" s="54">
        <v>2882.0004205396399</v>
      </c>
      <c r="Y341" s="54">
        <v>60191.842053803615</v>
      </c>
      <c r="Z341" s="54">
        <v>1409277.3474078411</v>
      </c>
      <c r="AA341" s="54">
        <f t="shared" si="63"/>
        <v>1453729.9249233203</v>
      </c>
      <c r="AC341" s="55">
        <v>83</v>
      </c>
      <c r="AD341" s="54">
        <f t="shared" si="64"/>
        <v>-95.01256055279076</v>
      </c>
      <c r="AE341" s="54">
        <f t="shared" si="65"/>
        <v>-1790.5224768737962</v>
      </c>
      <c r="AF341" s="54">
        <f t="shared" si="66"/>
        <v>-2280.9597694996583</v>
      </c>
      <c r="AG341" s="54">
        <f t="shared" si="67"/>
        <v>-2621.2537227349558</v>
      </c>
      <c r="AH341" s="54">
        <f t="shared" si="68"/>
        <v>-2924.8436233846414</v>
      </c>
      <c r="AI341" s="54">
        <f t="shared" si="69"/>
        <v>-4233.9750061690956</v>
      </c>
      <c r="AJ341" s="54">
        <f t="shared" si="70"/>
        <v>1831.2285562444274</v>
      </c>
      <c r="AK341" s="54">
        <f t="shared" si="71"/>
        <v>35911.359350334438</v>
      </c>
      <c r="AL341" s="54">
        <f t="shared" si="72"/>
        <v>788961.02518707968</v>
      </c>
      <c r="AM341" s="54">
        <f t="shared" si="73"/>
        <v>812757.04593444359</v>
      </c>
    </row>
    <row r="342" spans="17:39" x14ac:dyDescent="0.25">
      <c r="Q342" s="55">
        <v>84</v>
      </c>
      <c r="R342" s="54">
        <v>1510.448780991137</v>
      </c>
      <c r="S342" s="54">
        <v>202.91117980331182</v>
      </c>
      <c r="T342" s="54">
        <v>-348.81174755655229</v>
      </c>
      <c r="U342" s="54">
        <v>-1047.4585439134389</v>
      </c>
      <c r="V342" s="54">
        <v>-3545.8576340898871</v>
      </c>
      <c r="W342" s="54">
        <v>-4466.3279641801491</v>
      </c>
      <c r="X342" s="54">
        <v>6402.9231013245881</v>
      </c>
      <c r="Y342" s="54">
        <v>60142.105070950463</v>
      </c>
      <c r="Z342" s="54">
        <v>1437825.4371663127</v>
      </c>
      <c r="AA342" s="54">
        <f t="shared" si="63"/>
        <v>1496675.3694096422</v>
      </c>
      <c r="AC342" s="55">
        <v>84</v>
      </c>
      <c r="AD342" s="54">
        <f t="shared" si="64"/>
        <v>1419.5813770463972</v>
      </c>
      <c r="AE342" s="54">
        <f t="shared" si="65"/>
        <v>178.55633805747013</v>
      </c>
      <c r="AF342" s="54">
        <f t="shared" si="66"/>
        <v>-286.98940362981341</v>
      </c>
      <c r="AG342" s="54">
        <f t="shared" si="67"/>
        <v>-806.58294649823574</v>
      </c>
      <c r="AH342" s="54">
        <f t="shared" si="68"/>
        <v>-2558.6090379488683</v>
      </c>
      <c r="AI342" s="54">
        <f t="shared" si="69"/>
        <v>-3022.9215568931882</v>
      </c>
      <c r="AJ342" s="54">
        <f t="shared" si="70"/>
        <v>4068.4295335346378</v>
      </c>
      <c r="AK342" s="54">
        <f t="shared" si="71"/>
        <v>35881.685517414619</v>
      </c>
      <c r="AL342" s="54">
        <f t="shared" si="72"/>
        <v>804943.20939262654</v>
      </c>
      <c r="AM342" s="54">
        <f t="shared" si="73"/>
        <v>839816.3592137096</v>
      </c>
    </row>
    <row r="343" spans="17:39" x14ac:dyDescent="0.25">
      <c r="Q343" s="55">
        <v>85</v>
      </c>
      <c r="R343" s="54">
        <v>-869.82505661807954</v>
      </c>
      <c r="S343" s="54">
        <v>-3326.2196073280647</v>
      </c>
      <c r="T343" s="54">
        <v>-2956.42100900691</v>
      </c>
      <c r="U343" s="54">
        <v>-6800.6854698201641</v>
      </c>
      <c r="V343" s="54">
        <v>-10224.722622011788</v>
      </c>
      <c r="W343" s="54">
        <v>-10215.195754053071</v>
      </c>
      <c r="X343" s="54">
        <v>-1946.8319755541161</v>
      </c>
      <c r="Y343" s="54">
        <v>50350.576730591245</v>
      </c>
      <c r="Z343" s="54">
        <v>1356303.6015611514</v>
      </c>
      <c r="AA343" s="54">
        <f t="shared" si="63"/>
        <v>1370314.2767973505</v>
      </c>
      <c r="AC343" s="55">
        <v>85</v>
      </c>
      <c r="AD343" s="54">
        <f t="shared" si="64"/>
        <v>-817.4970692174694</v>
      </c>
      <c r="AE343" s="54">
        <f t="shared" si="65"/>
        <v>-2926.9830929727896</v>
      </c>
      <c r="AF343" s="54">
        <f t="shared" si="66"/>
        <v>-2432.4338506287968</v>
      </c>
      <c r="AG343" s="54">
        <f t="shared" si="67"/>
        <v>-5236.7866550225863</v>
      </c>
      <c r="AH343" s="54">
        <f t="shared" si="68"/>
        <v>-7377.9238793139966</v>
      </c>
      <c r="AI343" s="54">
        <f t="shared" si="69"/>
        <v>-6913.897882212319</v>
      </c>
      <c r="AJ343" s="54">
        <f t="shared" si="70"/>
        <v>-1237.0207451867425</v>
      </c>
      <c r="AK343" s="54">
        <f t="shared" si="71"/>
        <v>30039.912266725343</v>
      </c>
      <c r="AL343" s="54">
        <f t="shared" si="72"/>
        <v>759304.53428549925</v>
      </c>
      <c r="AM343" s="54">
        <f t="shared" si="73"/>
        <v>762401.90337766986</v>
      </c>
    </row>
    <row r="344" spans="17:39" x14ac:dyDescent="0.25">
      <c r="Q344" s="55">
        <v>86</v>
      </c>
      <c r="R344" s="54">
        <v>-410.34380214940757</v>
      </c>
      <c r="S344" s="54">
        <v>-878.92293043341488</v>
      </c>
      <c r="T344" s="54">
        <v>-2781.7512434283271</v>
      </c>
      <c r="U344" s="54">
        <v>-4447.3134258463979</v>
      </c>
      <c r="V344" s="54">
        <v>-3660.2755511989817</v>
      </c>
      <c r="W344" s="54">
        <v>-4030.1986233955249</v>
      </c>
      <c r="X344" s="54">
        <v>3184.4240623619407</v>
      </c>
      <c r="Y344" s="54">
        <v>67124.868198527955</v>
      </c>
      <c r="Z344" s="54">
        <v>1499118.6566179739</v>
      </c>
      <c r="AA344" s="54">
        <f t="shared" si="63"/>
        <v>1553219.1433024118</v>
      </c>
      <c r="AC344" s="55">
        <v>86</v>
      </c>
      <c r="AD344" s="54">
        <f t="shared" si="64"/>
        <v>-385.65784358174039</v>
      </c>
      <c r="AE344" s="54">
        <f t="shared" si="65"/>
        <v>-773.42835444087086</v>
      </c>
      <c r="AF344" s="54">
        <f t="shared" si="66"/>
        <v>-2288.7220284017385</v>
      </c>
      <c r="AG344" s="54">
        <f t="shared" si="67"/>
        <v>-3424.6006086488019</v>
      </c>
      <c r="AH344" s="54">
        <f t="shared" si="68"/>
        <v>-2641.1703664139782</v>
      </c>
      <c r="AI344" s="54">
        <f t="shared" si="69"/>
        <v>-2727.7384005229273</v>
      </c>
      <c r="AJ344" s="54">
        <f t="shared" si="70"/>
        <v>2023.3891142518187</v>
      </c>
      <c r="AK344" s="54">
        <f t="shared" si="71"/>
        <v>40047.707147198824</v>
      </c>
      <c r="AL344" s="54">
        <f t="shared" si="72"/>
        <v>839257.22241820069</v>
      </c>
      <c r="AM344" s="54">
        <f t="shared" si="73"/>
        <v>869087.00107764127</v>
      </c>
    </row>
    <row r="345" spans="17:39" x14ac:dyDescent="0.25">
      <c r="Q345" s="55">
        <v>87</v>
      </c>
      <c r="R345" s="54">
        <v>-512.24776152055711</v>
      </c>
      <c r="S345" s="54">
        <v>-1444.5042554475367</v>
      </c>
      <c r="T345" s="54">
        <v>-2554.4977355729789</v>
      </c>
      <c r="U345" s="54">
        <v>-3031.8028690349311</v>
      </c>
      <c r="V345" s="54">
        <v>-5407.8464887887239</v>
      </c>
      <c r="W345" s="54">
        <v>-5525.9090410992503</v>
      </c>
      <c r="X345" s="54">
        <v>3842.8540613213554</v>
      </c>
      <c r="Y345" s="54">
        <v>56874.973815086298</v>
      </c>
      <c r="Z345" s="54">
        <v>1397506.5661440827</v>
      </c>
      <c r="AA345" s="54">
        <f t="shared" si="63"/>
        <v>1439747.5858690264</v>
      </c>
      <c r="AC345" s="55">
        <v>87</v>
      </c>
      <c r="AD345" s="54">
        <f t="shared" si="64"/>
        <v>-481.43134136009729</v>
      </c>
      <c r="AE345" s="54">
        <f t="shared" si="65"/>
        <v>-1271.1245896414368</v>
      </c>
      <c r="AF345" s="54">
        <f t="shared" si="66"/>
        <v>-2101.7462480587451</v>
      </c>
      <c r="AG345" s="54">
        <f t="shared" si="67"/>
        <v>-2334.6036036630821</v>
      </c>
      <c r="AH345" s="54">
        <f t="shared" si="68"/>
        <v>-3902.1772247791619</v>
      </c>
      <c r="AI345" s="54">
        <f t="shared" si="69"/>
        <v>-3740.0723134840796</v>
      </c>
      <c r="AJ345" s="54">
        <f t="shared" si="70"/>
        <v>2441.7567896308183</v>
      </c>
      <c r="AK345" s="54">
        <f t="shared" si="71"/>
        <v>33932.465813037197</v>
      </c>
      <c r="AL345" s="54">
        <f t="shared" si="72"/>
        <v>782371.34454672225</v>
      </c>
      <c r="AM345" s="54">
        <f t="shared" si="73"/>
        <v>804914.41182840371</v>
      </c>
    </row>
    <row r="346" spans="17:39" x14ac:dyDescent="0.25">
      <c r="Q346" s="55">
        <v>88</v>
      </c>
      <c r="R346" s="54">
        <v>-847.66456404700875</v>
      </c>
      <c r="S346" s="54">
        <v>-1146.5551681630313</v>
      </c>
      <c r="T346" s="54">
        <v>-2554.4286978794262</v>
      </c>
      <c r="U346" s="54">
        <v>-368.37918448541313</v>
      </c>
      <c r="V346" s="54">
        <v>-578.75641705654562</v>
      </c>
      <c r="W346" s="54">
        <v>-1584.2957078376785</v>
      </c>
      <c r="X346" s="54">
        <v>5338.7345553627238</v>
      </c>
      <c r="Y346" s="54">
        <v>69067.511991324835</v>
      </c>
      <c r="Z346" s="54">
        <v>1458893.6236703005</v>
      </c>
      <c r="AA346" s="54">
        <f t="shared" si="63"/>
        <v>1526219.7904775189</v>
      </c>
      <c r="AC346" s="55">
        <v>88</v>
      </c>
      <c r="AD346" s="54">
        <f t="shared" si="64"/>
        <v>-796.66973435118916</v>
      </c>
      <c r="AE346" s="54">
        <f t="shared" si="65"/>
        <v>-1008.9374691256727</v>
      </c>
      <c r="AF346" s="54">
        <f t="shared" si="66"/>
        <v>-2101.6894463981375</v>
      </c>
      <c r="AG346" s="54">
        <f t="shared" si="67"/>
        <v>-283.6659930623623</v>
      </c>
      <c r="AH346" s="54">
        <f t="shared" si="68"/>
        <v>-417.61727408772884</v>
      </c>
      <c r="AI346" s="54">
        <f t="shared" si="69"/>
        <v>-1072.2906347507753</v>
      </c>
      <c r="AJ346" s="54">
        <f t="shared" si="70"/>
        <v>3392.2421045859969</v>
      </c>
      <c r="AK346" s="54">
        <f t="shared" si="71"/>
        <v>41206.717686707925</v>
      </c>
      <c r="AL346" s="54">
        <f t="shared" si="72"/>
        <v>816737.89129366784</v>
      </c>
      <c r="AM346" s="54">
        <f t="shared" si="73"/>
        <v>855655.98053318588</v>
      </c>
    </row>
    <row r="347" spans="17:39" x14ac:dyDescent="0.25">
      <c r="Q347" s="55">
        <v>89</v>
      </c>
      <c r="R347" s="54">
        <v>-2288.2001159181818</v>
      </c>
      <c r="S347" s="54">
        <v>-1211.0280131306499</v>
      </c>
      <c r="T347" s="54">
        <v>-2756.2340648546815</v>
      </c>
      <c r="U347" s="54">
        <v>-3787.9704534551129</v>
      </c>
      <c r="V347" s="54">
        <v>-6793.7358034178615</v>
      </c>
      <c r="W347" s="54">
        <v>-7412.5579157276079</v>
      </c>
      <c r="X347" s="54">
        <v>2486.9422920225188</v>
      </c>
      <c r="Y347" s="54">
        <v>86257.142384387553</v>
      </c>
      <c r="Z347" s="54">
        <v>1555516.5617778571</v>
      </c>
      <c r="AA347" s="54">
        <f t="shared" si="63"/>
        <v>1620010.9200877631</v>
      </c>
      <c r="AC347" s="55">
        <v>89</v>
      </c>
      <c r="AD347" s="54">
        <f t="shared" si="64"/>
        <v>-2150.5438068422118</v>
      </c>
      <c r="AE347" s="54">
        <f t="shared" si="65"/>
        <v>-1065.6718250774932</v>
      </c>
      <c r="AF347" s="54">
        <f t="shared" si="66"/>
        <v>-2267.7274377307958</v>
      </c>
      <c r="AG347" s="54">
        <f t="shared" si="67"/>
        <v>-2916.8814244247278</v>
      </c>
      <c r="AH347" s="54">
        <f t="shared" si="68"/>
        <v>-4902.202970854275</v>
      </c>
      <c r="AI347" s="54">
        <f t="shared" si="69"/>
        <v>-5017.0030716240562</v>
      </c>
      <c r="AJ347" s="54">
        <f t="shared" si="70"/>
        <v>1580.2078689602902</v>
      </c>
      <c r="AK347" s="54">
        <f t="shared" si="71"/>
        <v>51462.310024169834</v>
      </c>
      <c r="AL347" s="54">
        <f t="shared" si="72"/>
        <v>870830.67327596724</v>
      </c>
      <c r="AM347" s="54">
        <f t="shared" si="73"/>
        <v>905553.16063254385</v>
      </c>
    </row>
    <row r="348" spans="17:39" x14ac:dyDescent="0.25">
      <c r="Q348" s="55">
        <v>90</v>
      </c>
      <c r="R348" s="54">
        <v>-1151.8297835849226</v>
      </c>
      <c r="S348" s="54">
        <v>-2667.4657050548121</v>
      </c>
      <c r="T348" s="54">
        <v>-4947.6238231444731</v>
      </c>
      <c r="U348" s="54">
        <v>-6292.519525770098</v>
      </c>
      <c r="V348" s="54">
        <v>-7082.4561300873756</v>
      </c>
      <c r="W348" s="54">
        <v>-6669.6832863725722</v>
      </c>
      <c r="X348" s="54">
        <v>5052.8417834201828</v>
      </c>
      <c r="Y348" s="54">
        <v>60409.453662103973</v>
      </c>
      <c r="Z348" s="54">
        <v>1471730.1018743366</v>
      </c>
      <c r="AA348" s="54">
        <f t="shared" si="63"/>
        <v>1508380.8190658465</v>
      </c>
      <c r="AC348" s="55">
        <v>90</v>
      </c>
      <c r="AD348" s="54">
        <f t="shared" si="64"/>
        <v>-1082.5366148672688</v>
      </c>
      <c r="AE348" s="54">
        <f t="shared" si="65"/>
        <v>-2347.2975153471612</v>
      </c>
      <c r="AF348" s="54">
        <f t="shared" si="66"/>
        <v>-4070.7218731464341</v>
      </c>
      <c r="AG348" s="54">
        <f t="shared" si="67"/>
        <v>-4845.4795366228418</v>
      </c>
      <c r="AH348" s="54">
        <f t="shared" si="68"/>
        <v>-5110.5368955313652</v>
      </c>
      <c r="AI348" s="54">
        <f t="shared" si="69"/>
        <v>-4514.2070948940773</v>
      </c>
      <c r="AJ348" s="54">
        <f t="shared" si="70"/>
        <v>3210.5852927847591</v>
      </c>
      <c r="AK348" s="54">
        <f t="shared" si="71"/>
        <v>36041.189712686421</v>
      </c>
      <c r="AL348" s="54">
        <f t="shared" si="72"/>
        <v>823924.18505073129</v>
      </c>
      <c r="AM348" s="54">
        <f t="shared" si="73"/>
        <v>841205.18052579334</v>
      </c>
    </row>
    <row r="349" spans="17:39" x14ac:dyDescent="0.25">
      <c r="Q349" s="55">
        <v>91</v>
      </c>
      <c r="R349" s="54">
        <v>-81.301978692412376</v>
      </c>
      <c r="S349" s="54">
        <v>-132.6174136120826</v>
      </c>
      <c r="T349" s="54">
        <v>-1375.8524808753282</v>
      </c>
      <c r="U349" s="54">
        <v>-2171.5250420086086</v>
      </c>
      <c r="V349" s="54">
        <v>-2204.9742876226082</v>
      </c>
      <c r="W349" s="54">
        <v>-2372.1005800561979</v>
      </c>
      <c r="X349" s="54">
        <v>10693.249150203541</v>
      </c>
      <c r="Y349" s="54">
        <v>73473.930523872375</v>
      </c>
      <c r="Z349" s="54">
        <v>1510672.7365755029</v>
      </c>
      <c r="AA349" s="54">
        <f t="shared" si="63"/>
        <v>1586501.5444667116</v>
      </c>
      <c r="AC349" s="55">
        <v>91</v>
      </c>
      <c r="AD349" s="54">
        <f t="shared" si="64"/>
        <v>-76.410915961703722</v>
      </c>
      <c r="AE349" s="54">
        <f t="shared" si="65"/>
        <v>-116.69972921245551</v>
      </c>
      <c r="AF349" s="54">
        <f t="shared" si="66"/>
        <v>-1132.0005296123018</v>
      </c>
      <c r="AG349" s="54">
        <f t="shared" si="67"/>
        <v>-1672.1569335184613</v>
      </c>
      <c r="AH349" s="54">
        <f t="shared" si="68"/>
        <v>-1591.058559857865</v>
      </c>
      <c r="AI349" s="54">
        <f t="shared" si="69"/>
        <v>-1605.4965143803504</v>
      </c>
      <c r="AJ349" s="54">
        <f t="shared" si="70"/>
        <v>6794.5108763109029</v>
      </c>
      <c r="AK349" s="54">
        <f t="shared" si="71"/>
        <v>43835.653335974843</v>
      </c>
      <c r="AL349" s="54">
        <f t="shared" si="72"/>
        <v>845725.58635320084</v>
      </c>
      <c r="AM349" s="54">
        <f t="shared" si="73"/>
        <v>890161.92738294345</v>
      </c>
    </row>
    <row r="350" spans="17:39" x14ac:dyDescent="0.25">
      <c r="Q350" s="55">
        <v>92</v>
      </c>
      <c r="R350" s="54">
        <v>556.726402528584</v>
      </c>
      <c r="S350" s="54">
        <v>75.211374277248979</v>
      </c>
      <c r="T350" s="54">
        <v>-1090.5773563589901</v>
      </c>
      <c r="U350" s="54">
        <v>-2167.2726565431803</v>
      </c>
      <c r="V350" s="54">
        <v>-3855.6046822937205</v>
      </c>
      <c r="W350" s="54">
        <v>-5548.916340239346</v>
      </c>
      <c r="X350" s="54">
        <v>4600.3364787530154</v>
      </c>
      <c r="Y350" s="54">
        <v>61923.742374040186</v>
      </c>
      <c r="Z350" s="54">
        <v>1457619.7890833635</v>
      </c>
      <c r="AA350" s="54">
        <f t="shared" si="63"/>
        <v>1512113.4346775273</v>
      </c>
      <c r="AC350" s="55">
        <v>92</v>
      </c>
      <c r="AD350" s="54">
        <f t="shared" si="64"/>
        <v>523.23418250635245</v>
      </c>
      <c r="AE350" s="54">
        <f t="shared" si="65"/>
        <v>66.183970662597233</v>
      </c>
      <c r="AF350" s="54">
        <f t="shared" si="66"/>
        <v>-897.28670925253573</v>
      </c>
      <c r="AG350" s="54">
        <f t="shared" si="67"/>
        <v>-1668.8824348585556</v>
      </c>
      <c r="AH350" s="54">
        <f t="shared" si="68"/>
        <v>-2782.1153596333615</v>
      </c>
      <c r="AI350" s="54">
        <f t="shared" si="69"/>
        <v>-3755.6442242560311</v>
      </c>
      <c r="AJ350" s="54">
        <f t="shared" si="70"/>
        <v>2923.0625603614785</v>
      </c>
      <c r="AK350" s="54">
        <f t="shared" si="71"/>
        <v>36944.637160695864</v>
      </c>
      <c r="AL350" s="54">
        <f t="shared" si="72"/>
        <v>816024.75569727365</v>
      </c>
      <c r="AM350" s="54">
        <f t="shared" si="73"/>
        <v>847377.94484349946</v>
      </c>
    </row>
    <row r="351" spans="17:39" x14ac:dyDescent="0.25">
      <c r="Q351" s="55">
        <v>93</v>
      </c>
      <c r="R351" s="54">
        <v>-2377.4005817230791</v>
      </c>
      <c r="S351" s="54">
        <v>-5908.7131646322086</v>
      </c>
      <c r="T351" s="54">
        <v>-7657.0249904161319</v>
      </c>
      <c r="U351" s="54">
        <v>-7135.415105605498</v>
      </c>
      <c r="V351" s="54">
        <v>-11864.171195178293</v>
      </c>
      <c r="W351" s="54">
        <v>-13061.389755266719</v>
      </c>
      <c r="X351" s="54">
        <v>-4944.2018159218132</v>
      </c>
      <c r="Y351" s="54">
        <v>52062.745371663943</v>
      </c>
      <c r="Z351" s="54">
        <v>1378820.1303978106</v>
      </c>
      <c r="AA351" s="54">
        <f t="shared" si="63"/>
        <v>1377934.5591607308</v>
      </c>
      <c r="AC351" s="55">
        <v>93</v>
      </c>
      <c r="AD351" s="54">
        <f t="shared" si="64"/>
        <v>-2234.3780431791797</v>
      </c>
      <c r="AE351" s="54">
        <f t="shared" si="65"/>
        <v>-5199.5074215791092</v>
      </c>
      <c r="AF351" s="54">
        <f t="shared" si="66"/>
        <v>-6299.9169350562897</v>
      </c>
      <c r="AG351" s="54">
        <f t="shared" si="67"/>
        <v>-5494.5412148386813</v>
      </c>
      <c r="AH351" s="54">
        <f t="shared" si="68"/>
        <v>-8560.9121347442924</v>
      </c>
      <c r="AI351" s="54">
        <f t="shared" si="69"/>
        <v>-8840.2725842877753</v>
      </c>
      <c r="AJ351" s="54">
        <f t="shared" si="70"/>
        <v>-3141.5552505215351</v>
      </c>
      <c r="AK351" s="54">
        <f t="shared" si="71"/>
        <v>31061.417860173948</v>
      </c>
      <c r="AL351" s="54">
        <f t="shared" si="72"/>
        <v>771910.04710900446</v>
      </c>
      <c r="AM351" s="54">
        <f t="shared" si="73"/>
        <v>763200.38138497155</v>
      </c>
    </row>
    <row r="352" spans="17:39" x14ac:dyDescent="0.25">
      <c r="Q352" s="55">
        <v>94</v>
      </c>
      <c r="R352" s="54">
        <v>1493.8302636900917</v>
      </c>
      <c r="S352" s="54">
        <v>2041.8179701864719</v>
      </c>
      <c r="T352" s="54">
        <v>2060.4317938759923</v>
      </c>
      <c r="U352" s="54">
        <v>1136.3217260790989</v>
      </c>
      <c r="V352" s="54">
        <v>2368.2596744010225</v>
      </c>
      <c r="W352" s="54">
        <v>1287.1346841286868</v>
      </c>
      <c r="X352" s="54">
        <v>10470.557242839597</v>
      </c>
      <c r="Y352" s="54">
        <v>62779.933868165128</v>
      </c>
      <c r="Z352" s="54">
        <v>1411366.6885024002</v>
      </c>
      <c r="AA352" s="54">
        <f t="shared" si="63"/>
        <v>1495004.9757257663</v>
      </c>
      <c r="AC352" s="55">
        <v>94</v>
      </c>
      <c r="AD352" s="54">
        <f t="shared" si="64"/>
        <v>1403.9626166014339</v>
      </c>
      <c r="AE352" s="54">
        <f t="shared" si="65"/>
        <v>1796.7444676524553</v>
      </c>
      <c r="AF352" s="54">
        <f t="shared" si="66"/>
        <v>1695.2470663233828</v>
      </c>
      <c r="AG352" s="54">
        <f t="shared" si="67"/>
        <v>875.01097901835681</v>
      </c>
      <c r="AH352" s="54">
        <f t="shared" si="68"/>
        <v>1708.881526679673</v>
      </c>
      <c r="AI352" s="54">
        <f t="shared" si="69"/>
        <v>871.16468259440433</v>
      </c>
      <c r="AJ352" s="54">
        <f t="shared" si="70"/>
        <v>6653.0120142347369</v>
      </c>
      <c r="AK352" s="54">
        <f t="shared" si="71"/>
        <v>37455.453898796964</v>
      </c>
      <c r="AL352" s="54">
        <f t="shared" si="72"/>
        <v>790130.70885152009</v>
      </c>
      <c r="AM352" s="54">
        <f t="shared" si="73"/>
        <v>842590.1861034215</v>
      </c>
    </row>
    <row r="353" spans="17:39" x14ac:dyDescent="0.25">
      <c r="Q353" s="55">
        <v>95</v>
      </c>
      <c r="R353" s="54">
        <v>-319.64491164218634</v>
      </c>
      <c r="S353" s="54">
        <v>-1192.7156038610265</v>
      </c>
      <c r="T353" s="54">
        <v>-3037.8871508752927</v>
      </c>
      <c r="U353" s="54">
        <v>-4160.7359295887873</v>
      </c>
      <c r="V353" s="54">
        <v>-5519.9431348722428</v>
      </c>
      <c r="W353" s="54">
        <v>-5972.9874407658353</v>
      </c>
      <c r="X353" s="54">
        <v>3788.7124973963946</v>
      </c>
      <c r="Y353" s="54">
        <v>56534.719254855067</v>
      </c>
      <c r="Z353" s="54">
        <v>1445737.3009052677</v>
      </c>
      <c r="AA353" s="54">
        <f t="shared" si="63"/>
        <v>1485856.8184859138</v>
      </c>
      <c r="AC353" s="55">
        <v>95</v>
      </c>
      <c r="AD353" s="54">
        <f t="shared" si="64"/>
        <v>-300.41532658733126</v>
      </c>
      <c r="AE353" s="54">
        <f t="shared" si="65"/>
        <v>-1049.5574013017153</v>
      </c>
      <c r="AF353" s="54">
        <f t="shared" si="66"/>
        <v>-2499.4611787925032</v>
      </c>
      <c r="AG353" s="54">
        <f t="shared" si="67"/>
        <v>-3203.9250290044274</v>
      </c>
      <c r="AH353" s="54">
        <f t="shared" si="68"/>
        <v>-3983.0635776421873</v>
      </c>
      <c r="AI353" s="54">
        <f t="shared" si="69"/>
        <v>-4042.6660645055654</v>
      </c>
      <c r="AJ353" s="54">
        <f t="shared" si="70"/>
        <v>2407.3551367953351</v>
      </c>
      <c r="AK353" s="54">
        <f t="shared" si="71"/>
        <v>33729.464818780674</v>
      </c>
      <c r="AL353" s="54">
        <f t="shared" si="72"/>
        <v>809372.53775592416</v>
      </c>
      <c r="AM353" s="54">
        <f t="shared" si="73"/>
        <v>830430.26913366641</v>
      </c>
    </row>
    <row r="354" spans="17:39" x14ac:dyDescent="0.25">
      <c r="Q354" s="55">
        <v>96</v>
      </c>
      <c r="R354" s="54">
        <v>-1088.4141859421507</v>
      </c>
      <c r="S354" s="54">
        <v>-2194.3166983909905</v>
      </c>
      <c r="T354" s="54">
        <v>-4439.4836877733469</v>
      </c>
      <c r="U354" s="54">
        <v>-4928.110699236393</v>
      </c>
      <c r="V354" s="54">
        <v>-6288.0908486451954</v>
      </c>
      <c r="W354" s="54">
        <v>-6449.0579817220569</v>
      </c>
      <c r="X354" s="54">
        <v>3172.4773829877377</v>
      </c>
      <c r="Y354" s="54">
        <v>67847.656761070713</v>
      </c>
      <c r="Z354" s="54">
        <v>1438100.0053657414</v>
      </c>
      <c r="AA354" s="54">
        <f t="shared" si="63"/>
        <v>1483732.6654080898</v>
      </c>
      <c r="AC354" s="55">
        <v>96</v>
      </c>
      <c r="AD354" s="54">
        <f t="shared" si="64"/>
        <v>-1022.9360494188501</v>
      </c>
      <c r="AE354" s="54">
        <f t="shared" si="65"/>
        <v>-1930.9392147975598</v>
      </c>
      <c r="AF354" s="54">
        <f t="shared" si="66"/>
        <v>-3652.6429654488406</v>
      </c>
      <c r="AG354" s="54">
        <f t="shared" si="67"/>
        <v>-3794.832808951774</v>
      </c>
      <c r="AH354" s="54">
        <f t="shared" si="68"/>
        <v>-4537.3412406944135</v>
      </c>
      <c r="AI354" s="54">
        <f t="shared" si="69"/>
        <v>-4364.8824159244723</v>
      </c>
      <c r="AJ354" s="54">
        <f t="shared" si="70"/>
        <v>2015.7981714239061</v>
      </c>
      <c r="AK354" s="54">
        <f t="shared" si="71"/>
        <v>40478.933687509438</v>
      </c>
      <c r="AL354" s="54">
        <f t="shared" si="72"/>
        <v>805096.92193792749</v>
      </c>
      <c r="AM354" s="54">
        <f t="shared" si="73"/>
        <v>828288.0791016249</v>
      </c>
    </row>
    <row r="355" spans="17:39" x14ac:dyDescent="0.25">
      <c r="Q355" s="55">
        <v>97</v>
      </c>
      <c r="R355" s="54">
        <v>1563.245782725513</v>
      </c>
      <c r="S355" s="54">
        <v>163.38240226451308</v>
      </c>
      <c r="T355" s="54">
        <v>475.84773939475417</v>
      </c>
      <c r="U355" s="54">
        <v>-175.53574832621962</v>
      </c>
      <c r="V355" s="54">
        <v>-1641.795386377722</v>
      </c>
      <c r="W355" s="54">
        <v>-717.53931876178831</v>
      </c>
      <c r="X355" s="54">
        <v>11930.915743555874</v>
      </c>
      <c r="Y355" s="54">
        <v>84096.849145282991</v>
      </c>
      <c r="Z355" s="54">
        <v>1454886.3198918104</v>
      </c>
      <c r="AA355" s="54">
        <f t="shared" si="63"/>
        <v>1550581.6902515683</v>
      </c>
      <c r="AC355" s="55">
        <v>97</v>
      </c>
      <c r="AD355" s="54">
        <f t="shared" si="64"/>
        <v>1469.202152917278</v>
      </c>
      <c r="AE355" s="54">
        <f t="shared" si="65"/>
        <v>143.77208530186576</v>
      </c>
      <c r="AF355" s="54">
        <f t="shared" si="66"/>
        <v>391.50991875740817</v>
      </c>
      <c r="AG355" s="54">
        <f t="shared" si="67"/>
        <v>-135.16920733851532</v>
      </c>
      <c r="AH355" s="54">
        <f t="shared" si="68"/>
        <v>-1184.6816616840815</v>
      </c>
      <c r="AI355" s="54">
        <f t="shared" si="69"/>
        <v>-485.6484100584006</v>
      </c>
      <c r="AJ355" s="54">
        <f t="shared" si="70"/>
        <v>7580.9265869762648</v>
      </c>
      <c r="AK355" s="54">
        <f t="shared" si="71"/>
        <v>50173.446547583815</v>
      </c>
      <c r="AL355" s="54">
        <f t="shared" si="72"/>
        <v>814494.46738344256</v>
      </c>
      <c r="AM355" s="54">
        <f t="shared" si="73"/>
        <v>872447.82539589819</v>
      </c>
    </row>
    <row r="356" spans="17:39" x14ac:dyDescent="0.25">
      <c r="Q356" s="55">
        <v>98</v>
      </c>
      <c r="R356" s="54">
        <v>-81.419072361662984</v>
      </c>
      <c r="S356" s="54">
        <v>-588.47043898049742</v>
      </c>
      <c r="T356" s="54">
        <v>-2042.8471857914701</v>
      </c>
      <c r="U356" s="54">
        <v>-3538.4177841274068</v>
      </c>
      <c r="V356" s="54">
        <v>-3466.6313467072323</v>
      </c>
      <c r="W356" s="54">
        <v>-1995.7994514117017</v>
      </c>
      <c r="X356" s="54">
        <v>6783.0855417670682</v>
      </c>
      <c r="Y356" s="54">
        <v>60210.680625946261</v>
      </c>
      <c r="Z356" s="54">
        <v>1421624.510515918</v>
      </c>
      <c r="AA356" s="54">
        <f t="shared" si="63"/>
        <v>1476904.6914042514</v>
      </c>
      <c r="AC356" s="55">
        <v>98</v>
      </c>
      <c r="AD356" s="54">
        <f t="shared" si="64"/>
        <v>-76.520965368429799</v>
      </c>
      <c r="AE356" s="54">
        <f t="shared" si="65"/>
        <v>-517.83803505199739</v>
      </c>
      <c r="AF356" s="54">
        <f t="shared" si="66"/>
        <v>-1680.7791012316313</v>
      </c>
      <c r="AG356" s="54">
        <f t="shared" si="67"/>
        <v>-2724.7163707312279</v>
      </c>
      <c r="AH356" s="54">
        <f t="shared" si="68"/>
        <v>-2501.4411773468096</v>
      </c>
      <c r="AI356" s="54">
        <f t="shared" si="69"/>
        <v>-1350.806576071825</v>
      </c>
      <c r="AJ356" s="54">
        <f t="shared" si="70"/>
        <v>4309.9854722459468</v>
      </c>
      <c r="AK356" s="54">
        <f t="shared" si="71"/>
        <v>35922.598726149801</v>
      </c>
      <c r="AL356" s="54">
        <f t="shared" si="72"/>
        <v>795873.38383799989</v>
      </c>
      <c r="AM356" s="54">
        <f t="shared" si="73"/>
        <v>827253.86581059371</v>
      </c>
    </row>
    <row r="357" spans="17:39" x14ac:dyDescent="0.25">
      <c r="Q357" s="55">
        <v>99</v>
      </c>
      <c r="R357" s="54">
        <v>-1122.658487717621</v>
      </c>
      <c r="S357" s="54">
        <v>-2303.0615206537768</v>
      </c>
      <c r="T357" s="54">
        <v>-545.344214130193</v>
      </c>
      <c r="U357" s="54">
        <v>-841.05106625705957</v>
      </c>
      <c r="V357" s="54">
        <v>-2773.6667578648776</v>
      </c>
      <c r="W357" s="54">
        <v>-2185.558171059005</v>
      </c>
      <c r="X357" s="54">
        <v>14827.83244290296</v>
      </c>
      <c r="Y357" s="54">
        <v>61954.814609717578</v>
      </c>
      <c r="Z357" s="54">
        <v>1419088.1506932396</v>
      </c>
      <c r="AA357" s="54">
        <f t="shared" si="63"/>
        <v>1486099.4575281776</v>
      </c>
      <c r="AC357" s="55">
        <v>99</v>
      </c>
      <c r="AD357" s="54">
        <f t="shared" si="64"/>
        <v>-1055.1202410857238</v>
      </c>
      <c r="AE357" s="54">
        <f t="shared" si="65"/>
        <v>-2026.6317107200377</v>
      </c>
      <c r="AF357" s="54">
        <f t="shared" si="66"/>
        <v>-448.689047552273</v>
      </c>
      <c r="AG357" s="54">
        <f t="shared" si="67"/>
        <v>-647.6413325558425</v>
      </c>
      <c r="AH357" s="54">
        <f t="shared" si="68"/>
        <v>-2001.41392217878</v>
      </c>
      <c r="AI357" s="54">
        <f t="shared" si="69"/>
        <v>-1479.2399846416276</v>
      </c>
      <c r="AJ357" s="54">
        <f t="shared" si="70"/>
        <v>9421.6329751843623</v>
      </c>
      <c r="AK357" s="54">
        <f t="shared" si="71"/>
        <v>36963.175324393058</v>
      </c>
      <c r="AL357" s="54">
        <f t="shared" si="72"/>
        <v>794453.44400172541</v>
      </c>
      <c r="AM357" s="54">
        <f t="shared" si="73"/>
        <v>833179.51606256852</v>
      </c>
    </row>
    <row r="358" spans="17:39" x14ac:dyDescent="0.25">
      <c r="Q358" s="55">
        <v>100</v>
      </c>
      <c r="R358" s="54">
        <v>-767.0560154048726</v>
      </c>
      <c r="S358" s="54">
        <v>-1399.1744941072538</v>
      </c>
      <c r="T358" s="54">
        <v>-1915.123450758867</v>
      </c>
      <c r="U358" s="54">
        <v>-2719.4416616410017</v>
      </c>
      <c r="V358" s="54">
        <v>-5336.9947321144864</v>
      </c>
      <c r="W358" s="54">
        <v>-4790.524060215801</v>
      </c>
      <c r="X358" s="54">
        <v>11601.740830089897</v>
      </c>
      <c r="Y358" s="54">
        <v>63404.272168091498</v>
      </c>
      <c r="Z358" s="54">
        <v>1444935.717205137</v>
      </c>
      <c r="AA358" s="54">
        <f t="shared" si="63"/>
        <v>1503013.4157890761</v>
      </c>
      <c r="AC358" s="55">
        <v>100</v>
      </c>
      <c r="AD358" s="54">
        <f t="shared" si="64"/>
        <v>-720.91053223641939</v>
      </c>
      <c r="AE358" s="54">
        <f t="shared" si="65"/>
        <v>-1231.2356283836803</v>
      </c>
      <c r="AF358" s="54">
        <f t="shared" si="66"/>
        <v>-1575.6927364427384</v>
      </c>
      <c r="AG358" s="54">
        <f t="shared" si="67"/>
        <v>-2094.0735850809219</v>
      </c>
      <c r="AH358" s="54">
        <f t="shared" si="68"/>
        <v>-3851.0522322700403</v>
      </c>
      <c r="AI358" s="54">
        <f t="shared" si="69"/>
        <v>-3242.3455166262215</v>
      </c>
      <c r="AJ358" s="54">
        <f t="shared" si="70"/>
        <v>7371.7682200162362</v>
      </c>
      <c r="AK358" s="54">
        <f t="shared" si="71"/>
        <v>37827.943529946504</v>
      </c>
      <c r="AL358" s="54">
        <f t="shared" si="72"/>
        <v>808923.78414543602</v>
      </c>
      <c r="AM358" s="54">
        <f t="shared" si="73"/>
        <v>841408.18566435878</v>
      </c>
    </row>
    <row r="359" spans="17:39" x14ac:dyDescent="0.25">
      <c r="Q359" s="53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</row>
  </sheetData>
  <mergeCells count="2">
    <mergeCell ref="R257:AA257"/>
    <mergeCell ref="AD257:AM25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3B17B-580A-45D3-8668-6DC818525D95}">
  <sheetPr codeName="Arkusz3"/>
  <dimension ref="A1:AM359"/>
  <sheetViews>
    <sheetView topLeftCell="G219" zoomScale="70" zoomScaleNormal="70" workbookViewId="0">
      <selection activeCell="R259" sqref="R259"/>
    </sheetView>
  </sheetViews>
  <sheetFormatPr defaultColWidth="9.85546875" defaultRowHeight="15.75" x14ac:dyDescent="0.25"/>
  <cols>
    <col min="1" max="1" width="13.85546875" style="25" bestFit="1" customWidth="1"/>
    <col min="2" max="2" width="13.28515625" style="25" customWidth="1"/>
    <col min="3" max="3" width="12.28515625" style="25" customWidth="1"/>
    <col min="4" max="6" width="11.7109375" style="25" bestFit="1" customWidth="1"/>
    <col min="7" max="9" width="12.7109375" style="25" bestFit="1" customWidth="1"/>
    <col min="10" max="10" width="12.7109375" style="25" customWidth="1"/>
    <col min="11" max="11" width="12.7109375" style="25" bestFit="1" customWidth="1"/>
    <col min="12" max="12" width="24.42578125" style="25" bestFit="1" customWidth="1"/>
    <col min="13" max="13" width="10.42578125" style="25" customWidth="1"/>
    <col min="14" max="14" width="19.85546875" style="25" customWidth="1"/>
    <col min="15" max="15" width="10.140625" style="25" bestFit="1" customWidth="1"/>
    <col min="16" max="16" width="10.7109375" style="25" bestFit="1" customWidth="1"/>
    <col min="17" max="17" width="11.7109375" style="25" bestFit="1" customWidth="1"/>
    <col min="18" max="18" width="10.140625" style="25" customWidth="1"/>
    <col min="19" max="19" width="9.42578125" style="25" bestFit="1" customWidth="1"/>
    <col min="20" max="26" width="11.140625" style="25" bestFit="1" customWidth="1"/>
    <col min="27" max="27" width="12.28515625" style="25" bestFit="1" customWidth="1"/>
    <col min="28" max="29" width="9.85546875" style="25"/>
    <col min="30" max="30" width="10" style="25" bestFit="1" customWidth="1"/>
    <col min="31" max="31" width="9.7109375" style="25" bestFit="1" customWidth="1"/>
    <col min="32" max="33" width="11.140625" style="25" bestFit="1" customWidth="1"/>
    <col min="34" max="37" width="11.7109375" style="25" bestFit="1" customWidth="1"/>
    <col min="38" max="38" width="11.42578125" style="25" bestFit="1" customWidth="1"/>
    <col min="39" max="39" width="12.7109375" style="25" bestFit="1" customWidth="1"/>
    <col min="40" max="16384" width="9.85546875" style="25"/>
  </cols>
  <sheetData>
    <row r="1" spans="1:18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25">
      <c r="A3" s="24"/>
      <c r="B3" s="24"/>
      <c r="C3" s="24"/>
      <c r="D3" s="26" t="s">
        <v>57</v>
      </c>
      <c r="E3" s="27">
        <v>1</v>
      </c>
      <c r="F3" s="28" t="s">
        <v>58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25">
      <c r="A4" s="24"/>
      <c r="B4" s="24"/>
      <c r="C4" s="24"/>
      <c r="D4" s="26" t="s">
        <v>59</v>
      </c>
      <c r="E4" s="27" t="b">
        <v>1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25">
      <c r="A5" s="24"/>
      <c r="B5" s="24"/>
      <c r="C5" s="24"/>
      <c r="D5" s="26" t="s">
        <v>60</v>
      </c>
      <c r="E5" s="27" t="b">
        <v>1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25">
      <c r="A6" s="24"/>
      <c r="B6" s="24"/>
      <c r="C6" s="24"/>
      <c r="D6" s="26" t="s">
        <v>61</v>
      </c>
      <c r="E6" s="27">
        <f>COUNTA(C31:L40)</f>
        <v>55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25">
      <c r="A7" s="24"/>
      <c r="B7" s="24"/>
      <c r="C7" s="29"/>
      <c r="D7" s="26" t="s">
        <v>62</v>
      </c>
      <c r="E7" s="27">
        <f>2*COUNTA(C31:C40)-1</f>
        <v>19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25">
      <c r="A8" s="24"/>
      <c r="B8" s="24"/>
      <c r="C8" s="29"/>
      <c r="D8" s="26" t="s">
        <v>63</v>
      </c>
      <c r="E8" s="30">
        <f>E6-E7</f>
        <v>36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x14ac:dyDescent="0.25">
      <c r="A9" s="24"/>
      <c r="B9" s="24"/>
      <c r="C9" s="24"/>
      <c r="D9" s="31" t="s">
        <v>64</v>
      </c>
      <c r="E9" s="32">
        <f>E124/$E$8</f>
        <v>7780.6839085999445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x14ac:dyDescent="0.25">
      <c r="A10" s="24"/>
      <c r="B10" s="24"/>
      <c r="C10" s="33"/>
      <c r="D10" s="33"/>
      <c r="E10" s="33"/>
      <c r="F10" s="33"/>
      <c r="G10" s="33"/>
      <c r="H10" s="33"/>
      <c r="I10" s="33"/>
      <c r="J10" s="33"/>
      <c r="K10" s="24"/>
      <c r="L10" s="24"/>
      <c r="M10" s="24"/>
      <c r="N10" s="24"/>
      <c r="O10" s="24"/>
      <c r="P10" s="24"/>
      <c r="Q10" s="24"/>
      <c r="R10" s="24"/>
    </row>
    <row r="11" spans="1:18" ht="18" x14ac:dyDescent="0.25">
      <c r="A11" s="24"/>
      <c r="B11" s="24"/>
      <c r="C11" s="34" t="s">
        <v>65</v>
      </c>
      <c r="D11" s="35"/>
      <c r="E11" s="35"/>
      <c r="F11" s="35"/>
      <c r="G11" s="35"/>
      <c r="H11" s="35"/>
      <c r="I11" s="35"/>
      <c r="J11" s="35"/>
      <c r="K11" s="36"/>
      <c r="L11" s="24"/>
      <c r="M11" s="24"/>
      <c r="N11" s="24"/>
      <c r="O11" s="24"/>
      <c r="P11" s="24"/>
      <c r="Q11" s="24"/>
      <c r="R11" s="24"/>
    </row>
    <row r="12" spans="1:18" x14ac:dyDescent="0.25">
      <c r="A12" s="24"/>
      <c r="B12" s="24"/>
      <c r="C12" s="35"/>
      <c r="D12" s="35"/>
      <c r="E12" s="35"/>
      <c r="F12" s="35"/>
      <c r="G12" s="35"/>
      <c r="H12" s="35"/>
      <c r="I12" s="35"/>
      <c r="J12" s="35"/>
      <c r="K12" s="35"/>
      <c r="L12" s="24"/>
      <c r="M12" s="24"/>
      <c r="N12" s="24"/>
      <c r="O12" s="24"/>
      <c r="P12" s="24"/>
      <c r="Q12" s="24"/>
      <c r="R12" s="24"/>
    </row>
    <row r="13" spans="1:18" x14ac:dyDescent="0.25">
      <c r="A13" s="24"/>
      <c r="B13" s="24"/>
      <c r="C13" s="37">
        <v>5581442.6576523483</v>
      </c>
      <c r="D13" s="37">
        <v>8206652.7707877923</v>
      </c>
      <c r="E13" s="37">
        <v>8898201.9290283415</v>
      </c>
      <c r="F13" s="37">
        <v>9220574.6486107409</v>
      </c>
      <c r="G13" s="37">
        <v>9425853.7168494407</v>
      </c>
      <c r="H13" s="37">
        <v>9531753.1374178734</v>
      </c>
      <c r="I13" s="37">
        <v>9602550.5024997108</v>
      </c>
      <c r="J13" s="37">
        <v>9664785.1807720531</v>
      </c>
      <c r="K13" s="37">
        <v>9744191.1671111416</v>
      </c>
      <c r="L13" s="37">
        <v>9836885.1721109133</v>
      </c>
      <c r="M13" s="24"/>
      <c r="N13" s="24"/>
      <c r="O13" s="24"/>
      <c r="P13" s="24"/>
      <c r="Q13" s="24"/>
      <c r="R13" s="24"/>
    </row>
    <row r="14" spans="1:18" x14ac:dyDescent="0.25">
      <c r="A14" s="24"/>
      <c r="B14" s="24"/>
      <c r="C14" s="37">
        <v>5411379.5550185256</v>
      </c>
      <c r="D14" s="37">
        <v>7900593.8976593902</v>
      </c>
      <c r="E14" s="37">
        <v>8452809.5298921596</v>
      </c>
      <c r="F14" s="37">
        <v>8739590.737854803</v>
      </c>
      <c r="G14" s="37">
        <v>8882281.6902518589</v>
      </c>
      <c r="H14" s="37">
        <v>9021858.8460047543</v>
      </c>
      <c r="I14" s="37">
        <v>9101997.1280943397</v>
      </c>
      <c r="J14" s="37">
        <v>9177705.103366673</v>
      </c>
      <c r="K14" s="37">
        <v>9232133.1671188306</v>
      </c>
      <c r="L14" s="24"/>
      <c r="M14" s="24"/>
      <c r="N14" s="24"/>
      <c r="O14" s="24"/>
      <c r="P14" s="24"/>
      <c r="Q14" s="24"/>
      <c r="R14" s="24"/>
    </row>
    <row r="15" spans="1:18" x14ac:dyDescent="0.25">
      <c r="A15" s="24"/>
      <c r="B15" s="24"/>
      <c r="C15" s="37">
        <v>5125655.4854002073</v>
      </c>
      <c r="D15" s="37">
        <v>7419675.5357578844</v>
      </c>
      <c r="E15" s="37">
        <v>8035194.5474029956</v>
      </c>
      <c r="F15" s="37">
        <v>8311293.5664852802</v>
      </c>
      <c r="G15" s="37">
        <v>8485838.9932521638</v>
      </c>
      <c r="H15" s="37">
        <v>8612753.2234232798</v>
      </c>
      <c r="I15" s="37">
        <v>8705089.8472966179</v>
      </c>
      <c r="J15" s="37">
        <v>8790192.0651726462</v>
      </c>
      <c r="K15" s="35"/>
      <c r="L15" s="24"/>
      <c r="M15" s="24"/>
      <c r="N15" s="24"/>
      <c r="O15" s="24"/>
      <c r="P15" s="24"/>
      <c r="Q15" s="24"/>
      <c r="R15" s="24"/>
    </row>
    <row r="16" spans="1:18" x14ac:dyDescent="0.25">
      <c r="A16" s="24"/>
      <c r="B16" s="24"/>
      <c r="C16" s="37">
        <v>4937863.1805621143</v>
      </c>
      <c r="D16" s="37">
        <v>7280218.5328278262</v>
      </c>
      <c r="E16" s="37">
        <v>7761059.11764865</v>
      </c>
      <c r="F16" s="37">
        <v>8070594.5036562011</v>
      </c>
      <c r="G16" s="37">
        <v>8357686.8388847765</v>
      </c>
      <c r="H16" s="37">
        <v>8508734.3164296784</v>
      </c>
      <c r="I16" s="37">
        <v>8597298.6686612889</v>
      </c>
      <c r="J16" s="35"/>
      <c r="K16" s="35"/>
      <c r="L16" s="24"/>
      <c r="M16" s="24"/>
      <c r="N16" s="24"/>
      <c r="O16" s="24"/>
      <c r="P16" s="24"/>
      <c r="Q16" s="24"/>
      <c r="R16" s="24"/>
    </row>
    <row r="17" spans="1:18" x14ac:dyDescent="0.25">
      <c r="A17" s="24"/>
      <c r="B17" s="24"/>
      <c r="C17" s="37">
        <v>4897019.6391870324</v>
      </c>
      <c r="D17" s="37">
        <v>7246289.1684834082</v>
      </c>
      <c r="E17" s="37">
        <v>7830052.6938192165</v>
      </c>
      <c r="F17" s="37">
        <v>8169946.3043205123</v>
      </c>
      <c r="G17" s="37">
        <v>8399470.4375268407</v>
      </c>
      <c r="H17" s="37">
        <v>8553302.2388791312</v>
      </c>
      <c r="I17" s="35"/>
      <c r="J17" s="35"/>
      <c r="K17" s="35"/>
      <c r="L17" s="24"/>
      <c r="M17" s="29"/>
      <c r="N17" s="24"/>
      <c r="O17" s="24"/>
      <c r="P17" s="24"/>
      <c r="Q17" s="24"/>
      <c r="R17" s="24"/>
    </row>
    <row r="18" spans="1:18" x14ac:dyDescent="0.25">
      <c r="A18" s="24"/>
      <c r="B18" s="24"/>
      <c r="C18" s="37">
        <v>5014791.9572833572</v>
      </c>
      <c r="D18" s="37">
        <v>7473356.4843088966</v>
      </c>
      <c r="E18" s="37">
        <v>8051605.7443632847</v>
      </c>
      <c r="F18" s="37">
        <v>8381433.7919791909</v>
      </c>
      <c r="G18" s="37">
        <v>8539007.495220311</v>
      </c>
      <c r="H18" s="35"/>
      <c r="I18" s="35"/>
      <c r="J18" s="35"/>
      <c r="K18" s="35"/>
      <c r="L18" s="24"/>
      <c r="M18" s="29"/>
      <c r="N18" s="24"/>
      <c r="O18" s="24"/>
      <c r="P18" s="24"/>
      <c r="Q18" s="24"/>
      <c r="R18" s="24"/>
    </row>
    <row r="19" spans="1:18" x14ac:dyDescent="0.25">
      <c r="A19" s="24"/>
      <c r="B19" s="24"/>
      <c r="C19" s="37">
        <v>5289023.9552167226</v>
      </c>
      <c r="D19" s="37">
        <v>7765443.9363761069</v>
      </c>
      <c r="E19" s="37">
        <v>8242777.4404919678</v>
      </c>
      <c r="F19" s="37">
        <v>8468153.0281122215</v>
      </c>
      <c r="G19" s="35"/>
      <c r="H19" s="35"/>
      <c r="I19" s="35"/>
      <c r="J19" s="35"/>
      <c r="K19" s="35"/>
      <c r="L19" s="24"/>
      <c r="M19" s="29"/>
      <c r="N19" s="24"/>
      <c r="O19" s="24"/>
      <c r="P19" s="24"/>
      <c r="Q19" s="24"/>
      <c r="R19" s="24"/>
    </row>
    <row r="20" spans="1:18" x14ac:dyDescent="0.25">
      <c r="A20" s="24"/>
      <c r="B20" s="24"/>
      <c r="C20" s="37">
        <v>5361675.0260812119</v>
      </c>
      <c r="D20" s="37">
        <v>7552270.4508919688</v>
      </c>
      <c r="E20" s="37">
        <v>8066188.6737497589</v>
      </c>
      <c r="F20" s="35"/>
      <c r="G20" s="35"/>
      <c r="H20" s="35"/>
      <c r="I20" s="35"/>
      <c r="J20" s="35"/>
      <c r="K20" s="35"/>
      <c r="L20" s="24"/>
      <c r="M20" s="29"/>
      <c r="N20" s="24"/>
      <c r="O20" s="24"/>
      <c r="P20" s="24"/>
      <c r="Q20" s="24"/>
      <c r="R20" s="24"/>
    </row>
    <row r="21" spans="1:18" x14ac:dyDescent="0.25">
      <c r="A21" s="24"/>
      <c r="B21" s="24"/>
      <c r="C21" s="37">
        <v>5311015.510566188</v>
      </c>
      <c r="D21" s="37">
        <v>7383876.934500345</v>
      </c>
      <c r="E21" s="37"/>
      <c r="F21" s="35"/>
      <c r="G21" s="35"/>
      <c r="H21" s="35"/>
      <c r="I21" s="35"/>
      <c r="J21" s="35"/>
      <c r="K21" s="35"/>
      <c r="L21" s="24"/>
      <c r="M21" s="29"/>
      <c r="N21" s="24"/>
      <c r="O21" s="24"/>
      <c r="P21" s="24"/>
      <c r="Q21" s="24"/>
      <c r="R21" s="24"/>
    </row>
    <row r="22" spans="1:18" x14ac:dyDescent="0.25">
      <c r="A22" s="24"/>
      <c r="B22" s="24"/>
      <c r="C22" s="37">
        <v>5299650.8412340274</v>
      </c>
      <c r="D22" s="33"/>
      <c r="E22" s="33"/>
      <c r="F22" s="33"/>
      <c r="G22" s="33"/>
      <c r="H22" s="33"/>
      <c r="I22" s="33"/>
      <c r="J22" s="33"/>
      <c r="K22" s="33"/>
      <c r="L22" s="24"/>
      <c r="M22" s="29"/>
      <c r="N22" s="24"/>
      <c r="O22" s="24"/>
      <c r="P22" s="24"/>
      <c r="Q22" s="24"/>
      <c r="R22" s="24"/>
    </row>
    <row r="23" spans="1:18" x14ac:dyDescent="0.25">
      <c r="A23" s="24"/>
      <c r="B23" s="24"/>
      <c r="C23" s="38"/>
      <c r="D23" s="24"/>
      <c r="E23" s="24"/>
      <c r="F23" s="24"/>
      <c r="G23" s="24"/>
      <c r="H23" s="24"/>
      <c r="I23" s="24"/>
      <c r="J23" s="24"/>
      <c r="K23" s="24"/>
      <c r="L23" s="24"/>
      <c r="M23" s="29"/>
      <c r="N23" s="24"/>
      <c r="O23" s="24"/>
      <c r="P23" s="24"/>
      <c r="Q23" s="24"/>
      <c r="R23" s="24"/>
    </row>
    <row r="24" spans="1:18" x14ac:dyDescent="0.25">
      <c r="A24" s="24"/>
      <c r="B24" s="24"/>
      <c r="C24" s="38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25">
      <c r="A25" s="24"/>
      <c r="B25" s="24"/>
      <c r="C25" s="38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  <row r="27" spans="1:18" ht="18" x14ac:dyDescent="0.25">
      <c r="A27" s="24"/>
      <c r="B27" s="24"/>
      <c r="C27" s="39" t="s">
        <v>66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</row>
    <row r="28" spans="1:18" ht="18" x14ac:dyDescent="0.25">
      <c r="A28" s="24"/>
      <c r="B28" s="24"/>
      <c r="C28" s="39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</row>
    <row r="29" spans="1:18" x14ac:dyDescent="0.25">
      <c r="A29" s="24"/>
      <c r="B29" s="24"/>
      <c r="C29" s="28" t="s">
        <v>67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</row>
    <row r="30" spans="1:18" x14ac:dyDescent="0.25">
      <c r="A30" s="24"/>
      <c r="B30" s="24"/>
      <c r="C30" s="28">
        <v>0</v>
      </c>
      <c r="D30" s="28">
        <v>1</v>
      </c>
      <c r="E30" s="28">
        <v>2</v>
      </c>
      <c r="F30" s="28">
        <v>3</v>
      </c>
      <c r="G30" s="28">
        <v>4</v>
      </c>
      <c r="H30" s="28">
        <v>5</v>
      </c>
      <c r="I30" s="28">
        <v>6</v>
      </c>
      <c r="J30" s="28">
        <v>7</v>
      </c>
      <c r="K30" s="28">
        <v>8</v>
      </c>
      <c r="L30" s="28">
        <v>9</v>
      </c>
      <c r="M30" s="24"/>
      <c r="N30" s="24"/>
      <c r="O30" s="24"/>
      <c r="P30" s="24"/>
      <c r="Q30" s="24"/>
      <c r="R30" s="24"/>
    </row>
    <row r="31" spans="1:18" x14ac:dyDescent="0.25">
      <c r="A31" s="28" t="s">
        <v>68</v>
      </c>
      <c r="B31" s="28">
        <v>0</v>
      </c>
      <c r="C31" s="40">
        <f>C13</f>
        <v>5581442.6576523483</v>
      </c>
      <c r="D31" s="40">
        <f t="shared" ref="D31:K38" si="0">D13-C13</f>
        <v>2625210.113135444</v>
      </c>
      <c r="E31" s="40">
        <f t="shared" si="0"/>
        <v>691549.15824054927</v>
      </c>
      <c r="F31" s="40">
        <f t="shared" si="0"/>
        <v>322372.71958239935</v>
      </c>
      <c r="G31" s="40">
        <f t="shared" si="0"/>
        <v>205279.06823869981</v>
      </c>
      <c r="H31" s="40">
        <f t="shared" si="0"/>
        <v>105899.42056843266</v>
      </c>
      <c r="I31" s="40">
        <f t="shared" si="0"/>
        <v>70797.365081837401</v>
      </c>
      <c r="J31" s="40">
        <f t="shared" si="0"/>
        <v>62234.678272342309</v>
      </c>
      <c r="K31" s="40">
        <f t="shared" si="0"/>
        <v>79405.986339088529</v>
      </c>
      <c r="L31" s="40">
        <f>L13-K13</f>
        <v>92694.004999771714</v>
      </c>
      <c r="M31" s="24"/>
      <c r="N31" s="24"/>
      <c r="O31" s="24"/>
      <c r="P31" s="24"/>
      <c r="Q31" s="24"/>
      <c r="R31" s="24"/>
    </row>
    <row r="32" spans="1:18" x14ac:dyDescent="0.25">
      <c r="A32" s="24"/>
      <c r="B32" s="28">
        <v>1</v>
      </c>
      <c r="C32" s="40">
        <f t="shared" ref="C32:C39" si="1">C14</f>
        <v>5411379.5550185256</v>
      </c>
      <c r="D32" s="40">
        <f t="shared" si="0"/>
        <v>2489214.3426408647</v>
      </c>
      <c r="E32" s="40">
        <f t="shared" si="0"/>
        <v>552215.63223276939</v>
      </c>
      <c r="F32" s="40">
        <f t="shared" si="0"/>
        <v>286781.20796264336</v>
      </c>
      <c r="G32" s="40">
        <f t="shared" si="0"/>
        <v>142690.95239705592</v>
      </c>
      <c r="H32" s="40">
        <f t="shared" si="0"/>
        <v>139577.1557528954</v>
      </c>
      <c r="I32" s="40">
        <f t="shared" si="0"/>
        <v>80138.282089585438</v>
      </c>
      <c r="J32" s="40">
        <f t="shared" si="0"/>
        <v>75707.975272333249</v>
      </c>
      <c r="K32" s="40">
        <f>K14-J14</f>
        <v>54428.063752157614</v>
      </c>
      <c r="L32" s="24"/>
      <c r="M32" s="24"/>
      <c r="N32" s="24"/>
      <c r="O32" s="24"/>
      <c r="P32" s="24"/>
      <c r="Q32" s="24"/>
      <c r="R32" s="24"/>
    </row>
    <row r="33" spans="1:18" x14ac:dyDescent="0.25">
      <c r="A33" s="24"/>
      <c r="B33" s="28">
        <v>2</v>
      </c>
      <c r="C33" s="40">
        <f t="shared" si="1"/>
        <v>5125655.4854002073</v>
      </c>
      <c r="D33" s="40">
        <f t="shared" si="0"/>
        <v>2294020.050357677</v>
      </c>
      <c r="E33" s="40">
        <f t="shared" si="0"/>
        <v>615519.01164511126</v>
      </c>
      <c r="F33" s="40">
        <f t="shared" si="0"/>
        <v>276099.01908228453</v>
      </c>
      <c r="G33" s="40">
        <f t="shared" si="0"/>
        <v>174545.42676688358</v>
      </c>
      <c r="H33" s="40">
        <f t="shared" si="0"/>
        <v>126914.23017111607</v>
      </c>
      <c r="I33" s="40">
        <f t="shared" si="0"/>
        <v>92336.623873338103</v>
      </c>
      <c r="J33" s="40">
        <f t="shared" si="0"/>
        <v>85102.21787602827</v>
      </c>
      <c r="K33" s="41"/>
      <c r="L33" s="24"/>
      <c r="M33" s="24"/>
      <c r="N33" s="24"/>
      <c r="O33" s="24"/>
      <c r="P33" s="24"/>
      <c r="Q33" s="24"/>
      <c r="R33" s="24"/>
    </row>
    <row r="34" spans="1:18" x14ac:dyDescent="0.25">
      <c r="A34" s="24"/>
      <c r="B34" s="28">
        <v>3</v>
      </c>
      <c r="C34" s="40">
        <f t="shared" si="1"/>
        <v>4937863.1805621143</v>
      </c>
      <c r="D34" s="40">
        <f t="shared" si="0"/>
        <v>2342355.3522657119</v>
      </c>
      <c r="E34" s="40">
        <f>E16-D16</f>
        <v>480840.58482082374</v>
      </c>
      <c r="F34" s="40">
        <f>F16-E16</f>
        <v>309535.3860075511</v>
      </c>
      <c r="G34" s="40">
        <f>G16-F16</f>
        <v>287092.33522857539</v>
      </c>
      <c r="H34" s="40">
        <f>H16-G16</f>
        <v>151047.47754490189</v>
      </c>
      <c r="I34" s="40">
        <f>I16-H16</f>
        <v>88564.352231610566</v>
      </c>
      <c r="J34" s="41"/>
      <c r="K34" s="41"/>
      <c r="L34" s="24"/>
      <c r="M34" s="24"/>
      <c r="N34" s="24"/>
      <c r="O34" s="24"/>
      <c r="P34" s="24"/>
      <c r="Q34" s="24"/>
      <c r="R34" s="24"/>
    </row>
    <row r="35" spans="1:18" x14ac:dyDescent="0.25">
      <c r="A35" s="24"/>
      <c r="B35" s="28">
        <v>4</v>
      </c>
      <c r="C35" s="40">
        <f t="shared" si="1"/>
        <v>4897019.6391870324</v>
      </c>
      <c r="D35" s="40">
        <f t="shared" si="0"/>
        <v>2349269.5292963758</v>
      </c>
      <c r="E35" s="40">
        <f>E17-D17</f>
        <v>583763.52533580828</v>
      </c>
      <c r="F35" s="40">
        <f>F17-E17</f>
        <v>339893.61050129589</v>
      </c>
      <c r="G35" s="40">
        <f>G17-F17</f>
        <v>229524.13320632838</v>
      </c>
      <c r="H35" s="40">
        <f>H17-G17</f>
        <v>153831.80135229044</v>
      </c>
      <c r="I35" s="41"/>
      <c r="J35" s="41"/>
      <c r="K35" s="41"/>
      <c r="L35" s="24"/>
      <c r="M35" s="24"/>
      <c r="N35" s="24"/>
      <c r="O35" s="24"/>
      <c r="P35" s="24"/>
      <c r="Q35" s="24"/>
      <c r="R35" s="24"/>
    </row>
    <row r="36" spans="1:18" x14ac:dyDescent="0.25">
      <c r="A36" s="24"/>
      <c r="B36" s="28">
        <v>5</v>
      </c>
      <c r="C36" s="40">
        <f t="shared" si="1"/>
        <v>5014791.9572833572</v>
      </c>
      <c r="D36" s="40">
        <f t="shared" si="0"/>
        <v>2458564.5270255394</v>
      </c>
      <c r="E36" s="40">
        <f>E18-D18</f>
        <v>578249.26005438808</v>
      </c>
      <c r="F36" s="40">
        <f>F18-E18</f>
        <v>329828.04761590622</v>
      </c>
      <c r="G36" s="40">
        <f>G18-F18</f>
        <v>157573.70324112009</v>
      </c>
      <c r="H36" s="41"/>
      <c r="I36" s="41"/>
      <c r="J36" s="41"/>
      <c r="K36" s="41"/>
      <c r="L36" s="24"/>
      <c r="M36" s="24"/>
      <c r="N36" s="24"/>
      <c r="O36" s="24"/>
      <c r="P36" s="24"/>
      <c r="Q36" s="24"/>
      <c r="R36" s="24"/>
    </row>
    <row r="37" spans="1:18" x14ac:dyDescent="0.25">
      <c r="A37" s="24"/>
      <c r="B37" s="28">
        <v>6</v>
      </c>
      <c r="C37" s="40">
        <f t="shared" si="1"/>
        <v>5289023.9552167226</v>
      </c>
      <c r="D37" s="40">
        <f t="shared" si="0"/>
        <v>2476419.9811593844</v>
      </c>
      <c r="E37" s="40">
        <f>E19-D19</f>
        <v>477333.50411586091</v>
      </c>
      <c r="F37" s="40">
        <f>F19-E19</f>
        <v>225375.58762025367</v>
      </c>
      <c r="G37" s="41"/>
      <c r="H37" s="41"/>
      <c r="I37" s="41"/>
      <c r="J37" s="41"/>
      <c r="K37" s="41"/>
      <c r="L37" s="24"/>
      <c r="M37" s="24"/>
      <c r="N37" s="24"/>
      <c r="O37" s="24"/>
      <c r="P37" s="24"/>
      <c r="Q37" s="24"/>
      <c r="R37" s="24"/>
    </row>
    <row r="38" spans="1:18" x14ac:dyDescent="0.25">
      <c r="A38" s="24"/>
      <c r="B38" s="28">
        <v>7</v>
      </c>
      <c r="C38" s="40">
        <f t="shared" si="1"/>
        <v>5361675.0260812119</v>
      </c>
      <c r="D38" s="40">
        <f t="shared" si="0"/>
        <v>2190595.4248107569</v>
      </c>
      <c r="E38" s="40">
        <f>E20-D20</f>
        <v>513918.22285779007</v>
      </c>
      <c r="F38" s="41"/>
      <c r="G38" s="41"/>
      <c r="H38" s="41"/>
      <c r="I38" s="41"/>
      <c r="J38" s="41"/>
      <c r="K38" s="41"/>
      <c r="L38" s="24"/>
      <c r="M38" s="24"/>
      <c r="N38" s="24"/>
      <c r="O38" s="24"/>
      <c r="P38" s="24"/>
      <c r="Q38" s="24"/>
      <c r="R38" s="24"/>
    </row>
    <row r="39" spans="1:18" x14ac:dyDescent="0.25">
      <c r="A39" s="24"/>
      <c r="B39" s="28">
        <v>8</v>
      </c>
      <c r="C39" s="40">
        <f t="shared" si="1"/>
        <v>5311015.510566188</v>
      </c>
      <c r="D39" s="40">
        <f>D21-C21</f>
        <v>2072861.423934157</v>
      </c>
      <c r="E39" s="41"/>
      <c r="F39" s="41"/>
      <c r="G39" s="41"/>
      <c r="H39" s="41"/>
      <c r="I39" s="41"/>
      <c r="J39" s="41"/>
      <c r="K39" s="41"/>
      <c r="L39" s="24"/>
      <c r="M39" s="24"/>
      <c r="N39" s="24"/>
      <c r="O39" s="24"/>
      <c r="P39" s="24"/>
      <c r="Q39" s="24"/>
      <c r="R39" s="24"/>
    </row>
    <row r="40" spans="1:18" x14ac:dyDescent="0.25">
      <c r="A40" s="24"/>
      <c r="B40" s="28">
        <v>9</v>
      </c>
      <c r="C40" s="40">
        <f>C22</f>
        <v>5299650.8412340274</v>
      </c>
      <c r="D40" s="41"/>
      <c r="E40" s="41"/>
      <c r="F40" s="41"/>
      <c r="G40" s="41"/>
      <c r="H40" s="41"/>
      <c r="I40" s="41"/>
      <c r="J40" s="41"/>
      <c r="K40" s="41"/>
      <c r="L40" s="24"/>
      <c r="M40" s="24"/>
      <c r="N40" s="24"/>
      <c r="O40" s="24"/>
      <c r="P40" s="24"/>
      <c r="Q40" s="24"/>
      <c r="R40" s="24"/>
    </row>
    <row r="41" spans="1:18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</row>
    <row r="42" spans="1:18" x14ac:dyDescent="0.25">
      <c r="A42" s="24"/>
      <c r="B42" s="24"/>
      <c r="C42" s="42" t="s">
        <v>69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</row>
    <row r="43" spans="1:18" x14ac:dyDescent="0.25">
      <c r="A43" s="24"/>
      <c r="B43" s="24"/>
      <c r="C43" s="28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</row>
    <row r="44" spans="1:18" x14ac:dyDescent="0.25">
      <c r="A44" s="24"/>
      <c r="B44" s="24"/>
      <c r="C44" s="28">
        <v>0</v>
      </c>
      <c r="D44" s="28">
        <v>1</v>
      </c>
      <c r="E44" s="28">
        <v>2</v>
      </c>
      <c r="F44" s="28">
        <v>3</v>
      </c>
      <c r="G44" s="28">
        <v>4</v>
      </c>
      <c r="H44" s="28">
        <v>5</v>
      </c>
      <c r="I44" s="28">
        <v>6</v>
      </c>
      <c r="J44" s="28">
        <v>7</v>
      </c>
      <c r="K44" s="28">
        <v>8</v>
      </c>
      <c r="L44" s="28">
        <v>9</v>
      </c>
      <c r="M44" s="24"/>
      <c r="N44" s="24"/>
      <c r="O44" s="24"/>
      <c r="P44" s="24"/>
      <c r="Q44" s="24"/>
      <c r="R44" s="24"/>
    </row>
    <row r="45" spans="1:18" x14ac:dyDescent="0.25">
      <c r="A45" s="24"/>
      <c r="B45" s="28">
        <v>0</v>
      </c>
      <c r="C45" s="40">
        <f t="shared" ref="C45:C53" si="2">C31</f>
        <v>5581442.6576523483</v>
      </c>
      <c r="D45" s="40">
        <f t="shared" ref="D45:K48" si="3">C45+D31</f>
        <v>8206652.7707877923</v>
      </c>
      <c r="E45" s="40">
        <f t="shared" si="3"/>
        <v>8898201.9290283415</v>
      </c>
      <c r="F45" s="40">
        <f t="shared" si="3"/>
        <v>9220574.6486107409</v>
      </c>
      <c r="G45" s="40">
        <f t="shared" si="3"/>
        <v>9425853.7168494407</v>
      </c>
      <c r="H45" s="40">
        <f t="shared" si="3"/>
        <v>9531753.1374178734</v>
      </c>
      <c r="I45" s="40">
        <f t="shared" si="3"/>
        <v>9602550.5024997108</v>
      </c>
      <c r="J45" s="40">
        <f t="shared" si="3"/>
        <v>9664785.1807720531</v>
      </c>
      <c r="K45" s="40">
        <f t="shared" si="3"/>
        <v>9744191.1671111416</v>
      </c>
      <c r="L45" s="40">
        <f>K45+L31</f>
        <v>9836885.1721109133</v>
      </c>
      <c r="M45" s="24"/>
      <c r="N45" s="24"/>
      <c r="O45" s="24"/>
      <c r="P45" s="24"/>
      <c r="Q45" s="24"/>
      <c r="R45" s="24"/>
    </row>
    <row r="46" spans="1:18" x14ac:dyDescent="0.25">
      <c r="A46" s="24"/>
      <c r="B46" s="28">
        <v>1</v>
      </c>
      <c r="C46" s="40">
        <f t="shared" si="2"/>
        <v>5411379.5550185256</v>
      </c>
      <c r="D46" s="40">
        <f t="shared" si="3"/>
        <v>7900593.8976593902</v>
      </c>
      <c r="E46" s="40">
        <f t="shared" si="3"/>
        <v>8452809.5298921596</v>
      </c>
      <c r="F46" s="40">
        <f t="shared" si="3"/>
        <v>8739590.737854803</v>
      </c>
      <c r="G46" s="40">
        <f t="shared" si="3"/>
        <v>8882281.6902518589</v>
      </c>
      <c r="H46" s="40">
        <f t="shared" si="3"/>
        <v>9021858.8460047543</v>
      </c>
      <c r="I46" s="40">
        <f t="shared" si="3"/>
        <v>9101997.1280943397</v>
      </c>
      <c r="J46" s="40">
        <f t="shared" si="3"/>
        <v>9177705.103366673</v>
      </c>
      <c r="K46" s="40">
        <f>J46+K32</f>
        <v>9232133.1671188306</v>
      </c>
      <c r="L46" s="24"/>
      <c r="M46" s="24"/>
      <c r="N46" s="24"/>
      <c r="O46" s="24"/>
      <c r="P46" s="24"/>
      <c r="Q46" s="24"/>
      <c r="R46" s="24"/>
    </row>
    <row r="47" spans="1:18" x14ac:dyDescent="0.25">
      <c r="A47" s="24"/>
      <c r="B47" s="28">
        <v>2</v>
      </c>
      <c r="C47" s="40">
        <f t="shared" si="2"/>
        <v>5125655.4854002073</v>
      </c>
      <c r="D47" s="40">
        <f t="shared" si="3"/>
        <v>7419675.5357578844</v>
      </c>
      <c r="E47" s="40">
        <f t="shared" si="3"/>
        <v>8035194.5474029956</v>
      </c>
      <c r="F47" s="40">
        <f t="shared" si="3"/>
        <v>8311293.5664852802</v>
      </c>
      <c r="G47" s="40">
        <f t="shared" si="3"/>
        <v>8485838.9932521638</v>
      </c>
      <c r="H47" s="40">
        <f t="shared" si="3"/>
        <v>8612753.2234232798</v>
      </c>
      <c r="I47" s="40">
        <f t="shared" si="3"/>
        <v>8705089.8472966179</v>
      </c>
      <c r="J47" s="40">
        <f>I47+J33</f>
        <v>8790192.0651726462</v>
      </c>
      <c r="K47" s="41"/>
      <c r="L47" s="24"/>
      <c r="M47" s="24"/>
      <c r="N47" s="24"/>
      <c r="O47" s="24"/>
      <c r="P47" s="24"/>
      <c r="Q47" s="24"/>
      <c r="R47" s="24"/>
    </row>
    <row r="48" spans="1:18" x14ac:dyDescent="0.25">
      <c r="A48" s="24"/>
      <c r="B48" s="28">
        <v>3</v>
      </c>
      <c r="C48" s="40">
        <f t="shared" si="2"/>
        <v>4937863.1805621143</v>
      </c>
      <c r="D48" s="40">
        <f t="shared" si="3"/>
        <v>7280218.5328278262</v>
      </c>
      <c r="E48" s="40">
        <f t="shared" si="3"/>
        <v>7761059.11764865</v>
      </c>
      <c r="F48" s="40">
        <f t="shared" si="3"/>
        <v>8070594.5036562011</v>
      </c>
      <c r="G48" s="40">
        <f t="shared" si="3"/>
        <v>8357686.8388847765</v>
      </c>
      <c r="H48" s="40">
        <f t="shared" si="3"/>
        <v>8508734.3164296784</v>
      </c>
      <c r="I48" s="40">
        <f t="shared" si="3"/>
        <v>8597298.6686612889</v>
      </c>
      <c r="J48" s="41"/>
      <c r="K48" s="41"/>
      <c r="L48" s="24"/>
      <c r="M48" s="24"/>
      <c r="N48" s="24"/>
      <c r="O48" s="24"/>
      <c r="P48" s="24"/>
      <c r="Q48" s="24"/>
      <c r="R48" s="24"/>
    </row>
    <row r="49" spans="1:18" x14ac:dyDescent="0.25">
      <c r="A49" s="24"/>
      <c r="B49" s="28">
        <v>4</v>
      </c>
      <c r="C49" s="40">
        <f t="shared" si="2"/>
        <v>4897019.6391870324</v>
      </c>
      <c r="D49" s="40">
        <f>C49+D35</f>
        <v>7246289.1684834082</v>
      </c>
      <c r="E49" s="40">
        <f>D49+E35</f>
        <v>7830052.6938192165</v>
      </c>
      <c r="F49" s="40">
        <f>E49+F35</f>
        <v>8169946.3043205123</v>
      </c>
      <c r="G49" s="40">
        <f>F49+G35</f>
        <v>8399470.4375268407</v>
      </c>
      <c r="H49" s="40">
        <f>G49+H35</f>
        <v>8553302.2388791312</v>
      </c>
      <c r="I49" s="41"/>
      <c r="J49" s="41"/>
      <c r="K49" s="41"/>
      <c r="L49" s="24"/>
      <c r="M49" s="24"/>
      <c r="N49" s="24"/>
      <c r="O49" s="24"/>
      <c r="P49" s="24"/>
      <c r="Q49" s="24"/>
      <c r="R49" s="24"/>
    </row>
    <row r="50" spans="1:18" x14ac:dyDescent="0.25">
      <c r="A50" s="24"/>
      <c r="B50" s="28">
        <v>5</v>
      </c>
      <c r="C50" s="40">
        <f t="shared" si="2"/>
        <v>5014791.9572833572</v>
      </c>
      <c r="D50" s="40">
        <f>C50+D36</f>
        <v>7473356.4843088966</v>
      </c>
      <c r="E50" s="40">
        <f>D50+E36</f>
        <v>8051605.7443632847</v>
      </c>
      <c r="F50" s="40">
        <f>E50+F36</f>
        <v>8381433.7919791909</v>
      </c>
      <c r="G50" s="40">
        <f>F50+G36</f>
        <v>8539007.495220311</v>
      </c>
      <c r="H50" s="41"/>
      <c r="I50" s="41"/>
      <c r="J50" s="41"/>
      <c r="K50" s="41"/>
      <c r="L50" s="24"/>
      <c r="M50" s="24"/>
      <c r="N50" s="24"/>
      <c r="O50" s="24"/>
      <c r="P50" s="24"/>
      <c r="Q50" s="24"/>
      <c r="R50" s="24"/>
    </row>
    <row r="51" spans="1:18" x14ac:dyDescent="0.25">
      <c r="A51" s="24"/>
      <c r="B51" s="28">
        <v>6</v>
      </c>
      <c r="C51" s="40">
        <f t="shared" si="2"/>
        <v>5289023.9552167226</v>
      </c>
      <c r="D51" s="40">
        <f>C51+D37</f>
        <v>7765443.9363761069</v>
      </c>
      <c r="E51" s="40">
        <f>D51+E37</f>
        <v>8242777.4404919678</v>
      </c>
      <c r="F51" s="40">
        <f>E51+F37</f>
        <v>8468153.0281122215</v>
      </c>
      <c r="G51" s="41"/>
      <c r="H51" s="41"/>
      <c r="I51" s="41"/>
      <c r="J51" s="41"/>
      <c r="K51" s="41"/>
      <c r="L51" s="24"/>
      <c r="M51" s="24"/>
      <c r="N51" s="24"/>
      <c r="O51" s="24"/>
      <c r="P51" s="24"/>
      <c r="Q51" s="24"/>
      <c r="R51" s="24"/>
    </row>
    <row r="52" spans="1:18" x14ac:dyDescent="0.25">
      <c r="A52" s="24"/>
      <c r="B52" s="28">
        <v>7</v>
      </c>
      <c r="C52" s="40">
        <f t="shared" si="2"/>
        <v>5361675.0260812119</v>
      </c>
      <c r="D52" s="40">
        <f>C52+D38</f>
        <v>7552270.4508919688</v>
      </c>
      <c r="E52" s="40">
        <f>D52+E38</f>
        <v>8066188.6737497589</v>
      </c>
      <c r="F52" s="41"/>
      <c r="G52" s="41"/>
      <c r="H52" s="41"/>
      <c r="I52" s="41"/>
      <c r="J52" s="41"/>
      <c r="K52" s="41"/>
      <c r="L52" s="24"/>
      <c r="M52" s="24"/>
      <c r="N52" s="24"/>
      <c r="O52" s="24"/>
      <c r="P52" s="24"/>
      <c r="Q52" s="24"/>
      <c r="R52" s="24"/>
    </row>
    <row r="53" spans="1:18" x14ac:dyDescent="0.25">
      <c r="A53" s="24"/>
      <c r="B53" s="28">
        <v>8</v>
      </c>
      <c r="C53" s="40">
        <f t="shared" si="2"/>
        <v>5311015.510566188</v>
      </c>
      <c r="D53" s="40">
        <f>C53+D39</f>
        <v>7383876.934500345</v>
      </c>
      <c r="E53" s="41"/>
      <c r="F53" s="41"/>
      <c r="G53" s="41"/>
      <c r="H53" s="41"/>
      <c r="I53" s="41"/>
      <c r="J53" s="41"/>
      <c r="K53" s="41"/>
      <c r="L53" s="24"/>
      <c r="M53" s="24"/>
      <c r="N53" s="24"/>
      <c r="O53" s="24"/>
      <c r="P53" s="24"/>
      <c r="Q53" s="24"/>
      <c r="R53" s="24"/>
    </row>
    <row r="54" spans="1:18" x14ac:dyDescent="0.25">
      <c r="A54" s="24"/>
      <c r="B54" s="28">
        <v>9</v>
      </c>
      <c r="C54" s="40">
        <f>C40</f>
        <v>5299650.8412340274</v>
      </c>
      <c r="D54" s="43"/>
      <c r="E54" s="43"/>
      <c r="F54" s="43"/>
      <c r="G54" s="43"/>
      <c r="H54" s="43"/>
      <c r="I54" s="43"/>
      <c r="J54" s="43"/>
      <c r="K54" s="43"/>
      <c r="L54" s="24"/>
      <c r="M54" s="24"/>
      <c r="N54" s="24"/>
      <c r="O54" s="24"/>
      <c r="P54" s="24"/>
      <c r="Q54" s="24"/>
      <c r="R54" s="24"/>
    </row>
    <row r="55" spans="1:18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</row>
    <row r="56" spans="1:18" x14ac:dyDescent="0.25">
      <c r="A56" s="24"/>
      <c r="B56" s="24"/>
      <c r="C56" s="28" t="s">
        <v>51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</row>
    <row r="57" spans="1:18" x14ac:dyDescent="0.25">
      <c r="A57" s="24"/>
      <c r="B57" s="44" t="s">
        <v>70</v>
      </c>
      <c r="C57" s="45">
        <f>SUM(D45:D53)/SUM(C45:C53)</f>
        <v>1.4538370151276416</v>
      </c>
      <c r="D57" s="45">
        <f>SUM(E45:E52)/SUM(D45:D52)</f>
        <v>1.0738503700731286</v>
      </c>
      <c r="E57" s="45">
        <f>SUM(F45:F51)/SUM(E45:E51)</f>
        <v>1.0364907195313748</v>
      </c>
      <c r="F57" s="45">
        <f>SUM(G45:G50)/SUM(F45:F50)</f>
        <v>1.0235139493552665</v>
      </c>
      <c r="G57" s="45">
        <f>SUM(H45:H49)/SUM(G45:G49)</f>
        <v>1.0155511477960275</v>
      </c>
      <c r="H57" s="45">
        <f>SUM(I45:I48)/SUM(H45:H48)</f>
        <v>1.0093016313257899</v>
      </c>
      <c r="I57" s="45">
        <f>SUM(J45:J47)/SUM(I45:I47)</f>
        <v>1.0081374615625842</v>
      </c>
      <c r="J57" s="45">
        <f>SUM(K45:K46)/SUM(J45:J46)</f>
        <v>1.0071027793074627</v>
      </c>
      <c r="K57" s="45">
        <f>SUM(L45)/SUM(K45)</f>
        <v>1.0095127449174679</v>
      </c>
      <c r="L57" s="46"/>
      <c r="M57" s="24"/>
      <c r="N57" s="24"/>
      <c r="O57" s="24"/>
      <c r="P57" s="24"/>
      <c r="Q57" s="24"/>
      <c r="R57" s="24"/>
    </row>
    <row r="58" spans="1:18" x14ac:dyDescent="0.25">
      <c r="A58" s="24"/>
      <c r="B58" s="44" t="s">
        <v>71</v>
      </c>
      <c r="C58" s="45">
        <f>C57*D58</f>
        <v>1.7399902200848456</v>
      </c>
      <c r="D58" s="45">
        <f t="shared" ref="D58:I58" si="4">D57*E58</f>
        <v>1.1968261930186725</v>
      </c>
      <c r="E58" s="45">
        <f>E57*F58</f>
        <v>1.1145185831962505</v>
      </c>
      <c r="F58" s="45">
        <f>F57*G58</f>
        <v>1.0752808126445688</v>
      </c>
      <c r="G58" s="45">
        <f t="shared" si="4"/>
        <v>1.0505775845281946</v>
      </c>
      <c r="H58" s="45">
        <f t="shared" si="4"/>
        <v>1.0344900764557081</v>
      </c>
      <c r="I58" s="45">
        <f t="shared" si="4"/>
        <v>1.024956310728272</v>
      </c>
      <c r="J58" s="45">
        <f>K58*J57</f>
        <v>1.0166830911526876</v>
      </c>
      <c r="K58" s="45">
        <f>K57</f>
        <v>1.0095127449174679</v>
      </c>
      <c r="L58" s="46"/>
      <c r="M58" s="24"/>
      <c r="N58" s="24"/>
      <c r="O58" s="24"/>
      <c r="P58" s="24"/>
      <c r="Q58" s="24"/>
      <c r="R58" s="24"/>
    </row>
    <row r="59" spans="1:18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46"/>
      <c r="L59" s="24"/>
      <c r="M59" s="24"/>
      <c r="N59" s="24"/>
      <c r="O59" s="24"/>
      <c r="P59" s="24"/>
      <c r="Q59" s="24"/>
      <c r="R59" s="24"/>
    </row>
    <row r="60" spans="1:18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46"/>
      <c r="L60" s="24"/>
      <c r="M60" s="24"/>
      <c r="N60" s="24"/>
      <c r="O60" s="24"/>
      <c r="P60" s="24"/>
      <c r="Q60" s="24"/>
      <c r="R60" s="24"/>
    </row>
    <row r="61" spans="1:18" x14ac:dyDescent="0.25">
      <c r="A61" s="24"/>
      <c r="B61" s="24"/>
      <c r="C61" s="42" t="s">
        <v>72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</row>
    <row r="62" spans="1:18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</row>
    <row r="63" spans="1:18" x14ac:dyDescent="0.25">
      <c r="A63" s="24"/>
      <c r="B63" s="24"/>
      <c r="C63" s="28">
        <v>0</v>
      </c>
      <c r="D63" s="28">
        <v>1</v>
      </c>
      <c r="E63" s="28">
        <v>2</v>
      </c>
      <c r="F63" s="28">
        <v>3</v>
      </c>
      <c r="G63" s="28">
        <v>4</v>
      </c>
      <c r="H63" s="28">
        <v>5</v>
      </c>
      <c r="I63" s="28">
        <v>6</v>
      </c>
      <c r="J63" s="28">
        <v>7</v>
      </c>
      <c r="K63" s="28">
        <v>8</v>
      </c>
      <c r="L63" s="28">
        <v>9</v>
      </c>
      <c r="M63" s="24"/>
      <c r="N63" s="24"/>
      <c r="O63" s="24"/>
      <c r="P63" s="24"/>
      <c r="Q63" s="24"/>
      <c r="R63" s="24"/>
    </row>
    <row r="64" spans="1:18" x14ac:dyDescent="0.25">
      <c r="A64" s="24"/>
      <c r="B64" s="28">
        <v>0</v>
      </c>
      <c r="C64" s="40">
        <f t="shared" ref="C64:J69" si="5">D64/C$57</f>
        <v>5653414.0586326094</v>
      </c>
      <c r="D64" s="40">
        <f t="shared" si="5"/>
        <v>8219142.6202830784</v>
      </c>
      <c r="E64" s="40">
        <f t="shared" si="5"/>
        <v>8826129.3444748074</v>
      </c>
      <c r="F64" s="40">
        <f t="shared" si="5"/>
        <v>9148201.1549316756</v>
      </c>
      <c r="G64" s="40">
        <f t="shared" si="5"/>
        <v>9363311.4935805295</v>
      </c>
      <c r="H64" s="40">
        <f t="shared" si="5"/>
        <v>9508921.7344774436</v>
      </c>
      <c r="I64" s="40">
        <f t="shared" si="5"/>
        <v>9597370.2187573425</v>
      </c>
      <c r="J64" s="40">
        <f t="shared" si="5"/>
        <v>9675468.4500143714</v>
      </c>
      <c r="K64" s="40">
        <f>L64/$K$57</f>
        <v>9744191.1671111416</v>
      </c>
      <c r="L64" s="40">
        <f>L45</f>
        <v>9836885.1721109133</v>
      </c>
      <c r="M64" s="24"/>
      <c r="N64" s="24"/>
      <c r="O64" s="24"/>
      <c r="P64" s="24"/>
      <c r="Q64" s="24"/>
      <c r="R64" s="24"/>
    </row>
    <row r="65" spans="1:18" x14ac:dyDescent="0.25">
      <c r="A65" s="24"/>
      <c r="B65" s="28">
        <v>1</v>
      </c>
      <c r="C65" s="40">
        <f t="shared" si="5"/>
        <v>5356326.712300295</v>
      </c>
      <c r="D65" s="40">
        <f t="shared" si="5"/>
        <v>7787226.0394591149</v>
      </c>
      <c r="E65" s="40">
        <f t="shared" si="5"/>
        <v>8362315.5643162737</v>
      </c>
      <c r="F65" s="40">
        <f t="shared" si="5"/>
        <v>8667462.4762065895</v>
      </c>
      <c r="G65" s="40">
        <f t="shared" si="5"/>
        <v>8871268.7499107849</v>
      </c>
      <c r="H65" s="40">
        <f t="shared" si="5"/>
        <v>9009227.1613789275</v>
      </c>
      <c r="I65" s="40">
        <f t="shared" si="5"/>
        <v>9093027.6709643658</v>
      </c>
      <c r="J65" s="40">
        <f t="shared" si="5"/>
        <v>9167021.8341243528</v>
      </c>
      <c r="K65" s="40">
        <f>K46</f>
        <v>9232133.1671188306</v>
      </c>
      <c r="L65" s="47">
        <f>K65*$K$57</f>
        <v>9319956.0949817263</v>
      </c>
      <c r="M65" s="24"/>
      <c r="N65" s="24"/>
      <c r="O65" s="24"/>
      <c r="P65" s="24"/>
      <c r="Q65" s="24"/>
      <c r="R65" s="24"/>
    </row>
    <row r="66" spans="1:18" x14ac:dyDescent="0.25">
      <c r="A66" s="24"/>
      <c r="B66" s="28">
        <v>2</v>
      </c>
      <c r="C66" s="40">
        <f t="shared" si="5"/>
        <v>5136143.6044219676</v>
      </c>
      <c r="D66" s="40">
        <f t="shared" si="5"/>
        <v>7467115.6871197596</v>
      </c>
      <c r="E66" s="40">
        <f t="shared" si="5"/>
        <v>8018564.9439924173</v>
      </c>
      <c r="F66" s="40">
        <f t="shared" si="5"/>
        <v>8311168.1484077591</v>
      </c>
      <c r="G66" s="40">
        <f t="shared" si="5"/>
        <v>8506596.5353325233</v>
      </c>
      <c r="H66" s="40">
        <f t="shared" si="5"/>
        <v>8638883.8752946556</v>
      </c>
      <c r="I66" s="40">
        <f t="shared" si="5"/>
        <v>8719239.5881689582</v>
      </c>
      <c r="J66" s="40">
        <f>J47</f>
        <v>8790192.0651726462</v>
      </c>
      <c r="K66" s="47">
        <f t="shared" ref="K66:L73" si="6">J66*J$57</f>
        <v>8852626.859481778</v>
      </c>
      <c r="L66" s="47">
        <f t="shared" ref="L66:L73" si="7">K66*$K$57</f>
        <v>8936839.6406455524</v>
      </c>
      <c r="M66" s="24"/>
      <c r="N66" s="24"/>
      <c r="O66" s="24"/>
      <c r="P66" s="24"/>
      <c r="Q66" s="24"/>
      <c r="R66" s="24"/>
    </row>
    <row r="67" spans="1:18" x14ac:dyDescent="0.25">
      <c r="A67" s="24"/>
      <c r="B67" s="28">
        <v>3</v>
      </c>
      <c r="C67" s="40">
        <f t="shared" si="5"/>
        <v>5064313.2495483067</v>
      </c>
      <c r="D67" s="40">
        <f t="shared" si="5"/>
        <v>7362686.0583946779</v>
      </c>
      <c r="E67" s="40">
        <f t="shared" si="5"/>
        <v>7906423.1485393895</v>
      </c>
      <c r="F67" s="40">
        <f t="shared" si="5"/>
        <v>8194934.2181491097</v>
      </c>
      <c r="G67" s="40">
        <f t="shared" si="5"/>
        <v>8387629.4863244081</v>
      </c>
      <c r="H67" s="40">
        <f t="shared" si="5"/>
        <v>8518066.7521245573</v>
      </c>
      <c r="I67" s="40">
        <f>I48</f>
        <v>8597298.6686612889</v>
      </c>
      <c r="J67" s="47">
        <f t="shared" ref="J67:J73" si="8">I67*I$57</f>
        <v>8667258.8561195768</v>
      </c>
      <c r="K67" s="47">
        <f t="shared" si="6"/>
        <v>8728820.4829752464</v>
      </c>
      <c r="L67" s="47">
        <f t="shared" si="7"/>
        <v>8811855.5256601591</v>
      </c>
      <c r="M67" s="24"/>
      <c r="N67" s="24"/>
      <c r="O67" s="24"/>
      <c r="P67" s="24"/>
      <c r="Q67" s="24"/>
      <c r="R67" s="24"/>
    </row>
    <row r="68" spans="1:18" x14ac:dyDescent="0.25">
      <c r="A68" s="24"/>
      <c r="B68" s="28">
        <v>4</v>
      </c>
      <c r="C68" s="40">
        <f t="shared" si="5"/>
        <v>5085262.0807347922</v>
      </c>
      <c r="D68" s="40">
        <f t="shared" si="5"/>
        <v>7393142.2445972506</v>
      </c>
      <c r="E68" s="40">
        <f t="shared" si="5"/>
        <v>7939128.5353640383</v>
      </c>
      <c r="F68" s="40">
        <f t="shared" si="5"/>
        <v>8228833.0480715418</v>
      </c>
      <c r="G68" s="40">
        <f t="shared" si="5"/>
        <v>8422325.4116168395</v>
      </c>
      <c r="H68" s="40">
        <f>H49</f>
        <v>8553302.2388791312</v>
      </c>
      <c r="I68" s="47">
        <f t="shared" ref="I68:I71" si="9">H68*H$57</f>
        <v>8632861.9029232375</v>
      </c>
      <c r="J68" s="47">
        <f t="shared" si="8"/>
        <v>8703111.4848333728</v>
      </c>
      <c r="K68" s="47">
        <f t="shared" si="6"/>
        <v>8764927.7649983875</v>
      </c>
      <c r="L68" s="47">
        <f t="shared" si="7"/>
        <v>8848306.2870468497</v>
      </c>
      <c r="M68" s="24"/>
      <c r="N68" s="24"/>
      <c r="O68" s="24"/>
      <c r="P68" s="24"/>
      <c r="Q68" s="24"/>
      <c r="R68" s="24"/>
    </row>
    <row r="69" spans="1:18" x14ac:dyDescent="0.25">
      <c r="A69" s="24"/>
      <c r="B69" s="28">
        <v>5</v>
      </c>
      <c r="C69" s="40">
        <f>D69/C$57</f>
        <v>5155712.8109371001</v>
      </c>
      <c r="D69" s="40">
        <f>E69/D$57</f>
        <v>7495566.123908137</v>
      </c>
      <c r="E69" s="40">
        <f>F69/E$57</f>
        <v>8049116.4560663588</v>
      </c>
      <c r="F69" s="40">
        <f t="shared" si="5"/>
        <v>8342834.5071400497</v>
      </c>
      <c r="G69" s="40">
        <f>G50</f>
        <v>8539007.495220311</v>
      </c>
      <c r="H69" s="47">
        <f>G69*G$57</f>
        <v>8671798.8628098685</v>
      </c>
      <c r="I69" s="47">
        <f t="shared" si="9"/>
        <v>8752460.7387631293</v>
      </c>
      <c r="J69" s="47">
        <f t="shared" si="8"/>
        <v>8823683.5516028423</v>
      </c>
      <c r="K69" s="47">
        <f t="shared" si="6"/>
        <v>8886356.228548767</v>
      </c>
      <c r="L69" s="47">
        <f t="shared" si="7"/>
        <v>8970889.8685967028</v>
      </c>
      <c r="M69" s="24"/>
      <c r="N69" s="24"/>
      <c r="O69" s="24"/>
      <c r="P69" s="24"/>
      <c r="Q69" s="24"/>
      <c r="R69" s="24"/>
    </row>
    <row r="70" spans="1:18" x14ac:dyDescent="0.25">
      <c r="A70" s="24"/>
      <c r="B70" s="28">
        <v>6</v>
      </c>
      <c r="C70" s="40">
        <f>D70/C$57</f>
        <v>5233157.2698282553</v>
      </c>
      <c r="D70" s="40">
        <f t="shared" ref="D70:E71" si="10">E70/D$57</f>
        <v>7608157.7448606286</v>
      </c>
      <c r="E70" s="40">
        <f t="shared" si="10"/>
        <v>8170023.0098933252</v>
      </c>
      <c r="F70" s="40">
        <f>F51</f>
        <v>8468153.0281122215</v>
      </c>
      <c r="G70" s="47">
        <f>F70*F$57</f>
        <v>8667272.7495478988</v>
      </c>
      <c r="H70" s="47">
        <f>G70*G$57</f>
        <v>8802058.7890645992</v>
      </c>
      <c r="I70" s="47">
        <f t="shared" si="9"/>
        <v>8883932.2948284075</v>
      </c>
      <c r="J70" s="47">
        <f t="shared" si="8"/>
        <v>8956224.9524021745</v>
      </c>
      <c r="K70" s="47">
        <f t="shared" si="6"/>
        <v>9019839.0416670777</v>
      </c>
      <c r="L70" s="47">
        <f t="shared" si="7"/>
        <v>9105642.4696670752</v>
      </c>
      <c r="M70" s="24"/>
      <c r="N70" s="24"/>
      <c r="O70" s="24"/>
      <c r="P70" s="24"/>
      <c r="Q70" s="24"/>
      <c r="R70" s="24"/>
    </row>
    <row r="71" spans="1:18" x14ac:dyDescent="0.25">
      <c r="A71" s="24"/>
      <c r="B71" s="28">
        <v>7</v>
      </c>
      <c r="C71" s="40">
        <f>D71/C$57</f>
        <v>5166648.1045065047</v>
      </c>
      <c r="D71" s="40">
        <f t="shared" si="10"/>
        <v>7511464.2584706247</v>
      </c>
      <c r="E71" s="40">
        <f>E52</f>
        <v>8066188.6737497589</v>
      </c>
      <c r="F71" s="47">
        <f>E71*E$57</f>
        <v>8360529.7023307141</v>
      </c>
      <c r="G71" s="47">
        <f>F71*F$57</f>
        <v>8557118.7743345201</v>
      </c>
      <c r="H71" s="47">
        <f>G71*G$57</f>
        <v>8690191.7931023575</v>
      </c>
      <c r="I71" s="47">
        <f t="shared" si="9"/>
        <v>8771024.7533122003</v>
      </c>
      <c r="J71" s="47">
        <f t="shared" si="8"/>
        <v>8842398.6301067527</v>
      </c>
      <c r="K71" s="47">
        <f t="shared" si="6"/>
        <v>8905204.236125011</v>
      </c>
      <c r="L71" s="47">
        <f t="shared" si="7"/>
        <v>8989917.1724612229</v>
      </c>
      <c r="M71" s="24"/>
      <c r="N71" s="24"/>
      <c r="O71" s="24"/>
      <c r="P71" s="24"/>
      <c r="Q71" s="24"/>
      <c r="R71" s="24"/>
    </row>
    <row r="72" spans="1:18" x14ac:dyDescent="0.25">
      <c r="A72" s="24"/>
      <c r="B72" s="28">
        <v>8</v>
      </c>
      <c r="C72" s="40">
        <f>D72/C$57</f>
        <v>5078889.0760578597</v>
      </c>
      <c r="D72" s="40">
        <f>D53</f>
        <v>7383876.934500345</v>
      </c>
      <c r="E72" s="47">
        <f>D72*D$57</f>
        <v>7929178.9786876338</v>
      </c>
      <c r="F72" s="47">
        <f>E72*E$57</f>
        <v>8218520.4249129975</v>
      </c>
      <c r="G72" s="47">
        <f>F72*F$57</f>
        <v>8411770.2979596257</v>
      </c>
      <c r="H72" s="47">
        <f>G72*G$57</f>
        <v>8542582.9810894299</v>
      </c>
      <c r="I72" s="47">
        <f>H72*H$57</f>
        <v>8622042.9385494906</v>
      </c>
      <c r="J72" s="47">
        <f t="shared" si="8"/>
        <v>8692204.4815528877</v>
      </c>
      <c r="K72" s="47">
        <f t="shared" si="6"/>
        <v>8753943.2916806955</v>
      </c>
      <c r="L72" s="47">
        <f t="shared" si="6"/>
        <v>8837217.3212364335</v>
      </c>
      <c r="M72" s="24"/>
      <c r="N72" s="24"/>
      <c r="O72" s="24"/>
      <c r="P72" s="24"/>
      <c r="Q72" s="24"/>
      <c r="R72" s="24"/>
    </row>
    <row r="73" spans="1:18" x14ac:dyDescent="0.25">
      <c r="A73" s="24"/>
      <c r="B73" s="28">
        <v>9</v>
      </c>
      <c r="C73" s="40">
        <f>C54</f>
        <v>5299650.8412340274</v>
      </c>
      <c r="D73" s="47">
        <f>C73*C57</f>
        <v>7704828.5602383735</v>
      </c>
      <c r="E73" s="47">
        <f>D73*$D$57</f>
        <v>8273833.0007619876</v>
      </c>
      <c r="F73" s="47">
        <f>E73*E$57</f>
        <v>8575751.1202422269</v>
      </c>
      <c r="G73" s="47">
        <f>F73*F$57</f>
        <v>8777400.897766972</v>
      </c>
      <c r="H73" s="47">
        <f>G73*G$57</f>
        <v>8913899.5563931316</v>
      </c>
      <c r="I73" s="47">
        <f>H73*H$57</f>
        <v>8996813.3637418225</v>
      </c>
      <c r="J73" s="47">
        <f t="shared" si="8"/>
        <v>9070024.5866750162</v>
      </c>
      <c r="K73" s="47">
        <f t="shared" si="6"/>
        <v>9134446.9696274288</v>
      </c>
      <c r="L73" s="47">
        <f t="shared" si="7"/>
        <v>9221340.6336116325</v>
      </c>
      <c r="M73" s="24"/>
      <c r="N73" s="24"/>
      <c r="O73" s="24"/>
      <c r="P73" s="24"/>
      <c r="Q73" s="24"/>
      <c r="R73" s="24"/>
    </row>
    <row r="74" spans="1:18" x14ac:dyDescent="0.25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</row>
    <row r="75" spans="1:18" x14ac:dyDescent="0.25">
      <c r="A75" s="24"/>
      <c r="B75" s="24"/>
      <c r="C75" s="28" t="s">
        <v>73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</row>
    <row r="76" spans="1:18" x14ac:dyDescent="0.25">
      <c r="A76" s="24"/>
      <c r="B76" s="44" t="s">
        <v>70</v>
      </c>
      <c r="C76" s="45">
        <f>SUM(D64:D71)/SUM(C64:C71)</f>
        <v>1.4538370151276414</v>
      </c>
      <c r="D76" s="45">
        <f>SUM(E64:E70)/SUM(D64:D70)</f>
        <v>1.0738503700731286</v>
      </c>
      <c r="E76" s="45">
        <f>SUM(F64:F69)/SUM(E64:E69)</f>
        <v>1.0364907195313748</v>
      </c>
      <c r="F76" s="45">
        <f>SUM(G64:G68)/SUM(F64:F68)</f>
        <v>1.0235139493552665</v>
      </c>
      <c r="G76" s="45">
        <f>SUM(H64:H67)/SUM(G64:G67)</f>
        <v>1.0155511477960275</v>
      </c>
      <c r="H76" s="45">
        <f>SUM(I64:I66)/SUM(H64:H66)</f>
        <v>1.0093016313257896</v>
      </c>
      <c r="I76" s="45">
        <f>SUM(J64:J65)/SUM(I64:I65)</f>
        <v>1.0081374615625844</v>
      </c>
      <c r="J76" s="45">
        <f>SUM(K64:K64)/SUM(J64:J64)</f>
        <v>1.0071027793074627</v>
      </c>
      <c r="K76" s="45">
        <f>SUM(L64)/SUM(K64)</f>
        <v>1.0095127449174679</v>
      </c>
      <c r="L76" s="24"/>
      <c r="M76" s="24"/>
      <c r="N76" s="24"/>
      <c r="O76" s="24"/>
      <c r="P76" s="24"/>
      <c r="Q76" s="24"/>
      <c r="R76" s="24"/>
    </row>
    <row r="77" spans="1:18" x14ac:dyDescent="0.25">
      <c r="A77" s="24"/>
      <c r="B77" s="44" t="s">
        <v>71</v>
      </c>
      <c r="C77" s="45">
        <f>C76*D77</f>
        <v>1.7399902200848454</v>
      </c>
      <c r="D77" s="45">
        <f t="shared" ref="D77:I77" si="11">D76*E77</f>
        <v>1.1968261930186725</v>
      </c>
      <c r="E77" s="45">
        <f>E76*F77</f>
        <v>1.1145185831962505</v>
      </c>
      <c r="F77" s="45">
        <f>F76*G77</f>
        <v>1.0752808126445688</v>
      </c>
      <c r="G77" s="45">
        <f t="shared" si="11"/>
        <v>1.0505775845281946</v>
      </c>
      <c r="H77" s="45">
        <f t="shared" si="11"/>
        <v>1.0344900764557081</v>
      </c>
      <c r="I77" s="45">
        <f t="shared" si="11"/>
        <v>1.0249563107282722</v>
      </c>
      <c r="J77" s="45">
        <f>K76*J76</f>
        <v>1.0166830911526876</v>
      </c>
      <c r="K77" s="45">
        <f>K76</f>
        <v>1.0095127449174679</v>
      </c>
      <c r="L77" s="24"/>
      <c r="M77" s="24"/>
      <c r="N77" s="24"/>
      <c r="O77" s="24"/>
      <c r="P77" s="24"/>
      <c r="Q77" s="24"/>
      <c r="R77" s="24"/>
    </row>
    <row r="78" spans="1:18" x14ac:dyDescent="0.25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</row>
    <row r="79" spans="1:18" x14ac:dyDescent="0.25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</row>
    <row r="80" spans="1:18" x14ac:dyDescent="0.25">
      <c r="A80" s="24"/>
      <c r="B80" s="24"/>
      <c r="C80" s="42" t="s">
        <v>74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</row>
    <row r="81" spans="1:18" x14ac:dyDescent="0.2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</row>
    <row r="82" spans="1:18" x14ac:dyDescent="0.25">
      <c r="A82" s="24"/>
      <c r="B82" s="24"/>
      <c r="C82" s="28">
        <v>0</v>
      </c>
      <c r="D82" s="28">
        <v>1</v>
      </c>
      <c r="E82" s="28">
        <v>2</v>
      </c>
      <c r="F82" s="28">
        <v>3</v>
      </c>
      <c r="G82" s="28">
        <v>4</v>
      </c>
      <c r="H82" s="28">
        <v>5</v>
      </c>
      <c r="I82" s="28">
        <v>6</v>
      </c>
      <c r="J82" s="28">
        <v>7</v>
      </c>
      <c r="K82" s="28">
        <v>8</v>
      </c>
      <c r="L82" s="28">
        <v>9</v>
      </c>
      <c r="M82" s="24"/>
      <c r="N82" s="28" t="s">
        <v>75</v>
      </c>
      <c r="O82" s="24"/>
      <c r="P82" s="24"/>
      <c r="Q82" s="24"/>
      <c r="R82" s="24"/>
    </row>
    <row r="83" spans="1:18" x14ac:dyDescent="0.25">
      <c r="A83" s="24"/>
      <c r="B83" s="28">
        <v>0</v>
      </c>
      <c r="C83" s="40">
        <f t="shared" ref="C83:C91" si="12">C64</f>
        <v>5653414.0586326094</v>
      </c>
      <c r="D83" s="40">
        <f t="shared" ref="D83:L92" si="13">D64-C64</f>
        <v>2565728.561650469</v>
      </c>
      <c r="E83" s="40">
        <f t="shared" si="13"/>
        <v>606986.72419172898</v>
      </c>
      <c r="F83" s="40">
        <f t="shared" si="13"/>
        <v>322071.81045686826</v>
      </c>
      <c r="G83" s="40">
        <f t="shared" si="13"/>
        <v>215110.33864885382</v>
      </c>
      <c r="H83" s="40">
        <f t="shared" si="13"/>
        <v>145610.24089691415</v>
      </c>
      <c r="I83" s="40">
        <f t="shared" si="13"/>
        <v>88448.484279898927</v>
      </c>
      <c r="J83" s="40">
        <f t="shared" si="13"/>
        <v>78098.231257028878</v>
      </c>
      <c r="K83" s="40">
        <f t="shared" si="13"/>
        <v>68722.717096770182</v>
      </c>
      <c r="L83" s="40">
        <f>L64-K64</f>
        <v>92694.004999771714</v>
      </c>
      <c r="M83" s="24"/>
      <c r="N83" s="40">
        <v>0</v>
      </c>
      <c r="O83" s="24"/>
      <c r="P83" s="24"/>
      <c r="Q83" s="24"/>
      <c r="R83" s="24"/>
    </row>
    <row r="84" spans="1:18" x14ac:dyDescent="0.25">
      <c r="A84" s="24"/>
      <c r="B84" s="28">
        <v>1</v>
      </c>
      <c r="C84" s="40">
        <f t="shared" si="12"/>
        <v>5356326.712300295</v>
      </c>
      <c r="D84" s="40">
        <f t="shared" si="13"/>
        <v>2430899.3271588199</v>
      </c>
      <c r="E84" s="40">
        <f t="shared" si="13"/>
        <v>575089.52485715877</v>
      </c>
      <c r="F84" s="40">
        <f t="shared" si="13"/>
        <v>305146.91189031582</v>
      </c>
      <c r="G84" s="40">
        <f t="shared" si="13"/>
        <v>203806.2737041954</v>
      </c>
      <c r="H84" s="40">
        <f t="shared" si="13"/>
        <v>137958.41146814264</v>
      </c>
      <c r="I84" s="40">
        <f t="shared" si="13"/>
        <v>83800.509585438296</v>
      </c>
      <c r="J84" s="40">
        <f t="shared" si="13"/>
        <v>73994.163159986958</v>
      </c>
      <c r="K84" s="40">
        <f t="shared" si="13"/>
        <v>65111.332994477823</v>
      </c>
      <c r="L84" s="47">
        <f t="shared" si="13"/>
        <v>87822.927862895653</v>
      </c>
      <c r="M84" s="24"/>
      <c r="N84" s="40">
        <f>K85</f>
        <v>62434.794309131801</v>
      </c>
      <c r="O84" s="24"/>
      <c r="P84" s="24"/>
      <c r="Q84" s="24"/>
      <c r="R84" s="24"/>
    </row>
    <row r="85" spans="1:18" x14ac:dyDescent="0.25">
      <c r="A85" s="24"/>
      <c r="B85" s="28">
        <v>2</v>
      </c>
      <c r="C85" s="40">
        <f t="shared" si="12"/>
        <v>5136143.6044219676</v>
      </c>
      <c r="D85" s="40">
        <f t="shared" si="13"/>
        <v>2330972.082697792</v>
      </c>
      <c r="E85" s="40">
        <f t="shared" si="13"/>
        <v>551449.25687265769</v>
      </c>
      <c r="F85" s="40">
        <f t="shared" si="13"/>
        <v>292603.20441534184</v>
      </c>
      <c r="G85" s="40">
        <f t="shared" si="13"/>
        <v>195428.38692476414</v>
      </c>
      <c r="H85" s="40">
        <f t="shared" si="13"/>
        <v>132287.33996213228</v>
      </c>
      <c r="I85" s="40">
        <f t="shared" si="13"/>
        <v>80355.712874302641</v>
      </c>
      <c r="J85" s="40">
        <f t="shared" si="13"/>
        <v>70952.477003687993</v>
      </c>
      <c r="K85" s="47">
        <f t="shared" si="13"/>
        <v>62434.794309131801</v>
      </c>
      <c r="L85" s="47">
        <f t="shared" si="13"/>
        <v>84212.781163774431</v>
      </c>
      <c r="M85" s="24"/>
      <c r="N85" s="40">
        <f>SUM(K85:L85)</f>
        <v>146647.57547290623</v>
      </c>
      <c r="O85" s="24"/>
      <c r="P85" s="24"/>
      <c r="Q85" s="24"/>
      <c r="R85" s="24"/>
    </row>
    <row r="86" spans="1:18" x14ac:dyDescent="0.25">
      <c r="A86" s="24"/>
      <c r="B86" s="28">
        <v>3</v>
      </c>
      <c r="C86" s="40">
        <f t="shared" si="12"/>
        <v>5064313.2495483067</v>
      </c>
      <c r="D86" s="40">
        <f t="shared" si="13"/>
        <v>2298372.8088463712</v>
      </c>
      <c r="E86" s="40">
        <f t="shared" si="13"/>
        <v>543737.09014471155</v>
      </c>
      <c r="F86" s="40">
        <f t="shared" si="13"/>
        <v>288511.06960972026</v>
      </c>
      <c r="G86" s="40">
        <f t="shared" si="13"/>
        <v>192695.26817529835</v>
      </c>
      <c r="H86" s="40">
        <f t="shared" si="13"/>
        <v>130437.26580014918</v>
      </c>
      <c r="I86" s="40">
        <f t="shared" si="13"/>
        <v>79231.916536731645</v>
      </c>
      <c r="J86" s="47">
        <f t="shared" si="13"/>
        <v>69960.187458287925</v>
      </c>
      <c r="K86" s="47">
        <f t="shared" si="13"/>
        <v>61561.626855669543</v>
      </c>
      <c r="L86" s="47">
        <f t="shared" si="13"/>
        <v>83035.042684912682</v>
      </c>
      <c r="M86" s="24"/>
      <c r="N86" s="40">
        <f>SUM(J86:L86)</f>
        <v>214556.85699887015</v>
      </c>
      <c r="O86" s="24"/>
      <c r="P86" s="24"/>
      <c r="Q86" s="24"/>
      <c r="R86" s="24"/>
    </row>
    <row r="87" spans="1:18" x14ac:dyDescent="0.25">
      <c r="A87" s="24"/>
      <c r="B87" s="28">
        <v>4</v>
      </c>
      <c r="C87" s="40">
        <f t="shared" si="12"/>
        <v>5085262.0807347922</v>
      </c>
      <c r="D87" s="40">
        <f t="shared" si="13"/>
        <v>2307880.1638624584</v>
      </c>
      <c r="E87" s="40">
        <f t="shared" si="13"/>
        <v>545986.29076678772</v>
      </c>
      <c r="F87" s="40">
        <f t="shared" si="13"/>
        <v>289704.51270750351</v>
      </c>
      <c r="G87" s="40">
        <f t="shared" si="13"/>
        <v>193492.36354529765</v>
      </c>
      <c r="H87" s="40">
        <f t="shared" si="13"/>
        <v>130976.82726229168</v>
      </c>
      <c r="I87" s="47">
        <f t="shared" si="13"/>
        <v>79559.664044106379</v>
      </c>
      <c r="J87" s="47">
        <f t="shared" si="13"/>
        <v>70249.581910135224</v>
      </c>
      <c r="K87" s="47">
        <f t="shared" si="13"/>
        <v>61816.280165014789</v>
      </c>
      <c r="L87" s="47">
        <f t="shared" si="13"/>
        <v>83378.522048462182</v>
      </c>
      <c r="M87" s="24"/>
      <c r="N87" s="40">
        <f>SUM(I87:L87)</f>
        <v>295004.04816771857</v>
      </c>
      <c r="O87" s="24"/>
      <c r="P87" s="24"/>
      <c r="Q87" s="24"/>
      <c r="R87" s="24"/>
    </row>
    <row r="88" spans="1:18" x14ac:dyDescent="0.25">
      <c r="A88" s="24"/>
      <c r="B88" s="28">
        <v>5</v>
      </c>
      <c r="C88" s="40">
        <f t="shared" si="12"/>
        <v>5155712.8109371001</v>
      </c>
      <c r="D88" s="40">
        <f t="shared" si="13"/>
        <v>2339853.3129710369</v>
      </c>
      <c r="E88" s="40">
        <f t="shared" si="13"/>
        <v>553550.33215822186</v>
      </c>
      <c r="F88" s="40">
        <f t="shared" si="13"/>
        <v>293718.05107369088</v>
      </c>
      <c r="G88" s="40">
        <f t="shared" si="13"/>
        <v>196172.98808026128</v>
      </c>
      <c r="H88" s="47">
        <f t="shared" si="13"/>
        <v>132791.36758955754</v>
      </c>
      <c r="I88" s="47">
        <f t="shared" si="13"/>
        <v>80661.875953260809</v>
      </c>
      <c r="J88" s="47">
        <f t="shared" si="13"/>
        <v>71222.812839712948</v>
      </c>
      <c r="K88" s="47">
        <f t="shared" si="13"/>
        <v>62672.676945924759</v>
      </c>
      <c r="L88" s="47">
        <f t="shared" si="13"/>
        <v>84533.640047935769</v>
      </c>
      <c r="M88" s="24"/>
      <c r="N88" s="40">
        <f>SUM(H88:L88)</f>
        <v>431882.37337639183</v>
      </c>
      <c r="O88" s="24"/>
      <c r="P88" s="24"/>
      <c r="Q88" s="24"/>
      <c r="R88" s="24"/>
    </row>
    <row r="89" spans="1:18" x14ac:dyDescent="0.25">
      <c r="A89" s="24"/>
      <c r="B89" s="28">
        <v>6</v>
      </c>
      <c r="C89" s="40">
        <f t="shared" si="12"/>
        <v>5233157.2698282553</v>
      </c>
      <c r="D89" s="40">
        <f t="shared" si="13"/>
        <v>2375000.4750323733</v>
      </c>
      <c r="E89" s="40">
        <f t="shared" si="13"/>
        <v>561865.26503269654</v>
      </c>
      <c r="F89" s="40">
        <f t="shared" si="13"/>
        <v>298130.01821889635</v>
      </c>
      <c r="G89" s="47">
        <f t="shared" si="13"/>
        <v>199119.72143567726</v>
      </c>
      <c r="H89" s="47">
        <f t="shared" si="13"/>
        <v>134786.03951670043</v>
      </c>
      <c r="I89" s="47">
        <f t="shared" si="13"/>
        <v>81873.505763808265</v>
      </c>
      <c r="J89" s="47">
        <f t="shared" si="13"/>
        <v>72292.657573767006</v>
      </c>
      <c r="K89" s="47">
        <f t="shared" si="13"/>
        <v>63614.089264903218</v>
      </c>
      <c r="L89" s="47">
        <f t="shared" si="13"/>
        <v>85803.427999997512</v>
      </c>
      <c r="M89" s="24"/>
      <c r="N89" s="40">
        <f>SUM(G89:L89)</f>
        <v>637489.44155485369</v>
      </c>
      <c r="O89" s="24"/>
      <c r="P89" s="24"/>
      <c r="Q89" s="24"/>
      <c r="R89" s="24"/>
    </row>
    <row r="90" spans="1:18" x14ac:dyDescent="0.25">
      <c r="A90" s="24"/>
      <c r="B90" s="28">
        <v>7</v>
      </c>
      <c r="C90" s="40">
        <f t="shared" si="12"/>
        <v>5166648.1045065047</v>
      </c>
      <c r="D90" s="40">
        <f t="shared" si="13"/>
        <v>2344816.15396412</v>
      </c>
      <c r="E90" s="40">
        <f t="shared" si="13"/>
        <v>554724.41527913418</v>
      </c>
      <c r="F90" s="47">
        <f t="shared" si="13"/>
        <v>294341.02858095523</v>
      </c>
      <c r="G90" s="47">
        <f t="shared" si="13"/>
        <v>196589.07200380601</v>
      </c>
      <c r="H90" s="47">
        <f t="shared" si="13"/>
        <v>133073.01876783744</v>
      </c>
      <c r="I90" s="47">
        <f t="shared" si="13"/>
        <v>80832.960209842771</v>
      </c>
      <c r="J90" s="47">
        <f t="shared" si="13"/>
        <v>71373.876794552431</v>
      </c>
      <c r="K90" s="47">
        <f t="shared" si="13"/>
        <v>62805.606018258259</v>
      </c>
      <c r="L90" s="47">
        <f t="shared" si="13"/>
        <v>84712.93633621186</v>
      </c>
      <c r="M90" s="24"/>
      <c r="N90" s="40">
        <f>SUM(F90:L90)</f>
        <v>923728.498711464</v>
      </c>
      <c r="O90" s="24"/>
      <c r="P90" s="24"/>
      <c r="Q90" s="24"/>
      <c r="R90" s="24"/>
    </row>
    <row r="91" spans="1:18" x14ac:dyDescent="0.25">
      <c r="A91" s="24"/>
      <c r="B91" s="28">
        <v>8</v>
      </c>
      <c r="C91" s="40">
        <f t="shared" si="12"/>
        <v>5078889.0760578597</v>
      </c>
      <c r="D91" s="40">
        <f t="shared" si="13"/>
        <v>2304987.8584424853</v>
      </c>
      <c r="E91" s="47">
        <f t="shared" si="13"/>
        <v>545302.04418728873</v>
      </c>
      <c r="F91" s="47">
        <f t="shared" si="13"/>
        <v>289341.44622536376</v>
      </c>
      <c r="G91" s="47">
        <f t="shared" si="13"/>
        <v>193249.8730466282</v>
      </c>
      <c r="H91" s="47">
        <f t="shared" si="13"/>
        <v>130812.68312980421</v>
      </c>
      <c r="I91" s="47">
        <f t="shared" si="13"/>
        <v>79459.957460060716</v>
      </c>
      <c r="J91" s="47">
        <f t="shared" si="13"/>
        <v>70161.543003397062</v>
      </c>
      <c r="K91" s="47">
        <f t="shared" si="13"/>
        <v>61738.810127807781</v>
      </c>
      <c r="L91" s="47">
        <f t="shared" si="13"/>
        <v>83274.029555737972</v>
      </c>
      <c r="M91" s="24"/>
      <c r="N91" s="40">
        <f>SUM(E91:L91)</f>
        <v>1453340.3867360884</v>
      </c>
      <c r="O91" s="24"/>
      <c r="P91" s="24"/>
      <c r="Q91" s="24"/>
      <c r="R91" s="24"/>
    </row>
    <row r="92" spans="1:18" x14ac:dyDescent="0.25">
      <c r="A92" s="24"/>
      <c r="B92" s="28">
        <v>9</v>
      </c>
      <c r="C92" s="40">
        <f>C73</f>
        <v>5299650.8412340274</v>
      </c>
      <c r="D92" s="47">
        <f t="shared" si="13"/>
        <v>2405177.7190043461</v>
      </c>
      <c r="E92" s="47">
        <f t="shared" si="13"/>
        <v>569004.44052361418</v>
      </c>
      <c r="F92" s="47">
        <f t="shared" si="13"/>
        <v>301918.11948023923</v>
      </c>
      <c r="G92" s="47">
        <f t="shared" si="13"/>
        <v>201649.77752474509</v>
      </c>
      <c r="H92" s="47">
        <f t="shared" si="13"/>
        <v>136498.65862615965</v>
      </c>
      <c r="I92" s="47">
        <f t="shared" si="13"/>
        <v>82913.807348690927</v>
      </c>
      <c r="J92" s="47">
        <f t="shared" si="13"/>
        <v>73211.222933193669</v>
      </c>
      <c r="K92" s="47">
        <f t="shared" si="13"/>
        <v>64422.38295241259</v>
      </c>
      <c r="L92" s="47">
        <f t="shared" si="13"/>
        <v>86893.663984203711</v>
      </c>
      <c r="M92" s="24"/>
      <c r="N92" s="40">
        <f>SUM(D92:L92)</f>
        <v>3921689.7923776051</v>
      </c>
      <c r="O92" s="24"/>
      <c r="P92" s="24"/>
      <c r="Q92" s="24"/>
      <c r="R92" s="24"/>
    </row>
    <row r="93" spans="1:18" x14ac:dyDescent="0.2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41"/>
      <c r="O93" s="24"/>
      <c r="P93" s="24"/>
      <c r="Q93" s="24"/>
      <c r="R93" s="24"/>
    </row>
    <row r="94" spans="1:18" x14ac:dyDescent="0.2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8" t="s">
        <v>76</v>
      </c>
      <c r="N94" s="40">
        <f>SUM(N83:N92)</f>
        <v>8086773.7677050298</v>
      </c>
      <c r="O94" s="24"/>
      <c r="P94" s="24"/>
      <c r="Q94" s="24"/>
      <c r="R94" s="24"/>
    </row>
    <row r="95" spans="1:18" x14ac:dyDescent="0.25">
      <c r="A95" s="24"/>
      <c r="B95" s="24"/>
      <c r="C95" s="42" t="s">
        <v>77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</row>
    <row r="96" spans="1:18" x14ac:dyDescent="0.25">
      <c r="A96" s="24"/>
      <c r="B96" s="24"/>
      <c r="C96" s="28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</row>
    <row r="97" spans="1:18" x14ac:dyDescent="0.25">
      <c r="A97" s="24"/>
      <c r="B97" s="24"/>
      <c r="C97" s="28">
        <v>0</v>
      </c>
      <c r="D97" s="28">
        <v>1</v>
      </c>
      <c r="E97" s="28">
        <v>2</v>
      </c>
      <c r="F97" s="28">
        <v>3</v>
      </c>
      <c r="G97" s="28">
        <v>4</v>
      </c>
      <c r="H97" s="28">
        <v>5</v>
      </c>
      <c r="I97" s="28">
        <v>6</v>
      </c>
      <c r="J97" s="28">
        <v>7</v>
      </c>
      <c r="K97" s="28">
        <v>8</v>
      </c>
      <c r="L97" s="28">
        <v>9</v>
      </c>
      <c r="M97" s="24"/>
      <c r="N97" s="24"/>
      <c r="O97" s="24"/>
      <c r="P97" s="24"/>
      <c r="Q97" s="24"/>
      <c r="R97" s="24"/>
    </row>
    <row r="98" spans="1:18" x14ac:dyDescent="0.25">
      <c r="A98" s="24"/>
      <c r="B98" s="28">
        <v>0</v>
      </c>
      <c r="C98" s="48">
        <f t="shared" ref="C98:L104" si="14">(C31-C83)/SQRT(C83)</f>
        <v>-30.269452058939873</v>
      </c>
      <c r="D98" s="48">
        <f t="shared" si="14"/>
        <v>37.134444661945693</v>
      </c>
      <c r="E98" s="48">
        <f t="shared" si="14"/>
        <v>108.53951559330544</v>
      </c>
      <c r="F98" s="48">
        <f t="shared" si="14"/>
        <v>0.53022353557335011</v>
      </c>
      <c r="G98" s="48">
        <f t="shared" si="14"/>
        <v>-21.197224506681586</v>
      </c>
      <c r="H98" s="48">
        <f t="shared" si="14"/>
        <v>-104.06696725640855</v>
      </c>
      <c r="I98" s="48">
        <f t="shared" si="14"/>
        <v>-59.35086464446448</v>
      </c>
      <c r="J98" s="48">
        <f t="shared" si="14"/>
        <v>-56.76489833449785</v>
      </c>
      <c r="K98" s="48">
        <f t="shared" si="14"/>
        <v>40.752477167879611</v>
      </c>
      <c r="L98" s="48">
        <f t="shared" si="14"/>
        <v>0</v>
      </c>
      <c r="M98" s="24"/>
      <c r="N98" s="24"/>
      <c r="O98" s="24"/>
      <c r="P98" s="24"/>
      <c r="Q98" s="24"/>
      <c r="R98" s="24"/>
    </row>
    <row r="99" spans="1:18" x14ac:dyDescent="0.25">
      <c r="A99" s="24"/>
      <c r="B99" s="28">
        <v>1</v>
      </c>
      <c r="C99" s="48">
        <f t="shared" si="14"/>
        <v>23.787358593625981</v>
      </c>
      <c r="D99" s="48">
        <f t="shared" si="14"/>
        <v>37.402179362599824</v>
      </c>
      <c r="E99" s="48">
        <f t="shared" si="14"/>
        <v>-30.162848277118403</v>
      </c>
      <c r="F99" s="48">
        <f t="shared" si="14"/>
        <v>-33.247047906508953</v>
      </c>
      <c r="G99" s="48">
        <f t="shared" si="14"/>
        <v>-135.37589007061231</v>
      </c>
      <c r="H99" s="48">
        <f t="shared" si="14"/>
        <v>4.3581698868290797</v>
      </c>
      <c r="I99" s="48">
        <f t="shared" si="14"/>
        <v>-12.650916497985577</v>
      </c>
      <c r="J99" s="48">
        <f t="shared" si="14"/>
        <v>6.3003471012628598</v>
      </c>
      <c r="K99" s="48">
        <f t="shared" si="14"/>
        <v>-41.867389276784408</v>
      </c>
      <c r="L99" s="24"/>
      <c r="M99" s="24"/>
      <c r="N99" s="24"/>
      <c r="O99" s="24"/>
      <c r="P99" s="24"/>
      <c r="Q99" s="24"/>
      <c r="R99" s="24"/>
    </row>
    <row r="100" spans="1:18" x14ac:dyDescent="0.25">
      <c r="A100" s="24"/>
      <c r="B100" s="28">
        <v>2</v>
      </c>
      <c r="C100" s="48">
        <f t="shared" si="14"/>
        <v>-4.627847381541522</v>
      </c>
      <c r="D100" s="48">
        <f t="shared" si="14"/>
        <v>-24.203033017157427</v>
      </c>
      <c r="E100" s="48">
        <f t="shared" si="14"/>
        <v>86.278042634257105</v>
      </c>
      <c r="F100" s="48">
        <f t="shared" si="14"/>
        <v>-30.510867290457306</v>
      </c>
      <c r="G100" s="48">
        <f t="shared" si="14"/>
        <v>-47.238732502953781</v>
      </c>
      <c r="H100" s="48">
        <f t="shared" si="14"/>
        <v>-14.772927718922254</v>
      </c>
      <c r="I100" s="48">
        <f t="shared" si="14"/>
        <v>42.265057373510267</v>
      </c>
      <c r="J100" s="48">
        <f t="shared" si="14"/>
        <v>53.120812097141126</v>
      </c>
      <c r="K100" s="49"/>
      <c r="L100" s="24"/>
      <c r="M100" s="24"/>
      <c r="N100" s="24"/>
      <c r="O100" s="24"/>
      <c r="P100" s="24"/>
      <c r="Q100" s="24"/>
      <c r="R100" s="24"/>
    </row>
    <row r="101" spans="1:18" x14ac:dyDescent="0.25">
      <c r="A101" s="24"/>
      <c r="B101" s="28">
        <v>3</v>
      </c>
      <c r="C101" s="48">
        <f t="shared" si="14"/>
        <v>-56.189968703614525</v>
      </c>
      <c r="D101" s="48">
        <f t="shared" si="14"/>
        <v>29.011494561808462</v>
      </c>
      <c r="E101" s="48">
        <f t="shared" si="14"/>
        <v>-85.296662104726138</v>
      </c>
      <c r="F101" s="48">
        <f t="shared" si="14"/>
        <v>39.141786457087008</v>
      </c>
      <c r="G101" s="48">
        <f t="shared" si="14"/>
        <v>215.04184410761974</v>
      </c>
      <c r="H101" s="48">
        <f t="shared" si="14"/>
        <v>57.066549024698297</v>
      </c>
      <c r="I101" s="48">
        <f t="shared" si="14"/>
        <v>33.15468648430393</v>
      </c>
      <c r="J101" s="49"/>
      <c r="K101" s="49"/>
      <c r="L101" s="24"/>
      <c r="M101" s="24"/>
      <c r="N101" s="24"/>
      <c r="O101" s="24"/>
      <c r="P101" s="24"/>
      <c r="Q101" s="24"/>
      <c r="R101" s="24"/>
    </row>
    <row r="102" spans="1:18" x14ac:dyDescent="0.25">
      <c r="A102" s="24"/>
      <c r="B102" s="28">
        <v>4</v>
      </c>
      <c r="C102" s="48">
        <f>(C35-C87)/SQRT(C87)</f>
        <v>-83.475855191860404</v>
      </c>
      <c r="D102" s="48">
        <f t="shared" si="14"/>
        <v>27.244706943668778</v>
      </c>
      <c r="E102" s="48">
        <f t="shared" si="14"/>
        <v>51.125703115272728</v>
      </c>
      <c r="F102" s="48">
        <f t="shared" si="14"/>
        <v>93.246332339074272</v>
      </c>
      <c r="G102" s="48">
        <f t="shared" si="14"/>
        <v>81.913159528965551</v>
      </c>
      <c r="H102" s="48">
        <f t="shared" si="14"/>
        <v>63.151475238839147</v>
      </c>
      <c r="I102" s="49"/>
      <c r="J102" s="49"/>
      <c r="K102" s="49"/>
      <c r="L102" s="24"/>
      <c r="M102" s="24"/>
      <c r="N102" s="24"/>
      <c r="O102" s="24"/>
      <c r="P102" s="24"/>
      <c r="Q102" s="24"/>
      <c r="R102" s="24"/>
    </row>
    <row r="103" spans="1:18" x14ac:dyDescent="0.25">
      <c r="A103" s="24"/>
      <c r="B103" s="28">
        <v>5</v>
      </c>
      <c r="C103" s="48">
        <f>(C36-C88)/SQRT(C88)</f>
        <v>-62.062734447249483</v>
      </c>
      <c r="D103" s="48">
        <f t="shared" si="14"/>
        <v>77.606380811016805</v>
      </c>
      <c r="E103" s="48">
        <f t="shared" si="14"/>
        <v>33.197053965004201</v>
      </c>
      <c r="F103" s="48">
        <f t="shared" si="14"/>
        <v>66.628820914526031</v>
      </c>
      <c r="G103" s="48">
        <f t="shared" si="14"/>
        <v>-87.148447456639616</v>
      </c>
      <c r="H103" s="49"/>
      <c r="I103" s="49"/>
      <c r="J103" s="49"/>
      <c r="K103" s="49"/>
      <c r="L103" s="24"/>
      <c r="M103" s="24"/>
      <c r="N103" s="24"/>
      <c r="O103" s="24"/>
      <c r="P103" s="24"/>
      <c r="Q103" s="24"/>
      <c r="R103" s="24"/>
    </row>
    <row r="104" spans="1:18" x14ac:dyDescent="0.25">
      <c r="A104" s="24"/>
      <c r="B104" s="28">
        <v>6</v>
      </c>
      <c r="C104" s="48">
        <f>(C37-C89)/SQRT(C89)</f>
        <v>24.421425573929394</v>
      </c>
      <c r="D104" s="48">
        <f t="shared" si="14"/>
        <v>65.809659075801136</v>
      </c>
      <c r="E104" s="48">
        <f t="shared" si="14"/>
        <v>-112.77265984930106</v>
      </c>
      <c r="F104" s="48">
        <f t="shared" si="14"/>
        <v>-133.24674011744642</v>
      </c>
      <c r="G104" s="49"/>
      <c r="H104" s="49"/>
      <c r="I104" s="49"/>
      <c r="J104" s="49"/>
      <c r="K104" s="49"/>
      <c r="L104" s="24"/>
      <c r="M104" s="24"/>
      <c r="N104" s="24"/>
      <c r="O104" s="24"/>
      <c r="P104" s="24"/>
      <c r="Q104" s="24"/>
      <c r="R104" s="24"/>
    </row>
    <row r="105" spans="1:18" x14ac:dyDescent="0.25">
      <c r="A105" s="24"/>
      <c r="B105" s="28">
        <v>7</v>
      </c>
      <c r="C105" s="48">
        <f t="shared" ref="C105:E107" si="15">(C38-C90)/SQRT(C90)</f>
        <v>85.800560328231825</v>
      </c>
      <c r="D105" s="48">
        <f t="shared" si="15"/>
        <v>-100.71365411817308</v>
      </c>
      <c r="E105" s="48">
        <f t="shared" si="15"/>
        <v>-54.788250483398585</v>
      </c>
      <c r="F105" s="49"/>
      <c r="G105" s="49"/>
      <c r="H105" s="49"/>
      <c r="I105" s="49"/>
      <c r="J105" s="49"/>
      <c r="K105" s="49"/>
      <c r="L105" s="24"/>
      <c r="M105" s="24"/>
      <c r="N105" s="24"/>
      <c r="O105" s="24"/>
      <c r="P105" s="24"/>
      <c r="Q105" s="24"/>
      <c r="R105" s="24"/>
    </row>
    <row r="106" spans="1:18" x14ac:dyDescent="0.25">
      <c r="A106" s="24"/>
      <c r="B106" s="28">
        <v>8</v>
      </c>
      <c r="C106" s="48">
        <f t="shared" si="15"/>
        <v>103.00071434765918</v>
      </c>
      <c r="D106" s="48">
        <f t="shared" si="15"/>
        <v>-152.89394254931338</v>
      </c>
      <c r="E106" s="49"/>
      <c r="F106" s="49"/>
      <c r="G106" s="49"/>
      <c r="H106" s="49"/>
      <c r="I106" s="49"/>
      <c r="J106" s="49"/>
      <c r="K106" s="49"/>
      <c r="L106" s="24"/>
      <c r="M106" s="24"/>
      <c r="N106" s="24"/>
      <c r="O106" s="24"/>
      <c r="P106" s="24"/>
      <c r="Q106" s="24"/>
      <c r="R106" s="24"/>
    </row>
    <row r="107" spans="1:18" x14ac:dyDescent="0.25">
      <c r="A107" s="24"/>
      <c r="B107" s="28">
        <v>9</v>
      </c>
      <c r="C107" s="48">
        <f t="shared" si="15"/>
        <v>0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</row>
    <row r="108" spans="1:18" x14ac:dyDescent="0.2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</row>
    <row r="109" spans="1:18" x14ac:dyDescent="0.2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</row>
    <row r="110" spans="1:18" x14ac:dyDescent="0.25">
      <c r="A110" s="24"/>
      <c r="B110" s="24"/>
      <c r="C110" s="28" t="s">
        <v>78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</row>
    <row r="111" spans="1:18" x14ac:dyDescent="0.25">
      <c r="A111" s="24"/>
      <c r="B111" s="24"/>
      <c r="C111" s="28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</row>
    <row r="112" spans="1:18" x14ac:dyDescent="0.25">
      <c r="A112" s="24"/>
      <c r="B112" s="24"/>
      <c r="C112" s="28">
        <v>0</v>
      </c>
      <c r="D112" s="28">
        <v>1</v>
      </c>
      <c r="E112" s="28">
        <v>2</v>
      </c>
      <c r="F112" s="28">
        <v>3</v>
      </c>
      <c r="G112" s="28">
        <v>4</v>
      </c>
      <c r="H112" s="28">
        <v>5</v>
      </c>
      <c r="I112" s="28">
        <v>6</v>
      </c>
      <c r="J112" s="28">
        <v>7</v>
      </c>
      <c r="K112" s="28">
        <v>8</v>
      </c>
      <c r="L112" s="28">
        <v>9</v>
      </c>
      <c r="M112" s="24"/>
      <c r="N112" s="24"/>
      <c r="O112" s="24"/>
      <c r="P112" s="24"/>
      <c r="Q112" s="24"/>
      <c r="R112" s="24"/>
    </row>
    <row r="113" spans="1:18" x14ac:dyDescent="0.25">
      <c r="A113" s="24"/>
      <c r="B113" s="28">
        <v>0</v>
      </c>
      <c r="C113" s="48">
        <f t="shared" ref="C113:L119" si="16">C98^2</f>
        <v>916.23972794845929</v>
      </c>
      <c r="D113" s="48">
        <f t="shared" si="16"/>
        <v>1378.9669803511069</v>
      </c>
      <c r="E113" s="48">
        <f t="shared" si="16"/>
        <v>11780.826445229395</v>
      </c>
      <c r="F113" s="48">
        <f t="shared" si="16"/>
        <v>0.28113699767590367</v>
      </c>
      <c r="G113" s="48">
        <f t="shared" si="16"/>
        <v>449.32232678666242</v>
      </c>
      <c r="H113" s="48">
        <f t="shared" si="16"/>
        <v>10829.933673946409</v>
      </c>
      <c r="I113" s="48">
        <f t="shared" si="16"/>
        <v>3522.5251340455438</v>
      </c>
      <c r="J113" s="48">
        <f t="shared" si="16"/>
        <v>3222.253682925877</v>
      </c>
      <c r="K113" s="48">
        <f t="shared" si="16"/>
        <v>1660.7643953185491</v>
      </c>
      <c r="L113" s="48">
        <f t="shared" si="16"/>
        <v>0</v>
      </c>
      <c r="M113" s="24"/>
      <c r="N113" s="24"/>
      <c r="O113" s="24"/>
      <c r="P113" s="24"/>
      <c r="Q113" s="24"/>
      <c r="R113" s="24"/>
    </row>
    <row r="114" spans="1:18" x14ac:dyDescent="0.25">
      <c r="A114" s="24"/>
      <c r="B114" s="28">
        <v>1</v>
      </c>
      <c r="C114" s="48">
        <f t="shared" si="16"/>
        <v>565.83842886175182</v>
      </c>
      <c r="D114" s="48">
        <f t="shared" si="16"/>
        <v>1398.9230210720882</v>
      </c>
      <c r="E114" s="48">
        <f t="shared" si="16"/>
        <v>909.79741618846458</v>
      </c>
      <c r="F114" s="48">
        <f t="shared" si="16"/>
        <v>1105.3661944977014</v>
      </c>
      <c r="G114" s="48">
        <f t="shared" si="16"/>
        <v>18326.631612410511</v>
      </c>
      <c r="H114" s="48">
        <f t="shared" si="16"/>
        <v>18.993644762463795</v>
      </c>
      <c r="I114" s="48">
        <f t="shared" si="16"/>
        <v>160.04568823900365</v>
      </c>
      <c r="J114" s="48">
        <f t="shared" si="16"/>
        <v>39.694373596391323</v>
      </c>
      <c r="K114" s="48">
        <f t="shared" si="16"/>
        <v>1752.8782848538021</v>
      </c>
      <c r="L114" s="24"/>
      <c r="M114" s="24"/>
      <c r="N114" s="24"/>
      <c r="O114" s="24"/>
      <c r="P114" s="24"/>
      <c r="Q114" s="24"/>
      <c r="R114" s="24"/>
    </row>
    <row r="115" spans="1:18" x14ac:dyDescent="0.25">
      <c r="A115" s="24"/>
      <c r="B115" s="28">
        <v>2</v>
      </c>
      <c r="C115" s="48">
        <f t="shared" si="16"/>
        <v>21.416971386840721</v>
      </c>
      <c r="D115" s="48">
        <f t="shared" si="16"/>
        <v>585.78680722961258</v>
      </c>
      <c r="E115" s="48">
        <f t="shared" si="16"/>
        <v>7443.9006407986863</v>
      </c>
      <c r="F115" s="48">
        <f t="shared" si="16"/>
        <v>930.91302281589753</v>
      </c>
      <c r="G115" s="48">
        <f t="shared" si="16"/>
        <v>2231.4978484856219</v>
      </c>
      <c r="H115" s="48">
        <f t="shared" si="16"/>
        <v>218.23939338850147</v>
      </c>
      <c r="I115" s="48">
        <f t="shared" si="16"/>
        <v>1786.3350747861145</v>
      </c>
      <c r="J115" s="48">
        <f t="shared" si="16"/>
        <v>2821.8206778597751</v>
      </c>
      <c r="K115" s="49"/>
      <c r="L115" s="24"/>
      <c r="M115" s="24"/>
      <c r="N115" s="24"/>
      <c r="O115" s="24"/>
      <c r="P115" s="24"/>
      <c r="Q115" s="24"/>
      <c r="R115" s="24"/>
    </row>
    <row r="116" spans="1:18" x14ac:dyDescent="0.25">
      <c r="A116" s="24"/>
      <c r="B116" s="28">
        <v>3</v>
      </c>
      <c r="C116" s="48">
        <f t="shared" si="16"/>
        <v>3157.31258291318</v>
      </c>
      <c r="D116" s="48">
        <f t="shared" si="16"/>
        <v>841.66681670984201</v>
      </c>
      <c r="E116" s="48">
        <f t="shared" si="16"/>
        <v>7275.5205662078242</v>
      </c>
      <c r="F116" s="48">
        <f t="shared" si="16"/>
        <v>1532.0794470521998</v>
      </c>
      <c r="G116" s="48">
        <f t="shared" si="16"/>
        <v>46242.994717205831</v>
      </c>
      <c r="H116" s="48">
        <f t="shared" si="16"/>
        <v>3256.5910175882941</v>
      </c>
      <c r="I116" s="48">
        <f t="shared" si="16"/>
        <v>1099.2332358724857</v>
      </c>
      <c r="J116" s="49"/>
      <c r="K116" s="49"/>
      <c r="L116" s="24"/>
      <c r="M116" s="24"/>
      <c r="N116" s="24"/>
      <c r="O116" s="24"/>
      <c r="P116" s="24"/>
      <c r="Q116" s="24"/>
      <c r="R116" s="24"/>
    </row>
    <row r="117" spans="1:18" x14ac:dyDescent="0.25">
      <c r="A117" s="24"/>
      <c r="B117" s="28">
        <v>4</v>
      </c>
      <c r="C117" s="48">
        <f t="shared" si="16"/>
        <v>6968.218400012448</v>
      </c>
      <c r="D117" s="48">
        <f t="shared" si="16"/>
        <v>742.27405644639373</v>
      </c>
      <c r="E117" s="48">
        <f t="shared" si="16"/>
        <v>2613.8375190310076</v>
      </c>
      <c r="F117" s="48">
        <f t="shared" si="16"/>
        <v>8694.8784946890883</v>
      </c>
      <c r="G117" s="48">
        <f t="shared" si="16"/>
        <v>6709.7657040177601</v>
      </c>
      <c r="H117" s="48">
        <f t="shared" si="16"/>
        <v>3988.1088248417141</v>
      </c>
      <c r="I117" s="49"/>
      <c r="J117" s="49"/>
      <c r="K117" s="49"/>
      <c r="L117" s="24"/>
      <c r="M117" s="24"/>
      <c r="N117" s="24"/>
      <c r="O117" s="24"/>
      <c r="P117" s="24"/>
      <c r="Q117" s="24"/>
      <c r="R117" s="24"/>
    </row>
    <row r="118" spans="1:18" x14ac:dyDescent="0.25">
      <c r="A118" s="24"/>
      <c r="B118" s="28">
        <v>5</v>
      </c>
      <c r="C118" s="48">
        <f t="shared" si="16"/>
        <v>3851.7830070698074</v>
      </c>
      <c r="D118" s="48">
        <f t="shared" si="16"/>
        <v>6022.7503425845571</v>
      </c>
      <c r="E118" s="48">
        <f t="shared" si="16"/>
        <v>1102.0443919554011</v>
      </c>
      <c r="F118" s="48">
        <f t="shared" si="16"/>
        <v>4439.3997764599817</v>
      </c>
      <c r="G118" s="48">
        <f t="shared" si="16"/>
        <v>7594.8518941026759</v>
      </c>
      <c r="H118" s="49"/>
      <c r="I118" s="49"/>
      <c r="J118" s="49"/>
      <c r="K118" s="49"/>
      <c r="L118" s="24"/>
      <c r="M118" s="24"/>
      <c r="N118" s="24"/>
      <c r="O118" s="24"/>
      <c r="P118" s="24"/>
      <c r="Q118" s="24"/>
      <c r="R118" s="24"/>
    </row>
    <row r="119" spans="1:18" x14ac:dyDescent="0.25">
      <c r="A119" s="24"/>
      <c r="B119" s="28">
        <v>6</v>
      </c>
      <c r="C119" s="48">
        <f t="shared" si="16"/>
        <v>596.40602706297261</v>
      </c>
      <c r="D119" s="48">
        <f t="shared" si="16"/>
        <v>4330.9112276731748</v>
      </c>
      <c r="E119" s="48">
        <f t="shared" si="16"/>
        <v>12717.672809486161</v>
      </c>
      <c r="F119" s="48">
        <f t="shared" si="16"/>
        <v>17754.693751926305</v>
      </c>
      <c r="G119" s="49"/>
      <c r="H119" s="49"/>
      <c r="I119" s="49"/>
      <c r="J119" s="49"/>
      <c r="K119" s="49"/>
      <c r="L119" s="24"/>
      <c r="M119" s="24"/>
      <c r="N119" s="24"/>
      <c r="O119" s="24"/>
      <c r="P119" s="24"/>
      <c r="Q119" s="24"/>
      <c r="R119" s="24"/>
    </row>
    <row r="120" spans="1:18" x14ac:dyDescent="0.25">
      <c r="A120" s="24"/>
      <c r="B120" s="28">
        <v>7</v>
      </c>
      <c r="C120" s="48">
        <f>C105^2</f>
        <v>7361.7361526385484</v>
      </c>
      <c r="D120" s="48">
        <f>D105^2</f>
        <v>10143.240125835002</v>
      </c>
      <c r="E120" s="48">
        <f>E105^2</f>
        <v>3001.7523910316254</v>
      </c>
      <c r="F120" s="49"/>
      <c r="G120" s="49"/>
      <c r="H120" s="49"/>
      <c r="I120" s="49"/>
      <c r="J120" s="49"/>
      <c r="K120" s="49"/>
      <c r="L120" s="24"/>
      <c r="M120" s="24"/>
      <c r="N120" s="24"/>
      <c r="O120" s="24"/>
      <c r="P120" s="24"/>
      <c r="Q120" s="24"/>
      <c r="R120" s="24"/>
    </row>
    <row r="121" spans="1:18" x14ac:dyDescent="0.25">
      <c r="A121" s="24"/>
      <c r="B121" s="28">
        <v>8</v>
      </c>
      <c r="C121" s="48">
        <f>C106^2</f>
        <v>10609.147156128085</v>
      </c>
      <c r="D121" s="48">
        <f>D106^2</f>
        <v>23376.557668272741</v>
      </c>
      <c r="E121" s="49"/>
      <c r="F121" s="49"/>
      <c r="G121" s="49"/>
      <c r="H121" s="49"/>
      <c r="I121" s="49"/>
      <c r="J121" s="49"/>
      <c r="K121" s="49"/>
      <c r="L121" s="24"/>
      <c r="M121" s="24"/>
      <c r="N121" s="24"/>
      <c r="O121" s="24"/>
      <c r="P121" s="24"/>
      <c r="Q121" s="24"/>
      <c r="R121" s="24"/>
    </row>
    <row r="122" spans="1:18" x14ac:dyDescent="0.25">
      <c r="A122" s="24"/>
      <c r="B122" s="28">
        <v>9</v>
      </c>
      <c r="C122" s="48">
        <f>C107^2</f>
        <v>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</row>
    <row r="123" spans="1:18" x14ac:dyDescent="0.2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</row>
    <row r="124" spans="1:18" x14ac:dyDescent="0.25">
      <c r="A124" s="24"/>
      <c r="B124" s="24"/>
      <c r="C124" s="28" t="s">
        <v>79</v>
      </c>
      <c r="D124" s="24"/>
      <c r="E124" s="40">
        <f>SUM(C113:L122)</f>
        <v>280104.62070959801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</row>
    <row r="125" spans="1:18" x14ac:dyDescent="0.2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</row>
    <row r="126" spans="1:18" x14ac:dyDescent="0.2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</row>
    <row r="127" spans="1:18" x14ac:dyDescent="0.25">
      <c r="A127" s="24"/>
      <c r="B127" s="24"/>
      <c r="C127" s="42" t="s">
        <v>80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</row>
    <row r="128" spans="1:18" x14ac:dyDescent="0.2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</row>
    <row r="129" spans="1:18" x14ac:dyDescent="0.25">
      <c r="A129" s="24"/>
      <c r="B129" s="24"/>
      <c r="C129" s="28">
        <v>0</v>
      </c>
      <c r="D129" s="28">
        <v>1</v>
      </c>
      <c r="E129" s="28">
        <v>2</v>
      </c>
      <c r="F129" s="28">
        <v>3</v>
      </c>
      <c r="G129" s="28">
        <v>4</v>
      </c>
      <c r="H129" s="28">
        <v>5</v>
      </c>
      <c r="I129" s="28">
        <v>6</v>
      </c>
      <c r="J129" s="28">
        <v>7</v>
      </c>
      <c r="K129" s="28">
        <v>8</v>
      </c>
      <c r="L129" s="28">
        <v>9</v>
      </c>
      <c r="M129" s="50"/>
      <c r="N129" s="24"/>
      <c r="O129" s="24"/>
      <c r="P129" s="24"/>
      <c r="Q129" s="24"/>
      <c r="R129" s="24"/>
    </row>
    <row r="130" spans="1:18" x14ac:dyDescent="0.25">
      <c r="A130" s="24"/>
      <c r="B130" s="28">
        <v>0</v>
      </c>
      <c r="C130" s="48">
        <f t="shared" ref="C130:L135" si="17">SQRT($E$6/$E$8)*C98/SQRT($E$9)</f>
        <v>-0.42415614918087707</v>
      </c>
      <c r="D130" s="48">
        <f t="shared" si="17"/>
        <v>0.52035309456912915</v>
      </c>
      <c r="E130" s="48">
        <f t="shared" si="17"/>
        <v>1.5209295126443256</v>
      </c>
      <c r="F130" s="48">
        <f t="shared" si="17"/>
        <v>7.4298527973333441E-3</v>
      </c>
      <c r="G130" s="48">
        <f t="shared" si="17"/>
        <v>-0.29702992649386817</v>
      </c>
      <c r="H130" s="48">
        <f t="shared" si="17"/>
        <v>-1.4582571234676196</v>
      </c>
      <c r="I130" s="48">
        <f t="shared" si="17"/>
        <v>-0.83166468124805515</v>
      </c>
      <c r="J130" s="48">
        <f t="shared" si="17"/>
        <v>-0.79542836253930682</v>
      </c>
      <c r="K130" s="48">
        <f t="shared" si="17"/>
        <v>0.57105142674706277</v>
      </c>
      <c r="L130" s="48">
        <f t="shared" si="17"/>
        <v>0</v>
      </c>
      <c r="M130" s="50"/>
      <c r="N130" s="24"/>
      <c r="O130" s="24"/>
      <c r="P130" s="24"/>
      <c r="Q130" s="24"/>
      <c r="R130" s="24"/>
    </row>
    <row r="131" spans="1:18" x14ac:dyDescent="0.25">
      <c r="A131" s="24"/>
      <c r="B131" s="28">
        <v>1</v>
      </c>
      <c r="C131" s="48">
        <f t="shared" si="17"/>
        <v>0.33332464692822744</v>
      </c>
      <c r="D131" s="48">
        <f t="shared" si="17"/>
        <v>0.52410477528704991</v>
      </c>
      <c r="E131" s="48">
        <f t="shared" si="17"/>
        <v>-0.42266234448637946</v>
      </c>
      <c r="F131" s="48">
        <f t="shared" si="17"/>
        <v>-0.46588024732651434</v>
      </c>
      <c r="G131" s="48">
        <f t="shared" si="17"/>
        <v>-1.8969790438385521</v>
      </c>
      <c r="H131" s="48">
        <f t="shared" si="17"/>
        <v>6.1069640543014933E-2</v>
      </c>
      <c r="I131" s="48">
        <f t="shared" si="17"/>
        <v>-0.17727324614089235</v>
      </c>
      <c r="J131" s="48">
        <f t="shared" si="17"/>
        <v>8.8284748589801496E-2</v>
      </c>
      <c r="K131" s="48">
        <f t="shared" si="17"/>
        <v>-0.58667433349368558</v>
      </c>
      <c r="L131" s="24"/>
      <c r="M131" s="28"/>
      <c r="N131" s="24"/>
      <c r="O131" s="24"/>
      <c r="P131" s="24"/>
      <c r="Q131" s="24"/>
      <c r="R131" s="24"/>
    </row>
    <row r="132" spans="1:18" x14ac:dyDescent="0.25">
      <c r="A132" s="24"/>
      <c r="B132" s="28">
        <v>2</v>
      </c>
      <c r="C132" s="48">
        <f t="shared" si="17"/>
        <v>-6.48485450126184E-2</v>
      </c>
      <c r="D132" s="48">
        <f t="shared" si="17"/>
        <v>-0.33914935966021775</v>
      </c>
      <c r="E132" s="48">
        <f t="shared" si="17"/>
        <v>1.2089866130167308</v>
      </c>
      <c r="F132" s="48">
        <f t="shared" si="17"/>
        <v>-0.42753902359679508</v>
      </c>
      <c r="G132" s="48">
        <f t="shared" si="17"/>
        <v>-0.66194124794937415</v>
      </c>
      <c r="H132" s="48">
        <f t="shared" si="17"/>
        <v>-0.2070083105959255</v>
      </c>
      <c r="I132" s="48">
        <f t="shared" si="17"/>
        <v>0.59224672932797073</v>
      </c>
      <c r="J132" s="48">
        <f t="shared" si="17"/>
        <v>0.74436494775695172</v>
      </c>
      <c r="K132" s="49"/>
      <c r="L132" s="24"/>
      <c r="M132" s="46"/>
      <c r="N132" s="24"/>
      <c r="O132" s="24"/>
      <c r="P132" s="24"/>
      <c r="Q132" s="24"/>
      <c r="R132" s="24"/>
    </row>
    <row r="133" spans="1:18" x14ac:dyDescent="0.25">
      <c r="A133" s="24"/>
      <c r="B133" s="28">
        <v>3</v>
      </c>
      <c r="C133" s="48">
        <f t="shared" si="17"/>
        <v>-0.78737205752887518</v>
      </c>
      <c r="D133" s="48">
        <f t="shared" si="17"/>
        <v>0.40652879316605661</v>
      </c>
      <c r="E133" s="48">
        <f t="shared" si="17"/>
        <v>-1.1952348415781064</v>
      </c>
      <c r="F133" s="48">
        <f t="shared" si="17"/>
        <v>0.54848133304067781</v>
      </c>
      <c r="G133" s="48">
        <f t="shared" si="17"/>
        <v>3.0133125744013536</v>
      </c>
      <c r="H133" s="48">
        <f t="shared" si="17"/>
        <v>0.79965529716977313</v>
      </c>
      <c r="I133" s="48">
        <f t="shared" si="17"/>
        <v>0.46458601626150964</v>
      </c>
      <c r="J133" s="49"/>
      <c r="K133" s="49"/>
      <c r="L133" s="24"/>
      <c r="M133" s="24"/>
      <c r="N133" s="24"/>
      <c r="O133" s="24"/>
      <c r="P133" s="24"/>
      <c r="Q133" s="24"/>
      <c r="R133" s="24"/>
    </row>
    <row r="134" spans="1:18" x14ac:dyDescent="0.25">
      <c r="A134" s="24"/>
      <c r="B134" s="28">
        <v>4</v>
      </c>
      <c r="C134" s="48">
        <f t="shared" si="17"/>
        <v>-1.1697204567435464</v>
      </c>
      <c r="D134" s="48">
        <f t="shared" si="17"/>
        <v>0.38177136342892809</v>
      </c>
      <c r="E134" s="48">
        <f t="shared" si="17"/>
        <v>0.71640812378479291</v>
      </c>
      <c r="F134" s="48">
        <f t="shared" si="17"/>
        <v>1.3066310276502318</v>
      </c>
      <c r="G134" s="48">
        <f t="shared" si="17"/>
        <v>1.1478229022908097</v>
      </c>
      <c r="H134" s="48">
        <f t="shared" si="17"/>
        <v>0.88492142177666011</v>
      </c>
      <c r="I134" s="49"/>
      <c r="J134" s="49"/>
      <c r="K134" s="49"/>
      <c r="L134" s="24"/>
      <c r="M134" s="24"/>
      <c r="N134" s="24"/>
      <c r="O134" s="24"/>
      <c r="P134" s="24"/>
      <c r="Q134" s="24"/>
      <c r="R134" s="24"/>
    </row>
    <row r="135" spans="1:18" x14ac:dyDescent="0.25">
      <c r="A135" s="24"/>
      <c r="B135" s="28">
        <v>5</v>
      </c>
      <c r="C135" s="48">
        <f t="shared" si="17"/>
        <v>-0.86966524532795475</v>
      </c>
      <c r="D135" s="48">
        <f t="shared" si="17"/>
        <v>1.087473389758429</v>
      </c>
      <c r="E135" s="48">
        <f t="shared" si="17"/>
        <v>0.46517969821615257</v>
      </c>
      <c r="F135" s="48">
        <f t="shared" si="17"/>
        <v>0.933648354404914</v>
      </c>
      <c r="G135" s="48">
        <f t="shared" si="17"/>
        <v>-1.2211833173697322</v>
      </c>
      <c r="H135" s="49"/>
      <c r="I135" s="49"/>
      <c r="J135" s="49"/>
      <c r="K135" s="49"/>
      <c r="L135" s="24"/>
      <c r="M135" s="24"/>
      <c r="N135" s="24"/>
      <c r="O135" s="24"/>
      <c r="P135" s="24"/>
      <c r="Q135" s="24"/>
      <c r="R135" s="24"/>
    </row>
    <row r="136" spans="1:18" x14ac:dyDescent="0.25">
      <c r="A136" s="24"/>
      <c r="B136" s="28">
        <v>6</v>
      </c>
      <c r="C136" s="48">
        <f>SQRT($E$6/$E$8)*C104/SQRT($E$9)</f>
        <v>0.34220962469936655</v>
      </c>
      <c r="D136" s="48">
        <f>SQRT($E$6/$E$8)*D104/SQRT($E$9)</f>
        <v>0.92216970159042211</v>
      </c>
      <c r="E136" s="48">
        <f>SQRT($E$6/$E$8)*E104/SQRT($E$9)</f>
        <v>-1.5802472090153756</v>
      </c>
      <c r="F136" s="48">
        <f>SQRT($E$6/$E$8)*F104/SQRT($E$9)</f>
        <v>-1.8671439466123119</v>
      </c>
      <c r="G136" s="49"/>
      <c r="H136" s="49"/>
      <c r="I136" s="49"/>
      <c r="J136" s="49"/>
      <c r="K136" s="49"/>
      <c r="L136" s="24"/>
      <c r="M136" s="24"/>
      <c r="N136" s="24"/>
      <c r="O136" s="24"/>
      <c r="P136" s="24"/>
      <c r="Q136" s="24"/>
      <c r="R136" s="24"/>
    </row>
    <row r="137" spans="1:18" x14ac:dyDescent="0.25">
      <c r="A137" s="24"/>
      <c r="B137" s="28">
        <v>7</v>
      </c>
      <c r="C137" s="48">
        <f>SQRT($E$6/$E$8)*C105/SQRT($E$9)</f>
        <v>1.2022958061983144</v>
      </c>
      <c r="D137" s="48">
        <f>SQRT($E$6/$E$8)*D105/SQRT($E$9)</f>
        <v>-1.4112682191114365</v>
      </c>
      <c r="E137" s="48">
        <f>SQRT($E$6/$E$8)*E105/SQRT($E$9)</f>
        <v>-0.76773022848731276</v>
      </c>
      <c r="F137" s="49"/>
      <c r="G137" s="49"/>
      <c r="H137" s="49"/>
      <c r="I137" s="49"/>
      <c r="J137" s="49"/>
      <c r="K137" s="49"/>
      <c r="L137" s="24"/>
      <c r="M137" s="24"/>
      <c r="N137" s="24"/>
      <c r="O137" s="24"/>
      <c r="P137" s="24"/>
      <c r="Q137" s="24"/>
      <c r="R137" s="24"/>
    </row>
    <row r="138" spans="1:18" x14ac:dyDescent="0.25">
      <c r="A138" s="24"/>
      <c r="B138" s="28">
        <v>8</v>
      </c>
      <c r="C138" s="48">
        <f>SQRT($E$6/$E$8)*C106/SQRT($E$9)</f>
        <v>1.4433160625277843</v>
      </c>
      <c r="D138" s="48">
        <f>SQRT($E$6/$E$8)*D106/SQRT($E$9)</f>
        <v>-2.1424539095892139</v>
      </c>
      <c r="E138" s="49"/>
      <c r="F138" s="49"/>
      <c r="G138" s="49"/>
      <c r="H138" s="49"/>
      <c r="I138" s="49"/>
      <c r="J138" s="49"/>
      <c r="K138" s="49"/>
      <c r="L138" s="24"/>
      <c r="M138" s="24"/>
      <c r="N138" s="24"/>
      <c r="O138" s="24"/>
      <c r="P138" s="24"/>
      <c r="Q138" s="24"/>
      <c r="R138" s="24"/>
    </row>
    <row r="139" spans="1:18" x14ac:dyDescent="0.25">
      <c r="A139" s="24"/>
      <c r="B139" s="28">
        <v>9</v>
      </c>
      <c r="C139" s="48">
        <f>SQRT($E$6/$E$8)*C107/SQRT($E$9)</f>
        <v>0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</row>
    <row r="140" spans="1:18" x14ac:dyDescent="0.25">
      <c r="A140" s="24"/>
      <c r="B140" s="24"/>
      <c r="C140" s="28"/>
      <c r="D140" s="50"/>
      <c r="E140" s="46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</row>
    <row r="141" spans="1:18" x14ac:dyDescent="0.25">
      <c r="A141" s="24"/>
      <c r="B141" s="28" t="s">
        <v>81</v>
      </c>
      <c r="C141" s="51">
        <f>IF(E4=TRUE,COUNT(C130:K138),COUNT(C130:J139))</f>
        <v>53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</row>
    <row r="142" spans="1:18" x14ac:dyDescent="0.25">
      <c r="A142" s="24"/>
      <c r="B142" s="44" t="s">
        <v>82</v>
      </c>
      <c r="C142" s="52">
        <f>SUM(C130:L139)/C141</f>
        <v>3.2084170222495827E-3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</row>
    <row r="143" spans="1:18" x14ac:dyDescent="0.2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</row>
    <row r="144" spans="1:18" x14ac:dyDescent="0.2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</row>
    <row r="145" spans="1:18" x14ac:dyDescent="0.25">
      <c r="A145" s="24"/>
      <c r="B145" s="24"/>
      <c r="C145" s="42" t="s">
        <v>83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</row>
    <row r="146" spans="1:18" x14ac:dyDescent="0.2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</row>
    <row r="147" spans="1:18" x14ac:dyDescent="0.25">
      <c r="A147" s="24"/>
      <c r="B147" s="24"/>
      <c r="C147" s="28">
        <v>0</v>
      </c>
      <c r="D147" s="28">
        <v>1</v>
      </c>
      <c r="E147" s="28">
        <v>2</v>
      </c>
      <c r="F147" s="28">
        <v>3</v>
      </c>
      <c r="G147" s="28">
        <v>4</v>
      </c>
      <c r="H147" s="28">
        <v>5</v>
      </c>
      <c r="I147" s="28">
        <v>6</v>
      </c>
      <c r="J147" s="28">
        <v>7</v>
      </c>
      <c r="K147" s="28">
        <v>8</v>
      </c>
      <c r="L147" s="28">
        <v>9</v>
      </c>
      <c r="M147" s="24"/>
      <c r="N147" s="24"/>
      <c r="O147" s="24"/>
      <c r="P147" s="24"/>
      <c r="Q147" s="24"/>
      <c r="R147" s="24"/>
    </row>
    <row r="148" spans="1:18" x14ac:dyDescent="0.25">
      <c r="A148" s="24"/>
      <c r="B148" s="28">
        <v>0</v>
      </c>
      <c r="C148" s="48">
        <f t="shared" ref="C148:L153" si="18">C130-$C$159</f>
        <v>-0.42736456620312668</v>
      </c>
      <c r="D148" s="48">
        <f t="shared" si="18"/>
        <v>0.51714467754687954</v>
      </c>
      <c r="E148" s="48">
        <f t="shared" si="18"/>
        <v>1.5177210956220761</v>
      </c>
      <c r="F148" s="48">
        <f t="shared" si="18"/>
        <v>4.2214357750837619E-3</v>
      </c>
      <c r="G148" s="48">
        <f t="shared" si="18"/>
        <v>-0.30023834351611778</v>
      </c>
      <c r="H148" s="48">
        <f t="shared" si="18"/>
        <v>-1.4614655404898691</v>
      </c>
      <c r="I148" s="48">
        <f t="shared" si="18"/>
        <v>-0.83487309827030476</v>
      </c>
      <c r="J148" s="48">
        <f t="shared" si="18"/>
        <v>-0.79863677956155643</v>
      </c>
      <c r="K148" s="48">
        <f t="shared" si="18"/>
        <v>0.56784300972481316</v>
      </c>
      <c r="L148" s="48">
        <f t="shared" si="18"/>
        <v>-3.2084170222495827E-3</v>
      </c>
      <c r="M148" s="24"/>
      <c r="N148" s="24"/>
      <c r="O148" s="24"/>
      <c r="P148" s="24"/>
      <c r="Q148" s="24"/>
      <c r="R148" s="24"/>
    </row>
    <row r="149" spans="1:18" x14ac:dyDescent="0.25">
      <c r="A149" s="24"/>
      <c r="B149" s="28">
        <v>1</v>
      </c>
      <c r="C149" s="48">
        <f t="shared" si="18"/>
        <v>0.33011622990597783</v>
      </c>
      <c r="D149" s="48">
        <f t="shared" si="18"/>
        <v>0.5208963582648003</v>
      </c>
      <c r="E149" s="48">
        <f t="shared" si="18"/>
        <v>-0.42587076150862907</v>
      </c>
      <c r="F149" s="48">
        <f t="shared" si="18"/>
        <v>-0.46908866434876395</v>
      </c>
      <c r="G149" s="48">
        <f t="shared" si="18"/>
        <v>-1.9001874608608016</v>
      </c>
      <c r="H149" s="48">
        <f t="shared" si="18"/>
        <v>5.7861223520765351E-2</v>
      </c>
      <c r="I149" s="48">
        <f t="shared" si="18"/>
        <v>-0.18048166316314193</v>
      </c>
      <c r="J149" s="48">
        <f t="shared" si="18"/>
        <v>8.5076331567551913E-2</v>
      </c>
      <c r="K149" s="48">
        <f t="shared" si="18"/>
        <v>-0.58988275051593519</v>
      </c>
      <c r="L149" s="24"/>
      <c r="M149" s="24"/>
      <c r="N149" s="24"/>
      <c r="O149" s="24"/>
      <c r="P149" s="24"/>
      <c r="Q149" s="24"/>
      <c r="R149" s="24"/>
    </row>
    <row r="150" spans="1:18" x14ac:dyDescent="0.25">
      <c r="A150" s="24"/>
      <c r="B150" s="28">
        <v>2</v>
      </c>
      <c r="C150" s="48">
        <f t="shared" si="18"/>
        <v>-6.8056962034867982E-2</v>
      </c>
      <c r="D150" s="48">
        <f t="shared" si="18"/>
        <v>-0.34235777668246736</v>
      </c>
      <c r="E150" s="48">
        <f t="shared" si="18"/>
        <v>1.2057781959944813</v>
      </c>
      <c r="F150" s="48">
        <f t="shared" si="18"/>
        <v>-0.43074744061904469</v>
      </c>
      <c r="G150" s="48">
        <f t="shared" si="18"/>
        <v>-0.66514966497162376</v>
      </c>
      <c r="H150" s="48">
        <f t="shared" si="18"/>
        <v>-0.21021672761817509</v>
      </c>
      <c r="I150" s="48">
        <f t="shared" si="18"/>
        <v>0.58903831230572112</v>
      </c>
      <c r="J150" s="48">
        <f t="shared" si="18"/>
        <v>0.74115653073470211</v>
      </c>
      <c r="K150" s="49"/>
      <c r="L150" s="24"/>
      <c r="M150" s="24"/>
      <c r="N150" s="24"/>
      <c r="O150" s="24"/>
      <c r="P150" s="24"/>
      <c r="Q150" s="24"/>
      <c r="R150" s="24"/>
    </row>
    <row r="151" spans="1:18" x14ac:dyDescent="0.25">
      <c r="A151" s="24"/>
      <c r="B151" s="28">
        <v>3</v>
      </c>
      <c r="C151" s="48">
        <f t="shared" si="18"/>
        <v>-0.79058047455112479</v>
      </c>
      <c r="D151" s="48">
        <f t="shared" si="18"/>
        <v>0.403320376143807</v>
      </c>
      <c r="E151" s="48">
        <f t="shared" si="18"/>
        <v>-1.1984432586003559</v>
      </c>
      <c r="F151" s="48">
        <f t="shared" si="18"/>
        <v>0.5452729160184282</v>
      </c>
      <c r="G151" s="48">
        <f t="shared" si="18"/>
        <v>3.0101041573791041</v>
      </c>
      <c r="H151" s="48">
        <f t="shared" si="18"/>
        <v>0.79644688014752352</v>
      </c>
      <c r="I151" s="48">
        <f t="shared" si="18"/>
        <v>0.46137759923926003</v>
      </c>
      <c r="J151" s="49"/>
      <c r="K151" s="49"/>
      <c r="L151" s="24"/>
      <c r="M151" s="24"/>
      <c r="N151" s="24"/>
      <c r="O151" s="24"/>
      <c r="P151" s="24"/>
      <c r="Q151" s="24"/>
      <c r="R151" s="24"/>
    </row>
    <row r="152" spans="1:18" x14ac:dyDescent="0.25">
      <c r="A152" s="24"/>
      <c r="B152" s="28">
        <v>4</v>
      </c>
      <c r="C152" s="48">
        <f t="shared" si="18"/>
        <v>-1.1729288737657959</v>
      </c>
      <c r="D152" s="48">
        <f t="shared" si="18"/>
        <v>0.37856294640667848</v>
      </c>
      <c r="E152" s="48">
        <f t="shared" si="18"/>
        <v>0.7131997067625433</v>
      </c>
      <c r="F152" s="48">
        <f t="shared" si="18"/>
        <v>1.3034226106279823</v>
      </c>
      <c r="G152" s="48">
        <f t="shared" si="18"/>
        <v>1.1446144852685602</v>
      </c>
      <c r="H152" s="48">
        <f t="shared" si="18"/>
        <v>0.8817130047544105</v>
      </c>
      <c r="I152" s="49"/>
      <c r="J152" s="49"/>
      <c r="K152" s="49"/>
      <c r="L152" s="24"/>
      <c r="M152" s="24"/>
      <c r="N152" s="24"/>
      <c r="O152" s="24"/>
      <c r="P152" s="24"/>
      <c r="Q152" s="24"/>
      <c r="R152" s="24"/>
    </row>
    <row r="153" spans="1:18" x14ac:dyDescent="0.25">
      <c r="A153" s="24"/>
      <c r="B153" s="28">
        <v>5</v>
      </c>
      <c r="C153" s="48">
        <f t="shared" si="18"/>
        <v>-0.87287366235020436</v>
      </c>
      <c r="D153" s="48">
        <f t="shared" si="18"/>
        <v>1.0842649727361795</v>
      </c>
      <c r="E153" s="48">
        <f t="shared" si="18"/>
        <v>0.46197128119390296</v>
      </c>
      <c r="F153" s="48">
        <f t="shared" si="18"/>
        <v>0.93043993738266439</v>
      </c>
      <c r="G153" s="48">
        <f t="shared" si="18"/>
        <v>-1.2243917343919817</v>
      </c>
      <c r="H153" s="49"/>
      <c r="I153" s="49"/>
      <c r="J153" s="49"/>
      <c r="K153" s="49"/>
      <c r="L153" s="24"/>
      <c r="M153" s="24"/>
      <c r="N153" s="24"/>
      <c r="O153" s="24"/>
      <c r="P153" s="24"/>
      <c r="Q153" s="24"/>
      <c r="R153" s="24"/>
    </row>
    <row r="154" spans="1:18" x14ac:dyDescent="0.25">
      <c r="A154" s="24"/>
      <c r="B154" s="28">
        <v>6</v>
      </c>
      <c r="C154" s="48">
        <f>C136-$C$159</f>
        <v>0.33900120767711694</v>
      </c>
      <c r="D154" s="48">
        <f>D136-$C$159</f>
        <v>0.9189612845681725</v>
      </c>
      <c r="E154" s="48">
        <f>E136-$C$159</f>
        <v>-1.5834556260376251</v>
      </c>
      <c r="F154" s="48">
        <f>F136-$C$159</f>
        <v>-1.8703523636345614</v>
      </c>
      <c r="G154" s="49"/>
      <c r="H154" s="49"/>
      <c r="I154" s="49"/>
      <c r="J154" s="49"/>
      <c r="K154" s="49"/>
      <c r="L154" s="24"/>
      <c r="M154" s="24"/>
      <c r="N154" s="24"/>
      <c r="O154" s="24"/>
      <c r="P154" s="24"/>
      <c r="Q154" s="24"/>
      <c r="R154" s="24"/>
    </row>
    <row r="155" spans="1:18" x14ac:dyDescent="0.25">
      <c r="A155" s="24"/>
      <c r="B155" s="28">
        <v>7</v>
      </c>
      <c r="C155" s="48">
        <f>C137-$C$159</f>
        <v>1.1990873891760649</v>
      </c>
      <c r="D155" s="48">
        <f>D137-$C$159</f>
        <v>-1.414476636133686</v>
      </c>
      <c r="E155" s="48">
        <f>E137-$C$159</f>
        <v>-0.77093864550956237</v>
      </c>
      <c r="F155" s="49"/>
      <c r="G155" s="49"/>
      <c r="H155" s="49"/>
      <c r="I155" s="49"/>
      <c r="J155" s="49"/>
      <c r="K155" s="49"/>
      <c r="L155" s="24"/>
      <c r="M155" s="24"/>
      <c r="N155" s="24"/>
      <c r="O155" s="24"/>
      <c r="P155" s="24"/>
      <c r="Q155" s="24"/>
      <c r="R155" s="24"/>
    </row>
    <row r="156" spans="1:18" x14ac:dyDescent="0.25">
      <c r="A156" s="24"/>
      <c r="B156" s="28">
        <v>8</v>
      </c>
      <c r="C156" s="48">
        <f>C138-$C$159</f>
        <v>1.4401076455055348</v>
      </c>
      <c r="D156" s="48">
        <f>D138-$C$159</f>
        <v>-2.1456623266114634</v>
      </c>
      <c r="E156" s="49"/>
      <c r="F156" s="49"/>
      <c r="G156" s="49"/>
      <c r="H156" s="49"/>
      <c r="I156" s="49"/>
      <c r="J156" s="49"/>
      <c r="K156" s="49"/>
      <c r="L156" s="24"/>
      <c r="M156" s="24"/>
      <c r="N156" s="24"/>
      <c r="O156" s="24"/>
      <c r="P156" s="24"/>
      <c r="Q156" s="24"/>
      <c r="R156" s="24"/>
    </row>
    <row r="157" spans="1:18" x14ac:dyDescent="0.25">
      <c r="A157" s="24"/>
      <c r="B157" s="28">
        <v>9</v>
      </c>
      <c r="C157" s="48">
        <f>C139-$C$159</f>
        <v>-3.2084170222495827E-3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</row>
    <row r="158" spans="1:18" x14ac:dyDescent="0.25">
      <c r="A158" s="24"/>
      <c r="B158" s="28"/>
      <c r="C158" s="46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</row>
    <row r="159" spans="1:18" x14ac:dyDescent="0.25">
      <c r="A159" s="24"/>
      <c r="B159" s="44" t="s">
        <v>84</v>
      </c>
      <c r="C159" s="52">
        <f>IF($E$5=TRUE,C142,0)</f>
        <v>3.2084170222495827E-3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</row>
    <row r="160" spans="1:18" x14ac:dyDescent="0.25">
      <c r="A160" s="24"/>
      <c r="B160" s="44"/>
      <c r="C160" s="46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</row>
    <row r="161" spans="1:18" x14ac:dyDescent="0.2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</row>
    <row r="162" spans="1:18" x14ac:dyDescent="0.25">
      <c r="A162" s="24"/>
      <c r="B162" s="24"/>
      <c r="C162" s="42" t="s">
        <v>85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</row>
    <row r="163" spans="1:18" x14ac:dyDescent="0.25">
      <c r="A163" s="24"/>
      <c r="B163" s="24"/>
      <c r="C163" s="28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</row>
    <row r="164" spans="1:18" x14ac:dyDescent="0.25">
      <c r="A164" s="24"/>
      <c r="B164" s="24"/>
      <c r="C164" s="28">
        <v>0</v>
      </c>
      <c r="D164" s="28">
        <v>1</v>
      </c>
      <c r="E164" s="28">
        <v>2</v>
      </c>
      <c r="F164" s="28">
        <v>3</v>
      </c>
      <c r="G164" s="28">
        <v>4</v>
      </c>
      <c r="H164" s="28">
        <v>5</v>
      </c>
      <c r="I164" s="28">
        <v>6</v>
      </c>
      <c r="J164" s="28">
        <v>7</v>
      </c>
      <c r="K164" s="28">
        <v>8</v>
      </c>
      <c r="L164" s="28">
        <v>9</v>
      </c>
      <c r="M164" s="24"/>
      <c r="N164" s="24"/>
      <c r="O164" s="24"/>
      <c r="P164" s="24"/>
      <c r="Q164" s="24"/>
      <c r="R164" s="24"/>
    </row>
    <row r="165" spans="1:18" x14ac:dyDescent="0.25">
      <c r="A165" s="24"/>
      <c r="B165" s="28">
        <v>0</v>
      </c>
      <c r="C165" s="48">
        <f t="shared" ref="C165:C174" ca="1" si="19">F272</f>
        <v>-1.2243917343919817</v>
      </c>
      <c r="D165" s="48">
        <f ca="1">F282</f>
        <v>0.9189612845681725</v>
      </c>
      <c r="E165" s="48">
        <f ca="1">F291</f>
        <v>0.46137759923926003</v>
      </c>
      <c r="F165" s="48">
        <f ca="1">F299</f>
        <v>-3.2084170222495827E-3</v>
      </c>
      <c r="G165" s="48">
        <f ca="1">F306</f>
        <v>-0.79058047455112479</v>
      </c>
      <c r="H165" s="48">
        <f ca="1">F312</f>
        <v>-6.8056962034867982E-2</v>
      </c>
      <c r="I165" s="48">
        <f ca="1">F317</f>
        <v>-1.5834556260376251</v>
      </c>
      <c r="J165" s="48">
        <f ca="1">F321</f>
        <v>1.1446144852685602</v>
      </c>
      <c r="K165" s="48">
        <f ca="1">F324</f>
        <v>-0.30023834351611778</v>
      </c>
      <c r="L165" s="48">
        <f ca="1">F326</f>
        <v>5.7861223520765351E-2</v>
      </c>
      <c r="M165" s="24"/>
      <c r="N165" s="24"/>
      <c r="O165" s="24"/>
      <c r="P165" s="24"/>
      <c r="Q165" s="24"/>
      <c r="R165" s="24"/>
    </row>
    <row r="166" spans="1:18" x14ac:dyDescent="0.25">
      <c r="A166" s="24"/>
      <c r="B166" s="28">
        <v>1</v>
      </c>
      <c r="C166" s="48">
        <f t="shared" ca="1" si="19"/>
        <v>-2.1456623266114634</v>
      </c>
      <c r="D166" s="48">
        <f ca="1">F283</f>
        <v>0.8817130047544105</v>
      </c>
      <c r="E166" s="48">
        <f ca="1">F292</f>
        <v>-0.21021672761817509</v>
      </c>
      <c r="F166" s="48">
        <f ca="1">F300</f>
        <v>-3.2084170222495827E-3</v>
      </c>
      <c r="G166" s="48">
        <f ca="1">F307</f>
        <v>3.0101041573791041</v>
      </c>
      <c r="H166" s="48">
        <f t="shared" ref="H166:H169" ca="1" si="20">F313</f>
        <v>-0.34235777668246736</v>
      </c>
      <c r="I166" s="48">
        <f t="shared" ref="I166:I168" ca="1" si="21">F318</f>
        <v>0.93043993738266439</v>
      </c>
      <c r="J166" s="48">
        <f ca="1">F322</f>
        <v>1.2057781959944813</v>
      </c>
      <c r="K166" s="48">
        <f ca="1">F325</f>
        <v>0.51714467754687954</v>
      </c>
      <c r="L166" s="24"/>
      <c r="M166" s="24"/>
      <c r="N166" s="24"/>
      <c r="O166" s="24"/>
      <c r="P166" s="24"/>
      <c r="Q166" s="24"/>
      <c r="R166" s="24"/>
    </row>
    <row r="167" spans="1:18" x14ac:dyDescent="0.25">
      <c r="A167" s="24"/>
      <c r="B167" s="28">
        <v>2</v>
      </c>
      <c r="C167" s="48">
        <f t="shared" ca="1" si="19"/>
        <v>-0.42587076150862907</v>
      </c>
      <c r="D167" s="48">
        <f t="shared" ref="D167:D173" ca="1" si="22">F284</f>
        <v>8.5076331567551913E-2</v>
      </c>
      <c r="E167" s="48">
        <f t="shared" ref="E167:E172" ca="1" si="23">F293</f>
        <v>-0.34235777668246736</v>
      </c>
      <c r="F167" s="48">
        <f t="shared" ref="F167:F171" ca="1" si="24">F301</f>
        <v>-0.46908866434876395</v>
      </c>
      <c r="G167" s="48">
        <f t="shared" ref="G167:G170" ca="1" si="25">F308</f>
        <v>-0.21021672761817509</v>
      </c>
      <c r="H167" s="48">
        <f t="shared" ca="1" si="20"/>
        <v>-1.8703523636345614</v>
      </c>
      <c r="I167" s="48">
        <f t="shared" ca="1" si="21"/>
        <v>0.33900120767711694</v>
      </c>
      <c r="J167" s="48">
        <f ca="1">F323</f>
        <v>-1.2243917343919817</v>
      </c>
      <c r="K167" s="49"/>
      <c r="L167" s="24"/>
      <c r="M167" s="24"/>
      <c r="N167" s="24"/>
      <c r="O167" s="24"/>
      <c r="P167" s="24"/>
      <c r="Q167" s="24"/>
      <c r="R167" s="24"/>
    </row>
    <row r="168" spans="1:18" x14ac:dyDescent="0.25">
      <c r="A168" s="24"/>
      <c r="B168" s="28">
        <v>3</v>
      </c>
      <c r="C168" s="48">
        <f t="shared" ca="1" si="19"/>
        <v>0.46137759923926003</v>
      </c>
      <c r="D168" s="48">
        <f t="shared" ca="1" si="22"/>
        <v>-0.21021672761817509</v>
      </c>
      <c r="E168" s="48">
        <f t="shared" ca="1" si="23"/>
        <v>-1.8703523636345614</v>
      </c>
      <c r="F168" s="48">
        <f t="shared" ca="1" si="24"/>
        <v>-1.414476636133686</v>
      </c>
      <c r="G168" s="48">
        <f t="shared" ca="1" si="25"/>
        <v>-0.66514966497162376</v>
      </c>
      <c r="H168" s="48">
        <f t="shared" ca="1" si="20"/>
        <v>-0.43074744061904469</v>
      </c>
      <c r="I168" s="48">
        <f t="shared" ca="1" si="21"/>
        <v>1.3034226106279823</v>
      </c>
      <c r="J168" s="49"/>
      <c r="K168" s="49"/>
      <c r="L168" s="24"/>
      <c r="M168" s="24"/>
      <c r="N168" s="24"/>
      <c r="O168" s="24"/>
      <c r="P168" s="24"/>
      <c r="Q168" s="24"/>
      <c r="R168" s="24"/>
    </row>
    <row r="169" spans="1:18" x14ac:dyDescent="0.25">
      <c r="A169" s="24"/>
      <c r="B169" s="28">
        <v>4</v>
      </c>
      <c r="C169" s="48">
        <f t="shared" ca="1" si="19"/>
        <v>0.7131997067625433</v>
      </c>
      <c r="D169" s="48">
        <f t="shared" ca="1" si="22"/>
        <v>0.8817130047544105</v>
      </c>
      <c r="E169" s="48">
        <f t="shared" ca="1" si="23"/>
        <v>-3.2084170222495827E-3</v>
      </c>
      <c r="F169" s="48">
        <f t="shared" ca="1" si="24"/>
        <v>-1.5834556260376251</v>
      </c>
      <c r="G169" s="48">
        <f t="shared" ca="1" si="25"/>
        <v>-0.77093864550956237</v>
      </c>
      <c r="H169" s="48">
        <f t="shared" ca="1" si="20"/>
        <v>-0.42736456620312668</v>
      </c>
      <c r="I169" s="49"/>
      <c r="J169" s="49"/>
      <c r="K169" s="49"/>
      <c r="L169" s="24"/>
      <c r="M169" s="24"/>
      <c r="N169" s="24"/>
      <c r="O169" s="24"/>
      <c r="P169" s="24"/>
      <c r="Q169" s="24"/>
      <c r="R169" s="24"/>
    </row>
    <row r="170" spans="1:18" x14ac:dyDescent="0.25">
      <c r="A170" s="24"/>
      <c r="B170" s="28">
        <v>5</v>
      </c>
      <c r="C170" s="48">
        <f t="shared" ca="1" si="19"/>
        <v>1.3034226106279823</v>
      </c>
      <c r="D170" s="48">
        <f t="shared" ca="1" si="22"/>
        <v>0.74115653073470211</v>
      </c>
      <c r="E170" s="48">
        <f t="shared" ca="1" si="23"/>
        <v>-1.1729288737657959</v>
      </c>
      <c r="F170" s="48">
        <f t="shared" ca="1" si="24"/>
        <v>1.4401076455055348</v>
      </c>
      <c r="G170" s="48">
        <f t="shared" ca="1" si="25"/>
        <v>-2.1456623266114634</v>
      </c>
      <c r="H170" s="49"/>
      <c r="I170" s="49"/>
      <c r="J170" s="49"/>
      <c r="K170" s="49"/>
      <c r="L170" s="24"/>
      <c r="M170" s="24"/>
      <c r="N170" s="24"/>
      <c r="O170" s="24"/>
      <c r="P170" s="24"/>
      <c r="Q170" s="24"/>
      <c r="R170" s="24"/>
    </row>
    <row r="171" spans="1:18" x14ac:dyDescent="0.25">
      <c r="A171" s="24"/>
      <c r="B171" s="28">
        <v>6</v>
      </c>
      <c r="C171" s="48">
        <f t="shared" ca="1" si="19"/>
        <v>-0.83487309827030476</v>
      </c>
      <c r="D171" s="48">
        <f t="shared" ca="1" si="22"/>
        <v>0.403320376143807</v>
      </c>
      <c r="E171" s="48">
        <f t="shared" ca="1" si="23"/>
        <v>0.37856294640667848</v>
      </c>
      <c r="F171" s="48">
        <f t="shared" ca="1" si="24"/>
        <v>4.2214357750837619E-3</v>
      </c>
      <c r="G171" s="49"/>
      <c r="H171" s="49"/>
      <c r="I171" s="49"/>
      <c r="J171" s="49"/>
      <c r="K171" s="49"/>
      <c r="L171" s="24"/>
      <c r="M171" s="24"/>
      <c r="N171" s="24"/>
      <c r="O171" s="24"/>
      <c r="P171" s="24"/>
      <c r="Q171" s="24"/>
      <c r="R171" s="24"/>
    </row>
    <row r="172" spans="1:18" x14ac:dyDescent="0.25">
      <c r="A172" s="24"/>
      <c r="B172" s="28">
        <v>7</v>
      </c>
      <c r="C172" s="48">
        <f t="shared" ca="1" si="19"/>
        <v>0.74115653073470211</v>
      </c>
      <c r="D172" s="48">
        <f t="shared" ca="1" si="22"/>
        <v>-1.1984432586003559</v>
      </c>
      <c r="E172" s="48">
        <f t="shared" ca="1" si="23"/>
        <v>0.46137759923926003</v>
      </c>
      <c r="F172" s="49"/>
      <c r="G172" s="49"/>
      <c r="H172" s="49"/>
      <c r="I172" s="49"/>
      <c r="J172" s="49"/>
      <c r="K172" s="49"/>
      <c r="L172" s="24"/>
      <c r="M172" s="24"/>
      <c r="N172" s="24"/>
      <c r="O172" s="24"/>
      <c r="P172" s="24"/>
      <c r="Q172" s="24"/>
      <c r="R172" s="24"/>
    </row>
    <row r="173" spans="1:18" x14ac:dyDescent="0.25">
      <c r="A173" s="24"/>
      <c r="B173" s="28">
        <v>8</v>
      </c>
      <c r="C173" s="48">
        <f t="shared" ca="1" si="19"/>
        <v>8.5076331567551913E-2</v>
      </c>
      <c r="D173" s="48">
        <f t="shared" ca="1" si="22"/>
        <v>0.5208963582648003</v>
      </c>
      <c r="E173" s="49"/>
      <c r="F173" s="49"/>
      <c r="G173" s="49"/>
      <c r="H173" s="49"/>
      <c r="I173" s="49"/>
      <c r="J173" s="49"/>
      <c r="K173" s="49"/>
      <c r="L173" s="24"/>
      <c r="M173" s="24"/>
      <c r="N173" s="24"/>
      <c r="O173" s="24"/>
      <c r="P173" s="24"/>
      <c r="Q173" s="24"/>
      <c r="R173" s="24"/>
    </row>
    <row r="174" spans="1:18" x14ac:dyDescent="0.25">
      <c r="A174" s="24"/>
      <c r="B174" s="28">
        <v>9</v>
      </c>
      <c r="C174" s="48">
        <f t="shared" ca="1" si="19"/>
        <v>0.5208963582648003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</row>
    <row r="175" spans="1:18" x14ac:dyDescent="0.2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</row>
    <row r="176" spans="1:18" x14ac:dyDescent="0.2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</row>
    <row r="177" spans="1:18" x14ac:dyDescent="0.25">
      <c r="A177" s="24"/>
      <c r="B177" s="24"/>
      <c r="C177" s="42" t="s">
        <v>86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</row>
    <row r="178" spans="1:18" x14ac:dyDescent="0.25">
      <c r="A178" s="24"/>
      <c r="B178" s="24"/>
      <c r="C178" s="28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</row>
    <row r="179" spans="1:18" x14ac:dyDescent="0.25">
      <c r="A179" s="24"/>
      <c r="B179" s="24"/>
      <c r="C179" s="28">
        <v>0</v>
      </c>
      <c r="D179" s="28">
        <v>1</v>
      </c>
      <c r="E179" s="28">
        <v>2</v>
      </c>
      <c r="F179" s="28">
        <v>3</v>
      </c>
      <c r="G179" s="28">
        <v>4</v>
      </c>
      <c r="H179" s="28">
        <v>5</v>
      </c>
      <c r="I179" s="28">
        <v>6</v>
      </c>
      <c r="J179" s="28">
        <v>7</v>
      </c>
      <c r="K179" s="28">
        <v>8</v>
      </c>
      <c r="L179" s="28">
        <v>9</v>
      </c>
      <c r="M179" s="24"/>
      <c r="N179" s="24"/>
      <c r="O179" s="24"/>
      <c r="P179" s="24"/>
      <c r="Q179" s="24"/>
      <c r="R179" s="24"/>
    </row>
    <row r="180" spans="1:18" x14ac:dyDescent="0.25">
      <c r="A180" s="24"/>
      <c r="B180" s="28">
        <v>0</v>
      </c>
      <c r="C180" s="40">
        <f t="shared" ref="C180:L184" ca="1" si="26">C165*SQRT($E$9*C83)+C83</f>
        <v>5396620.1766721401</v>
      </c>
      <c r="D180" s="40">
        <f t="shared" ca="1" si="26"/>
        <v>2695569.4432810089</v>
      </c>
      <c r="E180" s="40">
        <f t="shared" ca="1" si="26"/>
        <v>638693.71212131763</v>
      </c>
      <c r="F180" s="40">
        <f t="shared" ca="1" si="26"/>
        <v>321911.19917240605</v>
      </c>
      <c r="G180" s="40">
        <f t="shared" ca="1" si="26"/>
        <v>182766.94308317587</v>
      </c>
      <c r="H180" s="40">
        <f t="shared" ca="1" si="26"/>
        <v>143319.49242627187</v>
      </c>
      <c r="I180" s="40">
        <f t="shared" ca="1" si="26"/>
        <v>46909.107059452341</v>
      </c>
      <c r="J180" s="40">
        <f t="shared" ca="1" si="26"/>
        <v>106313.7944249248</v>
      </c>
      <c r="K180" s="40">
        <f t="shared" ca="1" si="26"/>
        <v>61780.068203768977</v>
      </c>
      <c r="L180" s="40">
        <f t="shared" ca="1" si="26"/>
        <v>94247.902337424937</v>
      </c>
      <c r="M180" s="24"/>
      <c r="N180" s="24"/>
      <c r="O180" s="24"/>
      <c r="P180" s="24"/>
      <c r="Q180" s="24"/>
      <c r="R180" s="24"/>
    </row>
    <row r="181" spans="1:18" x14ac:dyDescent="0.25">
      <c r="A181" s="24"/>
      <c r="B181" s="28">
        <v>1</v>
      </c>
      <c r="C181" s="40">
        <f t="shared" ca="1" si="26"/>
        <v>4918296.7767783701</v>
      </c>
      <c r="D181" s="40">
        <f t="shared" ca="1" si="26"/>
        <v>2552159.9010627894</v>
      </c>
      <c r="E181" s="40">
        <f t="shared" ca="1" si="26"/>
        <v>561027.62871517427</v>
      </c>
      <c r="F181" s="40">
        <f t="shared" ca="1" si="26"/>
        <v>304990.57762118621</v>
      </c>
      <c r="G181" s="40">
        <f t="shared" ca="1" si="26"/>
        <v>323673.14895640162</v>
      </c>
      <c r="H181" s="40">
        <f t="shared" ca="1" si="26"/>
        <v>126741.76127386295</v>
      </c>
      <c r="I181" s="40">
        <f t="shared" ca="1" si="26"/>
        <v>107559.09391522969</v>
      </c>
      <c r="J181" s="40">
        <f t="shared" ca="1" si="26"/>
        <v>102925.93582520187</v>
      </c>
      <c r="K181" s="40">
        <f t="shared" ca="1" si="26"/>
        <v>76751.232713392921</v>
      </c>
      <c r="L181" s="41"/>
      <c r="M181" s="24"/>
      <c r="N181" s="24"/>
      <c r="O181" s="24"/>
      <c r="P181" s="24"/>
      <c r="Q181" s="24"/>
      <c r="R181" s="24"/>
    </row>
    <row r="182" spans="1:18" x14ac:dyDescent="0.25">
      <c r="A182" s="24"/>
      <c r="B182" s="28">
        <v>2</v>
      </c>
      <c r="C182" s="40">
        <f t="shared" ca="1" si="26"/>
        <v>5051009.1632909467</v>
      </c>
      <c r="D182" s="40">
        <f t="shared" ca="1" si="26"/>
        <v>2342429.4853890212</v>
      </c>
      <c r="E182" s="40">
        <f t="shared" ca="1" si="26"/>
        <v>529023.77099136205</v>
      </c>
      <c r="F182" s="40">
        <f t="shared" ca="1" si="26"/>
        <v>270220.9739429616</v>
      </c>
      <c r="G182" s="40">
        <f t="shared" ca="1" si="26"/>
        <v>187231.10293616875</v>
      </c>
      <c r="H182" s="40">
        <f t="shared" ca="1" si="26"/>
        <v>72281.784417383533</v>
      </c>
      <c r="I182" s="40">
        <f t="shared" ca="1" si="26"/>
        <v>88832.250823891503</v>
      </c>
      <c r="J182" s="40">
        <f t="shared" ca="1" si="26"/>
        <v>42184.252708125219</v>
      </c>
      <c r="K182" s="41"/>
      <c r="L182" s="41"/>
      <c r="M182" s="24"/>
      <c r="N182" s="24"/>
      <c r="O182" s="24"/>
      <c r="P182" s="24"/>
      <c r="Q182" s="24"/>
      <c r="R182" s="24"/>
    </row>
    <row r="183" spans="1:18" x14ac:dyDescent="0.25">
      <c r="A183" s="24"/>
      <c r="B183" s="28">
        <v>3</v>
      </c>
      <c r="C183" s="40">
        <f t="shared" ca="1" si="26"/>
        <v>5155898.5282782288</v>
      </c>
      <c r="D183" s="40">
        <f t="shared" ca="1" si="26"/>
        <v>2270261.1550967968</v>
      </c>
      <c r="E183" s="40">
        <f t="shared" ca="1" si="26"/>
        <v>422082.97663553327</v>
      </c>
      <c r="F183" s="40">
        <f t="shared" ca="1" si="26"/>
        <v>221493.9273190636</v>
      </c>
      <c r="G183" s="40">
        <f t="shared" ca="1" si="26"/>
        <v>166940.1357051043</v>
      </c>
      <c r="H183" s="40">
        <f t="shared" ca="1" si="26"/>
        <v>116714.7912126892</v>
      </c>
      <c r="I183" s="40">
        <f t="shared" ca="1" si="26"/>
        <v>111594.57703493058</v>
      </c>
      <c r="J183" s="41"/>
      <c r="K183" s="41"/>
      <c r="L183" s="41"/>
      <c r="M183" s="24"/>
      <c r="N183" s="24"/>
      <c r="O183" s="24"/>
      <c r="P183" s="24"/>
      <c r="Q183" s="24"/>
      <c r="R183" s="24"/>
    </row>
    <row r="184" spans="1:18" x14ac:dyDescent="0.25">
      <c r="A184" s="24"/>
      <c r="B184" s="28">
        <v>4</v>
      </c>
      <c r="C184" s="40">
        <f ca="1">C169*SQRT($E$9*C87)+C87</f>
        <v>5227127.5543375025</v>
      </c>
      <c r="D184" s="40">
        <f t="shared" ca="1" si="26"/>
        <v>2426032.6215579291</v>
      </c>
      <c r="E184" s="40">
        <f t="shared" ca="1" si="26"/>
        <v>545777.1731758829</v>
      </c>
      <c r="F184" s="40">
        <f ca="1">F169*SQRT($E$9*F87)+F87</f>
        <v>214526.2277820778</v>
      </c>
      <c r="G184" s="40">
        <f ca="1">G169*SQRT($E$9*G87)+G87</f>
        <v>163579.31901515633</v>
      </c>
      <c r="H184" s="40">
        <f t="shared" ca="1" si="26"/>
        <v>117333.99215346928</v>
      </c>
      <c r="I184" s="41"/>
      <c r="J184" s="41"/>
      <c r="K184" s="41"/>
      <c r="L184" s="41"/>
      <c r="M184" s="24"/>
      <c r="N184" s="24"/>
      <c r="O184" s="24"/>
      <c r="P184" s="24"/>
      <c r="Q184" s="24"/>
      <c r="R184" s="24"/>
    </row>
    <row r="185" spans="1:18" x14ac:dyDescent="0.25">
      <c r="A185" s="24"/>
      <c r="B185" s="28">
        <v>5</v>
      </c>
      <c r="C185" s="40">
        <f t="shared" ref="C185:E188" ca="1" si="27">C170*SQRT($E$9*C88)+C88</f>
        <v>5416771.7060424211</v>
      </c>
      <c r="D185" s="40">
        <f t="shared" ca="1" si="27"/>
        <v>2439856.3390711891</v>
      </c>
      <c r="E185" s="40">
        <f t="shared" ca="1" si="27"/>
        <v>476573.66184549389</v>
      </c>
      <c r="F185" s="40">
        <f ca="1">F170*SQRT($E$9*F88)+F88</f>
        <v>362562.53697555105</v>
      </c>
      <c r="G185" s="40">
        <f ca="1">G170*SQRT($E$9*G88)+G88</f>
        <v>112344.84117957704</v>
      </c>
      <c r="H185" s="41"/>
      <c r="I185" s="41"/>
      <c r="J185" s="41"/>
      <c r="K185" s="41"/>
      <c r="L185" s="41"/>
      <c r="M185" s="24"/>
      <c r="N185" s="24"/>
      <c r="O185" s="24"/>
      <c r="P185" s="24"/>
      <c r="Q185" s="24"/>
      <c r="R185" s="24"/>
    </row>
    <row r="186" spans="1:18" x14ac:dyDescent="0.25">
      <c r="A186" s="24"/>
      <c r="B186" s="28">
        <v>6</v>
      </c>
      <c r="C186" s="40">
        <f t="shared" ca="1" si="27"/>
        <v>5064691.6645371709</v>
      </c>
      <c r="D186" s="40">
        <f t="shared" ca="1" si="27"/>
        <v>2429827.022723217</v>
      </c>
      <c r="E186" s="40">
        <f t="shared" ca="1" si="27"/>
        <v>586895.39366961387</v>
      </c>
      <c r="F186" s="40">
        <f ca="1">F171*SQRT($E$9*F89)+F89</f>
        <v>298333.33439161128</v>
      </c>
      <c r="G186" s="41"/>
      <c r="H186" s="41"/>
      <c r="I186" s="41"/>
      <c r="J186" s="41"/>
      <c r="K186" s="41"/>
      <c r="L186" s="41"/>
      <c r="M186" s="24"/>
      <c r="N186" s="24"/>
      <c r="O186" s="24"/>
      <c r="P186" s="24"/>
      <c r="Q186" s="24"/>
      <c r="R186" s="24"/>
    </row>
    <row r="187" spans="1:18" x14ac:dyDescent="0.25">
      <c r="A187" s="24"/>
      <c r="B187" s="28">
        <v>7</v>
      </c>
      <c r="C187" s="40">
        <f t="shared" ca="1" si="27"/>
        <v>5315249.6299253181</v>
      </c>
      <c r="D187" s="40">
        <f t="shared" ca="1" si="27"/>
        <v>2182940.7885925705</v>
      </c>
      <c r="E187" s="40">
        <f t="shared" ca="1" si="27"/>
        <v>585035.67819615395</v>
      </c>
      <c r="F187" s="41"/>
      <c r="G187" s="41"/>
      <c r="H187" s="41"/>
      <c r="I187" s="41"/>
      <c r="J187" s="41"/>
      <c r="K187" s="41"/>
      <c r="L187" s="41"/>
      <c r="M187" s="24"/>
      <c r="N187" s="24"/>
      <c r="O187" s="24"/>
      <c r="P187" s="24"/>
      <c r="Q187" s="24"/>
      <c r="R187" s="24"/>
    </row>
    <row r="188" spans="1:18" x14ac:dyDescent="0.25">
      <c r="A188" s="24"/>
      <c r="B188" s="28">
        <v>8</v>
      </c>
      <c r="C188" s="40">
        <f t="shared" ca="1" si="27"/>
        <v>5095801.3500247365</v>
      </c>
      <c r="D188" s="40">
        <f t="shared" ca="1" si="27"/>
        <v>2374745.9400012214</v>
      </c>
      <c r="E188" s="41"/>
      <c r="F188" s="41"/>
      <c r="G188" s="41"/>
      <c r="H188" s="41"/>
      <c r="I188" s="41"/>
      <c r="J188" s="41"/>
      <c r="K188" s="41"/>
      <c r="L188" s="41"/>
      <c r="M188" s="24"/>
      <c r="N188" s="24"/>
      <c r="O188" s="24"/>
      <c r="P188" s="24"/>
      <c r="Q188" s="24"/>
      <c r="R188" s="24"/>
    </row>
    <row r="189" spans="1:18" x14ac:dyDescent="0.25">
      <c r="A189" s="24"/>
      <c r="B189" s="28">
        <v>9</v>
      </c>
      <c r="C189" s="40">
        <f ca="1">C174*SQRT($E$9*C92)+C92</f>
        <v>5405426.0366258929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24"/>
      <c r="N189" s="24"/>
      <c r="O189" s="24"/>
      <c r="P189" s="24"/>
      <c r="Q189" s="24"/>
      <c r="R189" s="24"/>
    </row>
    <row r="190" spans="1:18" x14ac:dyDescent="0.25">
      <c r="A190" s="24"/>
      <c r="B190" s="24"/>
      <c r="C190" s="41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</row>
    <row r="191" spans="1:18" x14ac:dyDescent="0.25">
      <c r="A191" s="24"/>
      <c r="B191" s="24"/>
      <c r="C191" s="41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</row>
    <row r="192" spans="1:18" x14ac:dyDescent="0.25">
      <c r="A192" s="24"/>
      <c r="B192" s="24"/>
      <c r="C192" s="42" t="s">
        <v>87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</row>
    <row r="193" spans="1:18" x14ac:dyDescent="0.25">
      <c r="A193" s="24"/>
      <c r="B193" s="24"/>
      <c r="C193" s="28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</row>
    <row r="194" spans="1:18" x14ac:dyDescent="0.25">
      <c r="A194" s="24"/>
      <c r="B194" s="24"/>
      <c r="C194" s="28">
        <v>0</v>
      </c>
      <c r="D194" s="28">
        <v>1</v>
      </c>
      <c r="E194" s="28">
        <v>2</v>
      </c>
      <c r="F194" s="28">
        <v>3</v>
      </c>
      <c r="G194" s="28">
        <v>4</v>
      </c>
      <c r="H194" s="28">
        <v>5</v>
      </c>
      <c r="I194" s="28">
        <v>6</v>
      </c>
      <c r="J194" s="28">
        <v>7</v>
      </c>
      <c r="K194" s="28">
        <v>8</v>
      </c>
      <c r="L194" s="28">
        <v>9</v>
      </c>
      <c r="M194" s="24"/>
      <c r="N194" s="24"/>
      <c r="O194" s="24"/>
      <c r="P194" s="24"/>
      <c r="Q194" s="24"/>
      <c r="R194" s="24"/>
    </row>
    <row r="195" spans="1:18" x14ac:dyDescent="0.25">
      <c r="A195" s="24"/>
      <c r="B195" s="28">
        <v>0</v>
      </c>
      <c r="C195" s="40">
        <f ca="1">C180</f>
        <v>5396620.1766721401</v>
      </c>
      <c r="D195" s="40">
        <f t="shared" ref="D195:L203" ca="1" si="28">D180+C195</f>
        <v>8092189.619953149</v>
      </c>
      <c r="E195" s="40">
        <f t="shared" ca="1" si="28"/>
        <v>8730883.3320744671</v>
      </c>
      <c r="F195" s="40">
        <f t="shared" ca="1" si="28"/>
        <v>9052794.5312468726</v>
      </c>
      <c r="G195" s="40">
        <f t="shared" ca="1" si="28"/>
        <v>9235561.474330049</v>
      </c>
      <c r="H195" s="40">
        <f t="shared" ca="1" si="28"/>
        <v>9378880.9667563215</v>
      </c>
      <c r="I195" s="40">
        <f t="shared" ca="1" si="28"/>
        <v>9425790.0738157742</v>
      </c>
      <c r="J195" s="40">
        <f t="shared" ca="1" si="28"/>
        <v>9532103.8682406992</v>
      </c>
      <c r="K195" s="40">
        <f t="shared" ca="1" si="28"/>
        <v>9593883.9364444688</v>
      </c>
      <c r="L195" s="40">
        <f t="shared" ca="1" si="28"/>
        <v>9688131.8387818933</v>
      </c>
      <c r="M195" s="24"/>
      <c r="N195" s="24"/>
      <c r="O195" s="24"/>
      <c r="P195" s="24"/>
      <c r="Q195" s="24"/>
      <c r="R195" s="24"/>
    </row>
    <row r="196" spans="1:18" x14ac:dyDescent="0.25">
      <c r="A196" s="24"/>
      <c r="B196" s="28">
        <v>1</v>
      </c>
      <c r="C196" s="40">
        <f t="shared" ref="C196:C204" ca="1" si="29">C181</f>
        <v>4918296.7767783701</v>
      </c>
      <c r="D196" s="40">
        <f t="shared" ca="1" si="28"/>
        <v>7470456.6778411595</v>
      </c>
      <c r="E196" s="40">
        <f t="shared" ca="1" si="28"/>
        <v>8031484.3065563338</v>
      </c>
      <c r="F196" s="40">
        <f t="shared" ca="1" si="28"/>
        <v>8336474.8841775199</v>
      </c>
      <c r="G196" s="40">
        <f t="shared" ca="1" si="28"/>
        <v>8660148.0331339221</v>
      </c>
      <c r="H196" s="40">
        <f t="shared" ca="1" si="28"/>
        <v>8786889.7944077849</v>
      </c>
      <c r="I196" s="40">
        <f t="shared" ca="1" si="28"/>
        <v>8894448.8883230146</v>
      </c>
      <c r="J196" s="40">
        <f t="shared" ca="1" si="28"/>
        <v>8997374.8241482172</v>
      </c>
      <c r="K196" s="40">
        <f t="shared" ca="1" si="28"/>
        <v>9074126.0568616092</v>
      </c>
      <c r="L196" s="24"/>
      <c r="M196" s="24"/>
      <c r="N196" s="24"/>
      <c r="O196" s="24"/>
      <c r="P196" s="24"/>
      <c r="Q196" s="24"/>
      <c r="R196" s="24"/>
    </row>
    <row r="197" spans="1:18" x14ac:dyDescent="0.25">
      <c r="A197" s="24"/>
      <c r="B197" s="28">
        <v>2</v>
      </c>
      <c r="C197" s="40">
        <f t="shared" ca="1" si="29"/>
        <v>5051009.1632909467</v>
      </c>
      <c r="D197" s="40">
        <f t="shared" ca="1" si="28"/>
        <v>7393438.648679968</v>
      </c>
      <c r="E197" s="40">
        <f t="shared" ca="1" si="28"/>
        <v>7922462.4196713297</v>
      </c>
      <c r="F197" s="40">
        <f t="shared" ca="1" si="28"/>
        <v>8192683.3936142912</v>
      </c>
      <c r="G197" s="40">
        <f t="shared" ca="1" si="28"/>
        <v>8379914.4965504603</v>
      </c>
      <c r="H197" s="40">
        <f t="shared" ca="1" si="28"/>
        <v>8452196.2809678447</v>
      </c>
      <c r="I197" s="40">
        <f t="shared" ca="1" si="28"/>
        <v>8541028.5317917354</v>
      </c>
      <c r="J197" s="40">
        <f t="shared" ca="1" si="28"/>
        <v>8583212.7844998613</v>
      </c>
      <c r="K197" s="41"/>
      <c r="L197" s="24"/>
      <c r="M197" s="24"/>
      <c r="N197" s="24"/>
      <c r="O197" s="24"/>
      <c r="P197" s="24"/>
      <c r="Q197" s="24"/>
      <c r="R197" s="24"/>
    </row>
    <row r="198" spans="1:18" x14ac:dyDescent="0.25">
      <c r="A198" s="24"/>
      <c r="B198" s="28">
        <v>3</v>
      </c>
      <c r="C198" s="40">
        <f t="shared" ca="1" si="29"/>
        <v>5155898.5282782288</v>
      </c>
      <c r="D198" s="40">
        <f t="shared" ca="1" si="28"/>
        <v>7426159.6833750252</v>
      </c>
      <c r="E198" s="40">
        <f t="shared" ca="1" si="28"/>
        <v>7848242.6600105586</v>
      </c>
      <c r="F198" s="40">
        <f t="shared" ca="1" si="28"/>
        <v>8069736.5873296224</v>
      </c>
      <c r="G198" s="40">
        <f t="shared" ca="1" si="28"/>
        <v>8236676.7230347265</v>
      </c>
      <c r="H198" s="40">
        <f t="shared" ca="1" si="28"/>
        <v>8353391.5142474156</v>
      </c>
      <c r="I198" s="40">
        <f t="shared" ca="1" si="28"/>
        <v>8464986.0912823454</v>
      </c>
      <c r="J198" s="41"/>
      <c r="K198" s="41"/>
      <c r="L198" s="24"/>
      <c r="M198" s="24"/>
      <c r="N198" s="24"/>
      <c r="O198" s="24"/>
      <c r="P198" s="24"/>
      <c r="Q198" s="24"/>
      <c r="R198" s="24"/>
    </row>
    <row r="199" spans="1:18" x14ac:dyDescent="0.25">
      <c r="A199" s="24"/>
      <c r="B199" s="28">
        <v>4</v>
      </c>
      <c r="C199" s="40">
        <f t="shared" ca="1" si="29"/>
        <v>5227127.5543375025</v>
      </c>
      <c r="D199" s="40">
        <f t="shared" ca="1" si="28"/>
        <v>7653160.175895432</v>
      </c>
      <c r="E199" s="40">
        <f t="shared" ca="1" si="28"/>
        <v>8198937.3490713146</v>
      </c>
      <c r="F199" s="40">
        <f t="shared" ca="1" si="28"/>
        <v>8413463.5768533926</v>
      </c>
      <c r="G199" s="40">
        <f t="shared" ca="1" si="28"/>
        <v>8577042.8958685491</v>
      </c>
      <c r="H199" s="40">
        <f t="shared" ca="1" si="28"/>
        <v>8694376.8880220186</v>
      </c>
      <c r="I199" s="41"/>
      <c r="J199" s="41"/>
      <c r="K199" s="41"/>
      <c r="L199" s="24"/>
      <c r="M199" s="24"/>
      <c r="N199" s="24"/>
      <c r="O199" s="24"/>
      <c r="P199" s="24"/>
      <c r="Q199" s="24"/>
      <c r="R199" s="24"/>
    </row>
    <row r="200" spans="1:18" x14ac:dyDescent="0.25">
      <c r="A200" s="24"/>
      <c r="B200" s="28">
        <v>5</v>
      </c>
      <c r="C200" s="40">
        <f t="shared" ca="1" si="29"/>
        <v>5416771.7060424211</v>
      </c>
      <c r="D200" s="40">
        <f t="shared" ca="1" si="28"/>
        <v>7856628.0451136101</v>
      </c>
      <c r="E200" s="40">
        <f t="shared" ca="1" si="28"/>
        <v>8333201.7069591042</v>
      </c>
      <c r="F200" s="40">
        <f t="shared" ca="1" si="28"/>
        <v>8695764.2439346556</v>
      </c>
      <c r="G200" s="40">
        <f t="shared" ca="1" si="28"/>
        <v>8808109.0851142332</v>
      </c>
      <c r="H200" s="41"/>
      <c r="I200" s="41"/>
      <c r="J200" s="41"/>
      <c r="K200" s="41"/>
      <c r="L200" s="24"/>
      <c r="M200" s="24"/>
      <c r="N200" s="24"/>
      <c r="O200" s="24"/>
      <c r="P200" s="24"/>
      <c r="Q200" s="24"/>
      <c r="R200" s="24"/>
    </row>
    <row r="201" spans="1:18" x14ac:dyDescent="0.25">
      <c r="A201" s="24"/>
      <c r="B201" s="28">
        <v>6</v>
      </c>
      <c r="C201" s="40">
        <f t="shared" ca="1" si="29"/>
        <v>5064691.6645371709</v>
      </c>
      <c r="D201" s="40">
        <f t="shared" ca="1" si="28"/>
        <v>7494518.6872603875</v>
      </c>
      <c r="E201" s="40">
        <f t="shared" ca="1" si="28"/>
        <v>8081414.0809300011</v>
      </c>
      <c r="F201" s="40">
        <f t="shared" ca="1" si="28"/>
        <v>8379747.4153216127</v>
      </c>
      <c r="G201" s="41"/>
      <c r="H201" s="41"/>
      <c r="I201" s="41"/>
      <c r="J201" s="41"/>
      <c r="K201" s="41"/>
      <c r="L201" s="24"/>
      <c r="M201" s="24"/>
      <c r="N201" s="24"/>
      <c r="O201" s="24"/>
      <c r="P201" s="24"/>
      <c r="Q201" s="24"/>
      <c r="R201" s="24"/>
    </row>
    <row r="202" spans="1:18" x14ac:dyDescent="0.25">
      <c r="A202" s="24"/>
      <c r="B202" s="28">
        <v>7</v>
      </c>
      <c r="C202" s="40">
        <f t="shared" ca="1" si="29"/>
        <v>5315249.6299253181</v>
      </c>
      <c r="D202" s="40">
        <f t="shared" ca="1" si="28"/>
        <v>7498190.4185178885</v>
      </c>
      <c r="E202" s="40">
        <f t="shared" ca="1" si="28"/>
        <v>8083226.0967140421</v>
      </c>
      <c r="F202" s="41"/>
      <c r="G202" s="41"/>
      <c r="H202" s="41"/>
      <c r="I202" s="41"/>
      <c r="J202" s="41"/>
      <c r="K202" s="41"/>
      <c r="L202" s="24"/>
      <c r="M202" s="24"/>
      <c r="N202" s="24"/>
      <c r="O202" s="24"/>
      <c r="P202" s="24"/>
      <c r="Q202" s="24"/>
      <c r="R202" s="24"/>
    </row>
    <row r="203" spans="1:18" x14ac:dyDescent="0.25">
      <c r="A203" s="24"/>
      <c r="B203" s="28">
        <v>8</v>
      </c>
      <c r="C203" s="40">
        <f ca="1">C188</f>
        <v>5095801.3500247365</v>
      </c>
      <c r="D203" s="40">
        <f t="shared" ca="1" si="28"/>
        <v>7470547.2900259579</v>
      </c>
      <c r="E203" s="41"/>
      <c r="F203" s="41"/>
      <c r="G203" s="41"/>
      <c r="H203" s="41"/>
      <c r="I203" s="41"/>
      <c r="J203" s="41"/>
      <c r="K203" s="41"/>
      <c r="L203" s="24"/>
      <c r="M203" s="24"/>
      <c r="N203" s="24"/>
      <c r="O203" s="24"/>
      <c r="P203" s="24"/>
      <c r="Q203" s="24"/>
      <c r="R203" s="24"/>
    </row>
    <row r="204" spans="1:18" x14ac:dyDescent="0.25">
      <c r="A204" s="24"/>
      <c r="B204" s="28">
        <v>9</v>
      </c>
      <c r="C204" s="40">
        <f t="shared" ca="1" si="29"/>
        <v>5405426.0366258929</v>
      </c>
      <c r="D204" s="41"/>
      <c r="E204" s="41"/>
      <c r="F204" s="41"/>
      <c r="G204" s="41"/>
      <c r="H204" s="41"/>
      <c r="I204" s="41"/>
      <c r="J204" s="41"/>
      <c r="K204" s="41"/>
      <c r="L204" s="24"/>
      <c r="M204" s="24"/>
      <c r="N204" s="24"/>
      <c r="O204" s="24"/>
      <c r="P204" s="24"/>
      <c r="Q204" s="24"/>
      <c r="R204" s="24"/>
    </row>
    <row r="205" spans="1:18" x14ac:dyDescent="0.2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</row>
    <row r="206" spans="1:18" x14ac:dyDescent="0.25">
      <c r="A206" s="24"/>
      <c r="B206" s="24"/>
      <c r="C206" s="28" t="s">
        <v>88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</row>
    <row r="207" spans="1:18" x14ac:dyDescent="0.25">
      <c r="A207" s="24"/>
      <c r="B207" s="44" t="s">
        <v>70</v>
      </c>
      <c r="C207" s="45">
        <f ca="1">SUM(D195:D203)/SUM(C195:C203)</f>
        <v>1.4655475975128494</v>
      </c>
      <c r="D207" s="45">
        <f ca="1">SUM(E195:E202)/SUM(D195:D202)</f>
        <v>1.0713661560468666</v>
      </c>
      <c r="E207" s="45">
        <f ca="1">SUM(F195:F201)/SUM(E195:E201)</f>
        <v>1.0348933772967606</v>
      </c>
      <c r="F207" s="45">
        <f ca="1">SUM(G195:G200)/SUM(F195:F200)</f>
        <v>1.0223899715210711</v>
      </c>
      <c r="G207" s="45">
        <f ca="1">SUM(H195:H199)/SUM(G195:G199)</f>
        <v>1.0133766674778755</v>
      </c>
      <c r="H207" s="45">
        <f ca="1">SUM(I195:I198)/SUM(H195:H198)</f>
        <v>1.0101481624816306</v>
      </c>
      <c r="I207" s="45">
        <f ca="1">SUM(J195:J197)/SUM(I195:I197)</f>
        <v>1.0093600937861575</v>
      </c>
      <c r="J207" s="45">
        <f ca="1">SUM(K195:K196)/SUM(J195:J196)</f>
        <v>1.0074762654264022</v>
      </c>
      <c r="K207" s="45">
        <f ca="1">SUM(L195)/SUM(K195)</f>
        <v>1.0098237484382528</v>
      </c>
      <c r="L207" s="24"/>
      <c r="M207" s="24"/>
      <c r="N207" s="24"/>
      <c r="O207" s="24"/>
      <c r="P207" s="24"/>
      <c r="Q207" s="24"/>
      <c r="R207" s="24"/>
    </row>
    <row r="208" spans="1:18" x14ac:dyDescent="0.25">
      <c r="A208" s="24"/>
      <c r="B208" s="44" t="s">
        <v>71</v>
      </c>
      <c r="C208" s="45">
        <f ca="1">C207*D208</f>
        <v>1.7504241992313117</v>
      </c>
      <c r="D208" s="45">
        <f t="shared" ref="D208:I208" ca="1" si="30">D207*E208</f>
        <v>1.1943823606970667</v>
      </c>
      <c r="E208" s="45">
        <f ca="1">E207*F208</f>
        <v>1.1148218132109997</v>
      </c>
      <c r="F208" s="45">
        <f ca="1">F207*G208</f>
        <v>1.077233498317498</v>
      </c>
      <c r="G208" s="45">
        <f t="shared" ca="1" si="30"/>
        <v>1.0536424733458924</v>
      </c>
      <c r="H208" s="45">
        <f t="shared" ca="1" si="30"/>
        <v>1.0397342934372387</v>
      </c>
      <c r="I208" s="45">
        <f t="shared" ca="1" si="30"/>
        <v>1.029288902414992</v>
      </c>
      <c r="J208" s="45">
        <f ca="1">K208*K207</f>
        <v>1.0197440029098839</v>
      </c>
      <c r="K208" s="45">
        <f ca="1">K207</f>
        <v>1.0098237484382528</v>
      </c>
      <c r="L208" s="24"/>
      <c r="M208" s="24"/>
      <c r="N208" s="24"/>
      <c r="O208" s="24"/>
      <c r="P208" s="24"/>
      <c r="Q208" s="24"/>
      <c r="R208" s="24"/>
    </row>
    <row r="209" spans="1:18" x14ac:dyDescent="0.25">
      <c r="A209" s="24"/>
      <c r="B209" s="24"/>
      <c r="C209" s="46"/>
      <c r="D209" s="46"/>
      <c r="E209" s="46"/>
      <c r="F209" s="46"/>
      <c r="G209" s="46"/>
      <c r="H209" s="46"/>
      <c r="I209" s="46"/>
      <c r="J209" s="46"/>
      <c r="K209" s="46"/>
      <c r="L209" s="24"/>
      <c r="M209" s="24"/>
      <c r="N209" s="24"/>
      <c r="O209" s="24"/>
      <c r="P209" s="24"/>
      <c r="Q209" s="24"/>
      <c r="R209" s="24"/>
    </row>
    <row r="210" spans="1:18" x14ac:dyDescent="0.2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</row>
    <row r="211" spans="1:18" x14ac:dyDescent="0.25">
      <c r="A211" s="24"/>
      <c r="B211" s="24"/>
      <c r="C211" s="42" t="s">
        <v>89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</row>
    <row r="212" spans="1:18" x14ac:dyDescent="0.2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</row>
    <row r="213" spans="1:18" x14ac:dyDescent="0.25">
      <c r="A213" s="24"/>
      <c r="B213" s="24"/>
      <c r="C213" s="28">
        <v>0</v>
      </c>
      <c r="D213" s="28">
        <v>1</v>
      </c>
      <c r="E213" s="28">
        <v>2</v>
      </c>
      <c r="F213" s="28">
        <v>3</v>
      </c>
      <c r="G213" s="28">
        <v>4</v>
      </c>
      <c r="H213" s="28">
        <v>5</v>
      </c>
      <c r="I213" s="28">
        <v>6</v>
      </c>
      <c r="J213" s="28">
        <v>7</v>
      </c>
      <c r="K213" s="28">
        <v>8</v>
      </c>
      <c r="L213" s="28">
        <v>9</v>
      </c>
      <c r="M213" s="24"/>
      <c r="N213" s="24"/>
      <c r="O213" s="24"/>
      <c r="P213" s="24"/>
      <c r="Q213" s="24"/>
      <c r="R213" s="24"/>
    </row>
    <row r="214" spans="1:18" x14ac:dyDescent="0.25">
      <c r="A214" s="24"/>
      <c r="B214" s="28">
        <v>0</v>
      </c>
      <c r="C214" s="40"/>
      <c r="D214" s="40"/>
      <c r="E214" s="40"/>
      <c r="F214" s="40"/>
      <c r="G214" s="40"/>
      <c r="H214" s="40"/>
      <c r="I214" s="40"/>
      <c r="J214" s="40"/>
      <c r="K214" s="40"/>
      <c r="L214" s="40">
        <f ca="1">L195</f>
        <v>9688131.8387818933</v>
      </c>
      <c r="M214" s="24"/>
      <c r="N214" s="24"/>
      <c r="O214" s="24"/>
      <c r="P214" s="24"/>
      <c r="Q214" s="24"/>
      <c r="R214" s="24"/>
    </row>
    <row r="215" spans="1:18" x14ac:dyDescent="0.25">
      <c r="A215" s="24"/>
      <c r="B215" s="28">
        <v>1</v>
      </c>
      <c r="C215" s="40"/>
      <c r="D215" s="40"/>
      <c r="E215" s="40"/>
      <c r="F215" s="40"/>
      <c r="G215" s="40"/>
      <c r="H215" s="40"/>
      <c r="I215" s="40"/>
      <c r="J215" s="40"/>
      <c r="K215" s="40">
        <f ca="1">K196</f>
        <v>9074126.0568616092</v>
      </c>
      <c r="L215" s="41">
        <f ca="1">K215*$K$207</f>
        <v>9163267.9885412138</v>
      </c>
      <c r="M215" s="24"/>
      <c r="N215" s="24"/>
      <c r="O215" s="24"/>
      <c r="P215" s="24"/>
      <c r="Q215" s="24"/>
      <c r="R215" s="24"/>
    </row>
    <row r="216" spans="1:18" x14ac:dyDescent="0.25">
      <c r="A216" s="24"/>
      <c r="B216" s="28">
        <v>2</v>
      </c>
      <c r="C216" s="40"/>
      <c r="D216" s="40"/>
      <c r="E216" s="40"/>
      <c r="F216" s="40"/>
      <c r="G216" s="40"/>
      <c r="H216" s="40"/>
      <c r="I216" s="40"/>
      <c r="J216" s="40">
        <f ca="1">J197</f>
        <v>8583212.7844998613</v>
      </c>
      <c r="K216" s="41">
        <f t="shared" ref="I216:K223" ca="1" si="31">J216*J$207</f>
        <v>8647383.1614880711</v>
      </c>
      <c r="L216" s="41">
        <f t="shared" ref="L216:L223" ca="1" si="32">K216*$K$207</f>
        <v>8732332.8783157133</v>
      </c>
      <c r="M216" s="24"/>
      <c r="N216" s="24"/>
      <c r="O216" s="24"/>
      <c r="P216" s="24"/>
      <c r="Q216" s="24"/>
      <c r="R216" s="24"/>
    </row>
    <row r="217" spans="1:18" x14ac:dyDescent="0.25">
      <c r="A217" s="24"/>
      <c r="B217" s="28">
        <v>3</v>
      </c>
      <c r="C217" s="40"/>
      <c r="D217" s="40"/>
      <c r="E217" s="40"/>
      <c r="F217" s="40"/>
      <c r="G217" s="40"/>
      <c r="H217" s="40"/>
      <c r="I217" s="40">
        <f ca="1">I198</f>
        <v>8464986.0912823454</v>
      </c>
      <c r="J217" s="41">
        <f t="shared" ca="1" si="31"/>
        <v>8544219.1549952663</v>
      </c>
      <c r="K217" s="41">
        <f t="shared" ca="1" si="31"/>
        <v>8608098.0052593611</v>
      </c>
      <c r="L217" s="41">
        <f t="shared" ca="1" si="32"/>
        <v>8692661.794594856</v>
      </c>
      <c r="M217" s="24"/>
      <c r="N217" s="24"/>
      <c r="O217" s="24"/>
      <c r="P217" s="24"/>
      <c r="Q217" s="24"/>
      <c r="R217" s="24"/>
    </row>
    <row r="218" spans="1:18" x14ac:dyDescent="0.25">
      <c r="A218" s="24"/>
      <c r="B218" s="28">
        <v>4</v>
      </c>
      <c r="C218" s="40"/>
      <c r="D218" s="40"/>
      <c r="E218" s="40"/>
      <c r="F218" s="40"/>
      <c r="G218" s="40"/>
      <c r="H218" s="40">
        <f ca="1">H199</f>
        <v>8694376.8880220186</v>
      </c>
      <c r="I218" s="41">
        <f t="shared" ca="1" si="31"/>
        <v>8782608.8373582009</v>
      </c>
      <c r="J218" s="41">
        <f t="shared" ca="1" si="31"/>
        <v>8864814.879763009</v>
      </c>
      <c r="K218" s="41">
        <f t="shared" ca="1" si="31"/>
        <v>8931090.588760037</v>
      </c>
      <c r="L218" s="41">
        <f t="shared" ca="1" si="32"/>
        <v>9018827.3759832624</v>
      </c>
      <c r="M218" s="24"/>
      <c r="N218" s="24"/>
      <c r="O218" s="24"/>
      <c r="P218" s="24"/>
      <c r="Q218" s="24"/>
      <c r="R218" s="24"/>
    </row>
    <row r="219" spans="1:18" x14ac:dyDescent="0.25">
      <c r="A219" s="24"/>
      <c r="B219" s="28">
        <v>5</v>
      </c>
      <c r="C219" s="40"/>
      <c r="D219" s="40"/>
      <c r="E219" s="40"/>
      <c r="F219" s="40"/>
      <c r="G219" s="40">
        <f ca="1">G200</f>
        <v>8808109.0851142332</v>
      </c>
      <c r="H219" s="41">
        <f t="shared" ref="G219:H223" ca="1" si="33">G219*G$207</f>
        <v>8925932.2314546611</v>
      </c>
      <c r="I219" s="41">
        <f t="shared" ca="1" si="31"/>
        <v>9016514.0420394875</v>
      </c>
      <c r="J219" s="41">
        <f t="shared" ca="1" si="31"/>
        <v>9100909.4590971842</v>
      </c>
      <c r="K219" s="41">
        <f t="shared" ca="1" si="31"/>
        <v>9168950.2738350499</v>
      </c>
      <c r="L219" s="41">
        <f t="shared" ca="1" si="32"/>
        <v>9259023.7347680554</v>
      </c>
      <c r="M219" s="24"/>
      <c r="N219" s="24"/>
      <c r="O219" s="24"/>
      <c r="P219" s="24"/>
      <c r="Q219" s="24"/>
      <c r="R219" s="24"/>
    </row>
    <row r="220" spans="1:18" x14ac:dyDescent="0.25">
      <c r="A220" s="24"/>
      <c r="B220" s="28">
        <v>6</v>
      </c>
      <c r="C220" s="40"/>
      <c r="D220" s="40"/>
      <c r="E220" s="40"/>
      <c r="F220" s="40">
        <f ca="1">F201</f>
        <v>8379747.4153216127</v>
      </c>
      <c r="G220" s="41">
        <f t="shared" ca="1" si="33"/>
        <v>8567369.7213044334</v>
      </c>
      <c r="H220" s="41">
        <f t="shared" ca="1" si="33"/>
        <v>8681972.5772263408</v>
      </c>
      <c r="I220" s="41">
        <f t="shared" ca="1" si="31"/>
        <v>8770078.6456010956</v>
      </c>
      <c r="J220" s="41">
        <f t="shared" ca="1" si="31"/>
        <v>8852167.4042358994</v>
      </c>
      <c r="K220" s="41">
        <f t="shared" ca="1" si="31"/>
        <v>8918348.5573489126</v>
      </c>
      <c r="L220" s="41">
        <f t="shared" ca="1" si="32"/>
        <v>9005960.1700609643</v>
      </c>
      <c r="M220" s="24"/>
      <c r="N220" s="24"/>
      <c r="O220" s="24"/>
      <c r="P220" s="24"/>
      <c r="Q220" s="24"/>
      <c r="R220" s="24"/>
    </row>
    <row r="221" spans="1:18" x14ac:dyDescent="0.25">
      <c r="A221" s="24"/>
      <c r="B221" s="28">
        <v>7</v>
      </c>
      <c r="C221" s="40"/>
      <c r="D221" s="40"/>
      <c r="E221" s="40">
        <f ca="1">E202</f>
        <v>8083226.0967140421</v>
      </c>
      <c r="F221" s="41">
        <f ca="1">E221*E$207</f>
        <v>8365277.1546817068</v>
      </c>
      <c r="G221" s="41">
        <f t="shared" ca="1" si="33"/>
        <v>8552575.4719408974</v>
      </c>
      <c r="H221" s="41">
        <f t="shared" ca="1" si="33"/>
        <v>8666980.4301084839</v>
      </c>
      <c r="I221" s="41">
        <f t="shared" ca="1" si="31"/>
        <v>8754934.3557383381</v>
      </c>
      <c r="J221" s="41">
        <f t="shared" ca="1" si="31"/>
        <v>8836881.362399701</v>
      </c>
      <c r="K221" s="41">
        <f t="shared" ca="1" si="31"/>
        <v>8902948.2330066282</v>
      </c>
      <c r="L221" s="41">
        <f t="shared" ca="1" si="32"/>
        <v>8990408.5568064731</v>
      </c>
      <c r="M221" s="24"/>
      <c r="N221" s="24"/>
      <c r="O221" s="24"/>
      <c r="P221" s="24"/>
      <c r="Q221" s="24"/>
      <c r="R221" s="24"/>
    </row>
    <row r="222" spans="1:18" x14ac:dyDescent="0.25">
      <c r="A222" s="24"/>
      <c r="B222" s="28">
        <v>8</v>
      </c>
      <c r="C222" s="40"/>
      <c r="D222" s="40">
        <f ca="1">D203</f>
        <v>7470547.2900259579</v>
      </c>
      <c r="E222" s="41">
        <f ca="1">D222*D$207</f>
        <v>8003691.5336814467</v>
      </c>
      <c r="F222" s="41">
        <f ca="1">E222*E$207</f>
        <v>8282967.362133082</v>
      </c>
      <c r="G222" s="41">
        <f t="shared" ca="1" si="33"/>
        <v>8468422.7654812038</v>
      </c>
      <c r="H222" s="41">
        <f t="shared" ca="1" si="33"/>
        <v>8581702.0408771168</v>
      </c>
      <c r="I222" s="41">
        <f t="shared" ca="1" si="31"/>
        <v>8668790.547556879</v>
      </c>
      <c r="J222" s="41">
        <f t="shared" ca="1" si="31"/>
        <v>8749931.2400945667</v>
      </c>
      <c r="K222" s="41">
        <f t="shared" ca="1" si="31"/>
        <v>8815348.0485082828</v>
      </c>
      <c r="L222" s="41">
        <f t="shared" ca="1" si="32"/>
        <v>8901947.8101324718</v>
      </c>
      <c r="M222" s="24"/>
      <c r="N222" s="24"/>
      <c r="O222" s="24"/>
      <c r="P222" s="24"/>
      <c r="Q222" s="24"/>
      <c r="R222" s="24"/>
    </row>
    <row r="223" spans="1:18" x14ac:dyDescent="0.25">
      <c r="A223" s="24"/>
      <c r="B223" s="28">
        <v>9</v>
      </c>
      <c r="C223" s="40">
        <f ca="1">C204</f>
        <v>5405426.0366258929</v>
      </c>
      <c r="D223" s="41">
        <f ca="1">C223*$C$207</f>
        <v>7921909.1415104801</v>
      </c>
      <c r="E223" s="41">
        <f ca="1">D223*D$207</f>
        <v>8487265.3454926163</v>
      </c>
      <c r="F223" s="41">
        <f ca="1">E223*E$207</f>
        <v>8783414.6974106114</v>
      </c>
      <c r="G223" s="41">
        <f t="shared" ca="1" si="33"/>
        <v>8980075.1023433935</v>
      </c>
      <c r="H223" s="41">
        <f t="shared" ca="1" si="33"/>
        <v>9100198.5809137896</v>
      </c>
      <c r="I223" s="41">
        <f t="shared" ca="1" si="31"/>
        <v>9192548.8747280072</v>
      </c>
      <c r="J223" s="41">
        <f t="shared" ca="1" si="31"/>
        <v>9278591.9943292979</v>
      </c>
      <c r="K223" s="41">
        <f t="shared" ca="1" si="31"/>
        <v>9347961.2108621951</v>
      </c>
      <c r="L223" s="41">
        <f t="shared" ca="1" si="32"/>
        <v>9439793.2302082516</v>
      </c>
      <c r="M223" s="24"/>
      <c r="N223" s="24"/>
      <c r="O223" s="24"/>
      <c r="P223" s="24"/>
      <c r="Q223" s="24"/>
      <c r="R223" s="24"/>
    </row>
    <row r="224" spans="1:18" x14ac:dyDescent="0.2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</row>
    <row r="225" spans="1:26" x14ac:dyDescent="0.2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</row>
    <row r="226" spans="1:26" x14ac:dyDescent="0.25">
      <c r="A226" s="24"/>
      <c r="B226" s="24"/>
      <c r="C226" s="42" t="s">
        <v>90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</row>
    <row r="227" spans="1:26" x14ac:dyDescent="0.2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</row>
    <row r="228" spans="1:26" x14ac:dyDescent="0.25">
      <c r="A228" s="24"/>
      <c r="B228" s="24"/>
      <c r="C228" s="28">
        <v>0</v>
      </c>
      <c r="D228" s="28">
        <v>1</v>
      </c>
      <c r="E228" s="28">
        <v>2</v>
      </c>
      <c r="F228" s="28">
        <v>3</v>
      </c>
      <c r="G228" s="28">
        <v>4</v>
      </c>
      <c r="H228" s="28">
        <v>5</v>
      </c>
      <c r="I228" s="28">
        <v>6</v>
      </c>
      <c r="J228" s="28">
        <v>7</v>
      </c>
      <c r="K228" s="28">
        <v>8</v>
      </c>
      <c r="L228" s="28">
        <v>9</v>
      </c>
      <c r="M228" s="24"/>
      <c r="N228" s="28" t="s">
        <v>75</v>
      </c>
      <c r="O228" s="24"/>
      <c r="P228" s="24"/>
      <c r="Q228" s="24"/>
      <c r="R228" s="24"/>
    </row>
    <row r="229" spans="1:26" x14ac:dyDescent="0.25">
      <c r="A229" s="24"/>
      <c r="B229" s="28">
        <v>0</v>
      </c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40">
        <v>0</v>
      </c>
      <c r="O229" s="24"/>
      <c r="P229" s="24"/>
      <c r="Q229" s="24"/>
      <c r="R229" s="24"/>
    </row>
    <row r="230" spans="1:26" x14ac:dyDescent="0.25">
      <c r="A230" s="24"/>
      <c r="B230" s="28">
        <v>1</v>
      </c>
      <c r="C230" s="24"/>
      <c r="D230" s="53"/>
      <c r="E230" s="53"/>
      <c r="F230" s="53"/>
      <c r="G230" s="53"/>
      <c r="H230" s="53"/>
      <c r="I230" s="53"/>
      <c r="J230" s="53"/>
      <c r="K230" s="47">
        <f t="shared" ref="K230:L238" ca="1" si="34">K215-J215</f>
        <v>9074126.0568616092</v>
      </c>
      <c r="L230" s="47">
        <f ca="1">L215-K215</f>
        <v>89141.931679604575</v>
      </c>
      <c r="M230" s="24"/>
      <c r="N230" s="40">
        <f ca="1">L230</f>
        <v>89141.931679604575</v>
      </c>
      <c r="O230" s="24"/>
      <c r="P230" s="24"/>
      <c r="Q230" s="24"/>
      <c r="R230" s="24"/>
    </row>
    <row r="231" spans="1:26" x14ac:dyDescent="0.25">
      <c r="A231" s="24"/>
      <c r="B231" s="28">
        <v>2</v>
      </c>
      <c r="C231" s="24"/>
      <c r="D231" s="53"/>
      <c r="E231" s="53"/>
      <c r="F231" s="53"/>
      <c r="G231" s="53"/>
      <c r="H231" s="53"/>
      <c r="I231" s="53"/>
      <c r="J231" s="47">
        <f ca="1">J216-I216</f>
        <v>8583212.7844998613</v>
      </c>
      <c r="K231" s="47">
        <f t="shared" ca="1" si="34"/>
        <v>64170.376988209784</v>
      </c>
      <c r="L231" s="47">
        <f t="shared" ca="1" si="34"/>
        <v>84949.716827642173</v>
      </c>
      <c r="M231" s="24"/>
      <c r="N231" s="40">
        <f ca="1">SUM(K231:L231)</f>
        <v>149120.09381585196</v>
      </c>
      <c r="O231" s="24"/>
      <c r="P231" s="24"/>
      <c r="Q231" s="24"/>
      <c r="R231" s="24"/>
    </row>
    <row r="232" spans="1:26" x14ac:dyDescent="0.25">
      <c r="A232" s="24"/>
      <c r="B232" s="28">
        <v>3</v>
      </c>
      <c r="C232" s="24"/>
      <c r="D232" s="53"/>
      <c r="E232" s="53"/>
      <c r="F232" s="53"/>
      <c r="G232" s="53"/>
      <c r="H232" s="53"/>
      <c r="I232" s="47">
        <f ca="1">I217-H217</f>
        <v>8464986.0912823454</v>
      </c>
      <c r="J232" s="47">
        <f ca="1">J217-I217</f>
        <v>79233.063712920994</v>
      </c>
      <c r="K232" s="47">
        <f t="shared" ca="1" si="34"/>
        <v>63878.85026409477</v>
      </c>
      <c r="L232" s="47">
        <f t="shared" ca="1" si="34"/>
        <v>84563.789335494861</v>
      </c>
      <c r="M232" s="24"/>
      <c r="N232" s="40">
        <f ca="1">SUM(J232:L232)</f>
        <v>227675.70331251062</v>
      </c>
      <c r="O232" s="24"/>
      <c r="P232" s="24"/>
      <c r="Q232" s="24"/>
      <c r="R232" s="24"/>
    </row>
    <row r="233" spans="1:26" x14ac:dyDescent="0.25">
      <c r="A233" s="24"/>
      <c r="B233" s="28">
        <v>4</v>
      </c>
      <c r="C233" s="24"/>
      <c r="D233" s="53"/>
      <c r="E233" s="53"/>
      <c r="F233" s="53"/>
      <c r="G233" s="53"/>
      <c r="H233" s="47">
        <f ca="1">H218-G218</f>
        <v>8694376.8880220186</v>
      </c>
      <c r="I233" s="47">
        <f ca="1">I218-H218</f>
        <v>88231.949336182326</v>
      </c>
      <c r="J233" s="47">
        <f ca="1">J218-I218</f>
        <v>82206.042404808104</v>
      </c>
      <c r="K233" s="47">
        <f t="shared" ca="1" si="34"/>
        <v>66275.708997027948</v>
      </c>
      <c r="L233" s="47">
        <f t="shared" ca="1" si="34"/>
        <v>87736.787223225459</v>
      </c>
      <c r="M233" s="24"/>
      <c r="N233" s="40">
        <f ca="1">SUM(I233:L233)</f>
        <v>324450.48796124384</v>
      </c>
      <c r="O233" s="24"/>
      <c r="P233" s="24"/>
      <c r="Q233" s="24"/>
      <c r="R233" s="24"/>
    </row>
    <row r="234" spans="1:26" x14ac:dyDescent="0.25">
      <c r="A234" s="24"/>
      <c r="B234" s="28">
        <v>5</v>
      </c>
      <c r="C234" s="24"/>
      <c r="D234" s="53"/>
      <c r="E234" s="53"/>
      <c r="F234" s="53"/>
      <c r="G234" s="47">
        <f ca="1">G219-F219</f>
        <v>8808109.0851142332</v>
      </c>
      <c r="H234" s="47">
        <f ca="1">H219-G219</f>
        <v>117823.14634042792</v>
      </c>
      <c r="I234" s="47">
        <f ca="1">I219-H219</f>
        <v>90581.810584826395</v>
      </c>
      <c r="J234" s="47">
        <f ca="1">J219-I219</f>
        <v>84395.41705769673</v>
      </c>
      <c r="K234" s="47">
        <f t="shared" ca="1" si="34"/>
        <v>68040.814737865701</v>
      </c>
      <c r="L234" s="47">
        <f t="shared" ca="1" si="34"/>
        <v>90073.460933005437</v>
      </c>
      <c r="M234" s="24"/>
      <c r="N234" s="40">
        <f ca="1">SUM(H234:L234)</f>
        <v>450914.64965382218</v>
      </c>
      <c r="O234" s="24"/>
      <c r="P234" s="24"/>
      <c r="Q234" s="24"/>
      <c r="R234" s="24"/>
    </row>
    <row r="235" spans="1:26" x14ac:dyDescent="0.25">
      <c r="A235" s="24"/>
      <c r="B235" s="28">
        <v>6</v>
      </c>
      <c r="C235" s="24"/>
      <c r="D235" s="53"/>
      <c r="E235" s="53"/>
      <c r="F235" s="47">
        <f ca="1">F220-E220</f>
        <v>8379747.4153216127</v>
      </c>
      <c r="G235" s="47">
        <f ca="1">G220-F220</f>
        <v>187622.30598282069</v>
      </c>
      <c r="H235" s="47">
        <f ca="1">H220-G220</f>
        <v>114602.85592190735</v>
      </c>
      <c r="I235" s="47">
        <f ca="1">I220-H220</f>
        <v>88106.068374754861</v>
      </c>
      <c r="J235" s="47">
        <f ca="1">J220-I220</f>
        <v>82088.758634803817</v>
      </c>
      <c r="K235" s="47">
        <f t="shared" ca="1" si="34"/>
        <v>66181.153113013133</v>
      </c>
      <c r="L235" s="47">
        <f t="shared" ca="1" si="34"/>
        <v>87611.612712051719</v>
      </c>
      <c r="M235" s="24"/>
      <c r="N235" s="40">
        <f ca="1">SUM(G235:L235)</f>
        <v>626212.75473935157</v>
      </c>
      <c r="O235" s="24"/>
      <c r="P235" s="24"/>
      <c r="Q235" s="24"/>
      <c r="R235" s="24"/>
    </row>
    <row r="236" spans="1:26" x14ac:dyDescent="0.25">
      <c r="A236" s="24"/>
      <c r="B236" s="28">
        <v>7</v>
      </c>
      <c r="C236" s="24"/>
      <c r="D236" s="53"/>
      <c r="E236" s="47">
        <f ca="1">E221-D221</f>
        <v>8083226.0967140421</v>
      </c>
      <c r="F236" s="47">
        <f ca="1">F221-E221</f>
        <v>282051.05796766467</v>
      </c>
      <c r="G236" s="47">
        <f ca="1">G221-F221</f>
        <v>187298.3172591906</v>
      </c>
      <c r="H236" s="47">
        <f t="shared" ref="H236:K237" ca="1" si="35">H221-G221</f>
        <v>114404.95816758648</v>
      </c>
      <c r="I236" s="47">
        <f t="shared" ca="1" si="35"/>
        <v>87953.925629854202</v>
      </c>
      <c r="J236" s="47">
        <f t="shared" ca="1" si="35"/>
        <v>81947.006661362946</v>
      </c>
      <c r="K236" s="47">
        <f t="shared" ca="1" si="35"/>
        <v>66066.870606927201</v>
      </c>
      <c r="L236" s="47">
        <f t="shared" ca="1" si="34"/>
        <v>87460.323799844831</v>
      </c>
      <c r="M236" s="24"/>
      <c r="N236" s="40">
        <f ca="1">SUM(F236:L236)</f>
        <v>907182.46009243093</v>
      </c>
      <c r="O236" s="24"/>
      <c r="P236" s="24"/>
      <c r="Q236" s="24"/>
      <c r="R236" s="24"/>
    </row>
    <row r="237" spans="1:26" x14ac:dyDescent="0.25">
      <c r="A237" s="24"/>
      <c r="B237" s="28">
        <v>8</v>
      </c>
      <c r="C237" s="24"/>
      <c r="D237" s="47">
        <f ca="1">D222-C222</f>
        <v>7470547.2900259579</v>
      </c>
      <c r="E237" s="47">
        <f ca="1">E222-D222</f>
        <v>533144.24365548883</v>
      </c>
      <c r="F237" s="47">
        <f ca="1">F222-E222</f>
        <v>279275.82845163532</v>
      </c>
      <c r="G237" s="47">
        <f ca="1">G222-F222</f>
        <v>185455.40334812179</v>
      </c>
      <c r="H237" s="47">
        <f t="shared" ca="1" si="35"/>
        <v>113279.27539591305</v>
      </c>
      <c r="I237" s="47">
        <f t="shared" ca="1" si="35"/>
        <v>87088.506679762155</v>
      </c>
      <c r="J237" s="47">
        <f t="shared" ca="1" si="35"/>
        <v>81140.692537687719</v>
      </c>
      <c r="K237" s="47">
        <f t="shared" ca="1" si="35"/>
        <v>65416.808413716033</v>
      </c>
      <c r="L237" s="47">
        <f t="shared" ca="1" si="34"/>
        <v>86599.761624189094</v>
      </c>
      <c r="M237" s="24"/>
      <c r="N237" s="40">
        <f ca="1">SUM(E237:L237)</f>
        <v>1431400.520106514</v>
      </c>
      <c r="O237" s="24"/>
      <c r="P237" s="24"/>
      <c r="Q237" s="24"/>
      <c r="R237" s="24"/>
    </row>
    <row r="238" spans="1:26" x14ac:dyDescent="0.25">
      <c r="A238" s="24"/>
      <c r="B238" s="28">
        <v>9</v>
      </c>
      <c r="C238" s="47">
        <f ca="1">C223</f>
        <v>5405426.0366258929</v>
      </c>
      <c r="D238" s="47">
        <f ca="1">D223-C223</f>
        <v>2516483.1048845872</v>
      </c>
      <c r="E238" s="47">
        <f ca="1">E223-D223</f>
        <v>565356.20398213621</v>
      </c>
      <c r="F238" s="47">
        <f t="shared" ref="F238:K238" ca="1" si="36">F223-E223</f>
        <v>296149.35191799514</v>
      </c>
      <c r="G238" s="47">
        <f t="shared" ca="1" si="36"/>
        <v>196660.40493278205</v>
      </c>
      <c r="H238" s="47">
        <f t="shared" ca="1" si="36"/>
        <v>120123.47857039608</v>
      </c>
      <c r="I238" s="47">
        <f t="shared" ca="1" si="36"/>
        <v>92350.293814217672</v>
      </c>
      <c r="J238" s="47">
        <f t="shared" ca="1" si="36"/>
        <v>86043.119601290673</v>
      </c>
      <c r="K238" s="47">
        <f t="shared" ca="1" si="36"/>
        <v>69369.216532897204</v>
      </c>
      <c r="L238" s="47">
        <f t="shared" ca="1" si="34"/>
        <v>91832.019346056506</v>
      </c>
      <c r="M238" s="24"/>
      <c r="N238" s="40">
        <f ca="1">SUM(D238:L238)</f>
        <v>4034367.1935823588</v>
      </c>
      <c r="O238" s="24"/>
      <c r="P238" s="24"/>
      <c r="Q238" s="24"/>
      <c r="R238" s="24" cm="1">
        <f t="array" aca="1" ref="R238:Z238" ca="1">TRANSPOSE($N$230:$N$238)</f>
        <v>89141.931679604575</v>
      </c>
      <c r="S238" s="25">
        <f ca="1"/>
        <v>149120.09381585196</v>
      </c>
      <c r="T238" s="25">
        <f ca="1"/>
        <v>227675.70331251062</v>
      </c>
      <c r="U238" s="25">
        <f ca="1"/>
        <v>324450.48796124384</v>
      </c>
      <c r="V238" s="25">
        <f ca="1"/>
        <v>450914.64965382218</v>
      </c>
      <c r="W238" s="25">
        <f ca="1"/>
        <v>626212.75473935157</v>
      </c>
      <c r="X238" s="25">
        <f ca="1"/>
        <v>907182.46009243093</v>
      </c>
      <c r="Y238" s="25">
        <f ca="1"/>
        <v>1431400.520106514</v>
      </c>
      <c r="Z238" s="25">
        <f ca="1"/>
        <v>4034367.1935823588</v>
      </c>
    </row>
    <row r="239" spans="1:26" x14ac:dyDescent="0.2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41"/>
      <c r="O239" s="24"/>
      <c r="P239" s="24"/>
      <c r="Q239" s="24"/>
      <c r="R239" s="24"/>
    </row>
    <row r="240" spans="1:26" x14ac:dyDescent="0.2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44" t="s">
        <v>76</v>
      </c>
      <c r="N240" s="40">
        <f ca="1">SUM(N229:N238)</f>
        <v>8240465.7949436884</v>
      </c>
      <c r="O240" s="24"/>
      <c r="P240" s="24"/>
      <c r="Q240" s="24"/>
      <c r="R240" s="24"/>
    </row>
    <row r="241" spans="1:18" x14ac:dyDescent="0.2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</row>
    <row r="242" spans="1:18" x14ac:dyDescent="0.25">
      <c r="A242" s="24"/>
      <c r="B242" s="24"/>
      <c r="C242" s="42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</row>
    <row r="243" spans="1:18" x14ac:dyDescent="0.25">
      <c r="A243" s="24"/>
      <c r="B243" s="24"/>
      <c r="C243" s="28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</row>
    <row r="244" spans="1:18" x14ac:dyDescent="0.25">
      <c r="A244" s="24"/>
      <c r="B244" s="24"/>
      <c r="C244" s="28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</row>
    <row r="245" spans="1:18" x14ac:dyDescent="0.25">
      <c r="A245" s="24"/>
      <c r="B245" s="28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</row>
    <row r="246" spans="1:18" x14ac:dyDescent="0.25">
      <c r="A246" s="24"/>
      <c r="B246" s="28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</row>
    <row r="247" spans="1:18" x14ac:dyDescent="0.25">
      <c r="A247" s="24"/>
      <c r="B247" s="28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</row>
    <row r="248" spans="1:18" x14ac:dyDescent="0.25">
      <c r="A248" s="24"/>
      <c r="B248" s="28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</row>
    <row r="249" spans="1:18" x14ac:dyDescent="0.25">
      <c r="A249" s="24"/>
      <c r="B249" s="28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</row>
    <row r="250" spans="1:18" x14ac:dyDescent="0.25">
      <c r="A250" s="24"/>
      <c r="B250" s="28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</row>
    <row r="251" spans="1:18" x14ac:dyDescent="0.25">
      <c r="A251" s="24"/>
      <c r="B251" s="28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</row>
    <row r="252" spans="1:18" x14ac:dyDescent="0.25">
      <c r="A252" s="24"/>
      <c r="B252" s="28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</row>
    <row r="253" spans="1:18" x14ac:dyDescent="0.25">
      <c r="A253" s="24"/>
      <c r="B253" s="28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</row>
    <row r="254" spans="1:18" x14ac:dyDescent="0.25">
      <c r="A254" s="24"/>
      <c r="B254" s="28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</row>
    <row r="255" spans="1:18" x14ac:dyDescent="0.2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</row>
    <row r="256" spans="1:18" x14ac:dyDescent="0.2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</row>
    <row r="257" spans="1:39" x14ac:dyDescent="0.2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54"/>
      <c r="R257" s="77" t="s">
        <v>91</v>
      </c>
      <c r="S257" s="77"/>
      <c r="T257" s="77"/>
      <c r="U257" s="77"/>
      <c r="V257" s="77"/>
      <c r="W257" s="77"/>
      <c r="X257" s="77"/>
      <c r="Y257" s="77"/>
      <c r="Z257" s="77"/>
      <c r="AA257" s="77"/>
      <c r="AC257" s="54"/>
      <c r="AD257" s="77" t="s">
        <v>91</v>
      </c>
      <c r="AE257" s="77"/>
      <c r="AF257" s="77"/>
      <c r="AG257" s="77"/>
      <c r="AH257" s="77"/>
      <c r="AI257" s="77"/>
      <c r="AJ257" s="77"/>
      <c r="AK257" s="77"/>
      <c r="AL257" s="77"/>
      <c r="AM257" s="77"/>
    </row>
    <row r="258" spans="1:39" x14ac:dyDescent="0.25">
      <c r="A258" s="24"/>
      <c r="B258" s="24"/>
      <c r="C258" s="42" t="s">
        <v>92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55" t="s">
        <v>93</v>
      </c>
      <c r="R258" s="55">
        <v>1</v>
      </c>
      <c r="S258" s="55">
        <v>2</v>
      </c>
      <c r="T258" s="55">
        <v>3</v>
      </c>
      <c r="U258" s="55">
        <v>4</v>
      </c>
      <c r="V258" s="55">
        <v>5</v>
      </c>
      <c r="W258" s="55">
        <v>6</v>
      </c>
      <c r="X258" s="55">
        <v>7</v>
      </c>
      <c r="Y258" s="55">
        <v>8</v>
      </c>
      <c r="Z258" s="55">
        <v>9</v>
      </c>
      <c r="AA258" s="55" t="s">
        <v>76</v>
      </c>
      <c r="AC258" s="55" t="s">
        <v>93</v>
      </c>
      <c r="AD258" s="55">
        <v>1</v>
      </c>
      <c r="AE258" s="55">
        <v>2</v>
      </c>
      <c r="AF258" s="55">
        <v>3</v>
      </c>
      <c r="AG258" s="55">
        <v>4</v>
      </c>
      <c r="AH258" s="55">
        <v>5</v>
      </c>
      <c r="AI258" s="55">
        <v>6</v>
      </c>
      <c r="AJ258" s="55">
        <v>7</v>
      </c>
      <c r="AK258" s="55">
        <v>8</v>
      </c>
      <c r="AL258" s="55">
        <v>9</v>
      </c>
      <c r="AM258" s="55" t="s">
        <v>76</v>
      </c>
    </row>
    <row r="259" spans="1:39" x14ac:dyDescent="0.25">
      <c r="A259" s="24"/>
      <c r="B259" s="24"/>
      <c r="C259" s="42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55">
        <v>1</v>
      </c>
      <c r="R259" s="61">
        <v>103413.35705648735</v>
      </c>
      <c r="S259" s="54">
        <v>189854.16514962912</v>
      </c>
      <c r="T259" s="54">
        <v>246059.89915331267</v>
      </c>
      <c r="U259" s="54">
        <v>337506.58958881162</v>
      </c>
      <c r="V259" s="54">
        <v>458921.73179513495</v>
      </c>
      <c r="W259" s="54">
        <v>631602.92715162132</v>
      </c>
      <c r="X259" s="54">
        <v>977877.59471877012</v>
      </c>
      <c r="Y259" s="54">
        <v>1496756.5517782485</v>
      </c>
      <c r="Z259" s="54">
        <v>4128096.6189043624</v>
      </c>
      <c r="AA259" s="54">
        <f>SUM(R259:Z259)</f>
        <v>8570089.435296379</v>
      </c>
      <c r="AC259" s="55">
        <v>1</v>
      </c>
      <c r="AD259" s="54">
        <f>R259*$L$268</f>
        <v>97192.091292833109</v>
      </c>
      <c r="AE259" s="54">
        <f>S259*$L$269</f>
        <v>167066.51908946541</v>
      </c>
      <c r="AF259" s="54">
        <f>T259*$L$270</f>
        <v>202448.98347000848</v>
      </c>
      <c r="AG259" s="54">
        <f>U259*$L$271</f>
        <v>259892.91993937953</v>
      </c>
      <c r="AH259" s="54">
        <f>V259*$L$272</f>
        <v>331147.33073133102</v>
      </c>
      <c r="AI259" s="54">
        <f>W259*$L$273</f>
        <v>427484.52849766205</v>
      </c>
      <c r="AJ259" s="54">
        <f>X259*$L$274</f>
        <v>621345.2861416738</v>
      </c>
      <c r="AK259" s="54">
        <f>Y259*$L$275</f>
        <v>892987.49725635885</v>
      </c>
      <c r="AL259" s="54">
        <f>Z259*$L$276</f>
        <v>2311047.8193044872</v>
      </c>
      <c r="AM259" s="54">
        <f>SUM(AD259:AL259)</f>
        <v>5310612.9757231995</v>
      </c>
    </row>
    <row r="260" spans="1:39" x14ac:dyDescent="0.25">
      <c r="A260" s="24"/>
      <c r="B260" s="44" t="s">
        <v>24</v>
      </c>
      <c r="C260" s="54">
        <f ca="1">$N$230</f>
        <v>89141.931679604575</v>
      </c>
      <c r="D260" s="54">
        <f ca="1">$N$231</f>
        <v>149120.09381585196</v>
      </c>
      <c r="E260" s="54">
        <f ca="1">$N$232</f>
        <v>227675.70331251062</v>
      </c>
      <c r="F260" s="54">
        <f ca="1">$N$233</f>
        <v>324450.48796124384</v>
      </c>
      <c r="G260" s="54">
        <f ca="1">$N$234</f>
        <v>450914.64965382218</v>
      </c>
      <c r="H260" s="54">
        <f ca="1">$N$235</f>
        <v>626212.75473935157</v>
      </c>
      <c r="I260" s="54">
        <f ca="1">$N$236</f>
        <v>907182.46009243093</v>
      </c>
      <c r="J260" s="54">
        <f ca="1">$N$237</f>
        <v>1431400.520106514</v>
      </c>
      <c r="K260" s="54">
        <f ca="1">$N$238</f>
        <v>4034367.1935823588</v>
      </c>
      <c r="L260" s="54">
        <f ca="1">$N$240</f>
        <v>8240465.7949436884</v>
      </c>
      <c r="M260" s="53"/>
      <c r="N260" s="53"/>
      <c r="O260" s="53"/>
      <c r="P260" s="53"/>
      <c r="Q260" s="55">
        <v>2</v>
      </c>
      <c r="R260" s="61">
        <v>124230.94433077052</v>
      </c>
      <c r="S260" s="54">
        <v>206678.43354450911</v>
      </c>
      <c r="T260" s="54">
        <v>263962.29762509838</v>
      </c>
      <c r="U260" s="54">
        <v>287484.1923488928</v>
      </c>
      <c r="V260" s="54">
        <v>453809.03669954278</v>
      </c>
      <c r="W260" s="54">
        <v>663486.14573021047</v>
      </c>
      <c r="X260" s="54">
        <v>880012.83030821104</v>
      </c>
      <c r="Y260" s="54">
        <v>1473332.1338124294</v>
      </c>
      <c r="Z260" s="54">
        <v>3720432.4576702891</v>
      </c>
      <c r="AA260" s="54">
        <f t="shared" ref="AA260:AA323" si="37">SUM(R260:Z260)</f>
        <v>8073428.4720699536</v>
      </c>
      <c r="AC260" s="55">
        <v>2</v>
      </c>
      <c r="AD260" s="54">
        <f t="shared" ref="AD260:AD323" si="38">R260*$L$268</f>
        <v>116757.30898278262</v>
      </c>
      <c r="AE260" s="54">
        <f t="shared" ref="AE260:AE323" si="39">S260*$L$269</f>
        <v>181871.41923344834</v>
      </c>
      <c r="AF260" s="54">
        <f t="shared" ref="AF260:AF323" si="40">T260*$L$270</f>
        <v>217178.41473759525</v>
      </c>
      <c r="AG260" s="54">
        <f t="shared" ref="AG260:AG323" si="41">U260*$L$271</f>
        <v>221373.77014473794</v>
      </c>
      <c r="AH260" s="54">
        <f t="shared" ref="AH260:AH323" si="42">V260*$L$272</f>
        <v>327458.1279404196</v>
      </c>
      <c r="AI260" s="54">
        <f t="shared" ref="AI260:AI323" si="43">W260*$L$273</f>
        <v>449063.88171966537</v>
      </c>
      <c r="AJ260" s="54">
        <f t="shared" ref="AJ260:AJ323" si="44">X260*$L$274</f>
        <v>559161.82844280486</v>
      </c>
      <c r="AK260" s="54">
        <f t="shared" ref="AK260:AK323" si="45">Y260*$L$275</f>
        <v>879012.1367682874</v>
      </c>
      <c r="AL260" s="54">
        <f t="shared" ref="AL260:AL323" si="46">Z260*$L$276</f>
        <v>2082823.6623130625</v>
      </c>
      <c r="AM260" s="54">
        <f t="shared" ref="AM260:AM323" si="47">SUM(AD260:AL260)</f>
        <v>5034700.5502828043</v>
      </c>
    </row>
    <row r="261" spans="1:39" x14ac:dyDescent="0.25">
      <c r="A261" s="24"/>
      <c r="B261" s="44" t="s">
        <v>94</v>
      </c>
      <c r="C261" s="40">
        <f>AVERAGE(AD259:AD358)</f>
        <v>83826.203253034182</v>
      </c>
      <c r="D261" s="40">
        <f t="shared" ref="D261:L261" si="48">AVERAGE(AE259:AE358)</f>
        <v>128852.60397662973</v>
      </c>
      <c r="E261" s="40">
        <f t="shared" si="48"/>
        <v>177973.6135473217</v>
      </c>
      <c r="F261" s="40">
        <f t="shared" si="48"/>
        <v>228236.52224772368</v>
      </c>
      <c r="G261" s="40">
        <f t="shared" si="48"/>
        <v>314696.78072625503</v>
      </c>
      <c r="H261" s="40">
        <f t="shared" si="48"/>
        <v>434159.04774696118</v>
      </c>
      <c r="I261" s="40">
        <f t="shared" si="48"/>
        <v>587068.17378932924</v>
      </c>
      <c r="J261" s="40">
        <f t="shared" si="48"/>
        <v>869873.09133404447</v>
      </c>
      <c r="K261" s="40">
        <f t="shared" si="48"/>
        <v>2191060.1287146728</v>
      </c>
      <c r="L261" s="40">
        <f t="shared" si="48"/>
        <v>5015746.1653359719</v>
      </c>
      <c r="M261" s="53"/>
      <c r="N261" s="53"/>
      <c r="O261" s="53"/>
      <c r="P261" s="53"/>
      <c r="Q261" s="55">
        <v>3</v>
      </c>
      <c r="R261" s="61">
        <v>103193.67388685606</v>
      </c>
      <c r="S261" s="54">
        <v>162347.13724230789</v>
      </c>
      <c r="T261" s="54">
        <v>248096.57848180458</v>
      </c>
      <c r="U261" s="54">
        <v>331136.90643969178</v>
      </c>
      <c r="V261" s="54">
        <v>446890.44658265635</v>
      </c>
      <c r="W261" s="54">
        <v>650946.09262331575</v>
      </c>
      <c r="X261" s="54">
        <v>949700.34999150038</v>
      </c>
      <c r="Y261" s="54">
        <v>1467679.4552220292</v>
      </c>
      <c r="Z261" s="54">
        <v>3749679.255063802</v>
      </c>
      <c r="AA261" s="54">
        <f t="shared" si="37"/>
        <v>8109669.895533964</v>
      </c>
      <c r="AC261" s="55">
        <v>3</v>
      </c>
      <c r="AD261" s="54">
        <f t="shared" si="38"/>
        <v>96985.624088924043</v>
      </c>
      <c r="AE261" s="54">
        <f t="shared" si="39"/>
        <v>142861.08014451995</v>
      </c>
      <c r="AF261" s="54">
        <f t="shared" si="40"/>
        <v>204124.68788639802</v>
      </c>
      <c r="AG261" s="54">
        <f t="shared" si="41"/>
        <v>254988.02147582581</v>
      </c>
      <c r="AH261" s="54">
        <f t="shared" si="42"/>
        <v>322465.8329783369</v>
      </c>
      <c r="AI261" s="54">
        <f t="shared" si="43"/>
        <v>440576.46271115652</v>
      </c>
      <c r="AJ261" s="54">
        <f t="shared" si="44"/>
        <v>603441.4111758254</v>
      </c>
      <c r="AK261" s="54">
        <f t="shared" si="45"/>
        <v>875639.66360206751</v>
      </c>
      <c r="AL261" s="54">
        <f t="shared" si="46"/>
        <v>2099197.0066355742</v>
      </c>
      <c r="AM261" s="54">
        <f t="shared" si="47"/>
        <v>5040279.7906986289</v>
      </c>
    </row>
    <row r="262" spans="1:39" x14ac:dyDescent="0.25">
      <c r="A262" s="24"/>
      <c r="B262" s="44" t="s">
        <v>95</v>
      </c>
      <c r="C262" s="40">
        <f>_xlfn.STDEV.S(AD259:AD358)</f>
        <v>24567.245246295905</v>
      </c>
      <c r="D262" s="40">
        <f t="shared" ref="D262:K262" si="49">_xlfn.STDEV.S(AE259:AE358)</f>
        <v>26263.247782174865</v>
      </c>
      <c r="E262" s="40">
        <f t="shared" si="49"/>
        <v>26448.898521454161</v>
      </c>
      <c r="F262" s="40">
        <f t="shared" si="49"/>
        <v>24752.340859504275</v>
      </c>
      <c r="G262" s="40">
        <f t="shared" si="49"/>
        <v>25193.952122904797</v>
      </c>
      <c r="H262" s="40">
        <f t="shared" si="49"/>
        <v>29351.405059246546</v>
      </c>
      <c r="I262" s="40">
        <f t="shared" si="49"/>
        <v>31175.962117227682</v>
      </c>
      <c r="J262" s="40">
        <f t="shared" si="49"/>
        <v>38273.047822198096</v>
      </c>
      <c r="K262" s="40">
        <f t="shared" si="49"/>
        <v>93246.547179760339</v>
      </c>
      <c r="L262" s="40">
        <f>_xlfn.STDEV.S(AM259:AM358)</f>
        <v>215373.64418940307</v>
      </c>
      <c r="M262" s="24"/>
      <c r="N262" s="24"/>
      <c r="O262" s="24"/>
      <c r="P262" s="24"/>
      <c r="Q262" s="55">
        <v>4</v>
      </c>
      <c r="R262" s="61">
        <v>95198.108761500567</v>
      </c>
      <c r="S262" s="54">
        <v>123417.33335169777</v>
      </c>
      <c r="T262" s="54">
        <v>179927.99267755821</v>
      </c>
      <c r="U262" s="54">
        <v>271689.13295779936</v>
      </c>
      <c r="V262" s="54">
        <v>382239.97634745389</v>
      </c>
      <c r="W262" s="54">
        <v>594853.21894134209</v>
      </c>
      <c r="X262" s="54">
        <v>850701.9208279578</v>
      </c>
      <c r="Y262" s="54">
        <v>1376376.3457659744</v>
      </c>
      <c r="Z262" s="54">
        <v>4110851.3547852207</v>
      </c>
      <c r="AA262" s="54">
        <f t="shared" si="37"/>
        <v>7985255.3844165048</v>
      </c>
      <c r="AC262" s="55">
        <v>4</v>
      </c>
      <c r="AD262" s="54">
        <f t="shared" si="38"/>
        <v>89471.065837257702</v>
      </c>
      <c r="AE262" s="54">
        <f t="shared" si="39"/>
        <v>108603.90796336769</v>
      </c>
      <c r="AF262" s="54">
        <f t="shared" si="40"/>
        <v>148038.09698659868</v>
      </c>
      <c r="AG262" s="54">
        <f t="shared" si="41"/>
        <v>209210.97323233276</v>
      </c>
      <c r="AH262" s="54">
        <f t="shared" si="42"/>
        <v>275815.54565119487</v>
      </c>
      <c r="AI262" s="54">
        <f t="shared" si="43"/>
        <v>402611.41437587363</v>
      </c>
      <c r="AJ262" s="54">
        <f t="shared" si="44"/>
        <v>540537.62073374249</v>
      </c>
      <c r="AK262" s="54">
        <f t="shared" si="45"/>
        <v>821166.85363973957</v>
      </c>
      <c r="AL262" s="54">
        <f t="shared" si="46"/>
        <v>2301393.3383862446</v>
      </c>
      <c r="AM262" s="54">
        <f t="shared" si="47"/>
        <v>4896848.8168063518</v>
      </c>
    </row>
    <row r="263" spans="1:39" x14ac:dyDescent="0.25">
      <c r="A263" s="24"/>
      <c r="B263" s="44" t="s">
        <v>96</v>
      </c>
      <c r="C263" s="56">
        <f>C262/C261</f>
        <v>0.29307357715031268</v>
      </c>
      <c r="D263" s="56">
        <f t="shared" ref="D263:K263" si="50">D262/D261</f>
        <v>0.2038239583185939</v>
      </c>
      <c r="E263" s="56">
        <f t="shared" si="50"/>
        <v>0.14861134745922108</v>
      </c>
      <c r="F263" s="56">
        <f t="shared" si="50"/>
        <v>0.10845039442302115</v>
      </c>
      <c r="G263" s="56">
        <f t="shared" si="50"/>
        <v>8.0057864159786982E-2</v>
      </c>
      <c r="H263" s="56">
        <f t="shared" si="50"/>
        <v>6.7605190336499185E-2</v>
      </c>
      <c r="I263" s="56">
        <f t="shared" si="50"/>
        <v>5.3104500480748676E-2</v>
      </c>
      <c r="J263" s="56">
        <f t="shared" si="50"/>
        <v>4.3998427130907382E-2</v>
      </c>
      <c r="K263" s="56">
        <f t="shared" si="50"/>
        <v>4.255773082524255E-2</v>
      </c>
      <c r="L263" s="56">
        <f>L262/L261</f>
        <v>4.2939502337231338E-2</v>
      </c>
      <c r="M263" s="24"/>
      <c r="N263" s="24"/>
      <c r="O263" s="24"/>
      <c r="P263" s="24"/>
      <c r="Q263" s="55">
        <v>5</v>
      </c>
      <c r="R263" s="61">
        <v>38432.29526164569</v>
      </c>
      <c r="S263" s="54">
        <v>92173.370349209756</v>
      </c>
      <c r="T263" s="54">
        <v>175726.7511259485</v>
      </c>
      <c r="U263" s="54">
        <v>265728.80579270422</v>
      </c>
      <c r="V263" s="54">
        <v>412701.63031676225</v>
      </c>
      <c r="W263" s="54">
        <v>594467.00767046772</v>
      </c>
      <c r="X263" s="54">
        <v>865050.0653887298</v>
      </c>
      <c r="Y263" s="54">
        <v>1450519.725408257</v>
      </c>
      <c r="Z263" s="54">
        <v>3836169.8796598995</v>
      </c>
      <c r="AA263" s="54">
        <f t="shared" si="37"/>
        <v>7730969.5309736244</v>
      </c>
      <c r="AC263" s="55">
        <v>5</v>
      </c>
      <c r="AD263" s="54">
        <f t="shared" si="38"/>
        <v>36120.238777498045</v>
      </c>
      <c r="AE263" s="54">
        <f t="shared" si="39"/>
        <v>81110.067429124814</v>
      </c>
      <c r="AF263" s="54">
        <f t="shared" si="40"/>
        <v>144581.47083840458</v>
      </c>
      <c r="AG263" s="54">
        <f t="shared" si="41"/>
        <v>204621.29445711893</v>
      </c>
      <c r="AH263" s="54">
        <f t="shared" si="42"/>
        <v>297795.97216562484</v>
      </c>
      <c r="AI263" s="54">
        <f t="shared" si="43"/>
        <v>402350.01700747519</v>
      </c>
      <c r="AJ263" s="54">
        <f t="shared" si="44"/>
        <v>549654.45911501138</v>
      </c>
      <c r="AK263" s="54">
        <f t="shared" si="45"/>
        <v>865401.91040045931</v>
      </c>
      <c r="AL263" s="54">
        <f t="shared" si="46"/>
        <v>2147617.3775270255</v>
      </c>
      <c r="AM263" s="54">
        <f t="shared" si="47"/>
        <v>4729252.8077177424</v>
      </c>
    </row>
    <row r="264" spans="1:39" x14ac:dyDescent="0.25">
      <c r="A264" s="24"/>
      <c r="B264" s="44" t="s">
        <v>97</v>
      </c>
      <c r="C264" s="44">
        <v>1</v>
      </c>
      <c r="D264" s="44">
        <v>2</v>
      </c>
      <c r="E264" s="44">
        <v>3</v>
      </c>
      <c r="F264" s="44">
        <v>4</v>
      </c>
      <c r="G264" s="44">
        <v>5</v>
      </c>
      <c r="H264" s="44">
        <v>6</v>
      </c>
      <c r="I264" s="44">
        <v>7</v>
      </c>
      <c r="J264" s="44">
        <v>8</v>
      </c>
      <c r="K264" s="44">
        <v>9</v>
      </c>
      <c r="L264" s="44" t="s">
        <v>76</v>
      </c>
      <c r="M264" s="24"/>
      <c r="N264" s="24"/>
      <c r="O264" s="24"/>
      <c r="P264" s="24"/>
      <c r="Q264" s="55">
        <v>6</v>
      </c>
      <c r="R264" s="54">
        <v>52999.175774678588</v>
      </c>
      <c r="S264" s="54">
        <v>120250.51517420635</v>
      </c>
      <c r="T264" s="54">
        <v>170310.19818397798</v>
      </c>
      <c r="U264" s="54">
        <v>238467.22896223888</v>
      </c>
      <c r="V264" s="54">
        <v>358419.06238926016</v>
      </c>
      <c r="W264" s="54">
        <v>558295.58197422326</v>
      </c>
      <c r="X264" s="54">
        <v>859704.62530354224</v>
      </c>
      <c r="Y264" s="54">
        <v>1455189.0985669792</v>
      </c>
      <c r="Z264" s="54">
        <v>3647450.629537574</v>
      </c>
      <c r="AA264" s="54">
        <f t="shared" si="37"/>
        <v>7461086.1158666806</v>
      </c>
      <c r="AC264" s="55">
        <v>6</v>
      </c>
      <c r="AD264" s="54">
        <f t="shared" si="38"/>
        <v>49810.787280832505</v>
      </c>
      <c r="AE264" s="54">
        <f t="shared" si="39"/>
        <v>105817.19380786963</v>
      </c>
      <c r="AF264" s="54">
        <f t="shared" si="40"/>
        <v>140124.93143159058</v>
      </c>
      <c r="AG264" s="54">
        <f t="shared" si="41"/>
        <v>183628.84268527877</v>
      </c>
      <c r="AH264" s="54">
        <f t="shared" si="42"/>
        <v>258626.92387470879</v>
      </c>
      <c r="AI264" s="54">
        <f t="shared" si="43"/>
        <v>377868.29883593268</v>
      </c>
      <c r="AJ264" s="54">
        <f t="shared" si="44"/>
        <v>546257.95630400337</v>
      </c>
      <c r="AK264" s="54">
        <f t="shared" si="45"/>
        <v>868187.72873932635</v>
      </c>
      <c r="AL264" s="54">
        <f t="shared" si="46"/>
        <v>2041965.9716324285</v>
      </c>
      <c r="AM264" s="54">
        <f t="shared" si="47"/>
        <v>4572288.6345919706</v>
      </c>
    </row>
    <row r="265" spans="1:39" x14ac:dyDescent="0.2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55">
        <v>7</v>
      </c>
      <c r="R265" s="54">
        <v>38605.725295679644</v>
      </c>
      <c r="S265" s="54">
        <v>120867.29940691404</v>
      </c>
      <c r="T265" s="54">
        <v>173316.2651650589</v>
      </c>
      <c r="U265" s="54">
        <v>230363.20140540414</v>
      </c>
      <c r="V265" s="54">
        <v>371383.88282584585</v>
      </c>
      <c r="W265" s="54">
        <v>563699.62097811326</v>
      </c>
      <c r="X265" s="54">
        <v>896212.33284801245</v>
      </c>
      <c r="Y265" s="54">
        <v>1443157.7763901949</v>
      </c>
      <c r="Z265" s="54">
        <v>3694794.6527512064</v>
      </c>
      <c r="AA265" s="54">
        <f t="shared" si="37"/>
        <v>7532400.7570664296</v>
      </c>
      <c r="AC265" s="55">
        <v>7</v>
      </c>
      <c r="AD265" s="54">
        <f t="shared" si="38"/>
        <v>36283.235397862467</v>
      </c>
      <c r="AE265" s="54">
        <f t="shared" si="39"/>
        <v>106359.94721391963</v>
      </c>
      <c r="AF265" s="54">
        <f t="shared" si="40"/>
        <v>142598.21215167816</v>
      </c>
      <c r="AG265" s="54">
        <f t="shared" si="41"/>
        <v>177388.43301629732</v>
      </c>
      <c r="AH265" s="54">
        <f t="shared" si="42"/>
        <v>267982.03910142224</v>
      </c>
      <c r="AI265" s="54">
        <f t="shared" si="43"/>
        <v>381525.88648515253</v>
      </c>
      <c r="AJ265" s="54">
        <f t="shared" si="44"/>
        <v>569455.0232100297</v>
      </c>
      <c r="AK265" s="54">
        <f t="shared" si="45"/>
        <v>861009.66075855342</v>
      </c>
      <c r="AL265" s="54">
        <f t="shared" si="46"/>
        <v>2068470.7537889094</v>
      </c>
      <c r="AM265" s="54">
        <f t="shared" si="47"/>
        <v>4611073.1911238246</v>
      </c>
    </row>
    <row r="266" spans="1:39" x14ac:dyDescent="0.2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55">
        <v>8</v>
      </c>
      <c r="R266" s="54">
        <v>76032.599138718098</v>
      </c>
      <c r="S266" s="54">
        <v>163591.72105491906</v>
      </c>
      <c r="T266" s="54">
        <v>221377.67975915037</v>
      </c>
      <c r="U266" s="54">
        <v>305776.06693795137</v>
      </c>
      <c r="V266" s="54">
        <v>443937.65668012388</v>
      </c>
      <c r="W266" s="54">
        <v>663939.48565807566</v>
      </c>
      <c r="X266" s="54">
        <v>932225.91330463998</v>
      </c>
      <c r="Y266" s="54">
        <v>1499733.8813649155</v>
      </c>
      <c r="Z266" s="54">
        <v>4242341.6249632789</v>
      </c>
      <c r="AA266" s="54">
        <f t="shared" si="37"/>
        <v>8548956.6288617738</v>
      </c>
      <c r="AC266" s="55">
        <v>8</v>
      </c>
      <c r="AD266" s="54">
        <f t="shared" si="38"/>
        <v>71458.5381140385</v>
      </c>
      <c r="AE266" s="54">
        <f t="shared" si="39"/>
        <v>143956.28016356705</v>
      </c>
      <c r="AF266" s="54">
        <f t="shared" si="40"/>
        <v>182141.36632749121</v>
      </c>
      <c r="AG266" s="54">
        <f t="shared" si="41"/>
        <v>235459.20979173013</v>
      </c>
      <c r="AH266" s="54">
        <f t="shared" si="42"/>
        <v>320335.16792874504</v>
      </c>
      <c r="AI266" s="54">
        <f t="shared" si="43"/>
        <v>449370.71342829376</v>
      </c>
      <c r="AJ266" s="54">
        <f t="shared" si="44"/>
        <v>592338.12082333048</v>
      </c>
      <c r="AK266" s="54">
        <f t="shared" si="45"/>
        <v>894763.8169210006</v>
      </c>
      <c r="AL266" s="54">
        <f t="shared" si="46"/>
        <v>2375006.0297082351</v>
      </c>
      <c r="AM266" s="54">
        <f t="shared" si="47"/>
        <v>5264829.2432064321</v>
      </c>
    </row>
    <row r="267" spans="1:39" x14ac:dyDescent="0.25">
      <c r="A267" s="24"/>
      <c r="B267" s="42"/>
      <c r="C267" s="53"/>
      <c r="D267" s="53"/>
      <c r="E267" s="53"/>
      <c r="F267" s="53"/>
      <c r="G267" s="53"/>
      <c r="H267" s="53"/>
      <c r="I267" s="53"/>
      <c r="J267" s="53" t="s">
        <v>97</v>
      </c>
      <c r="K267" s="53" t="s">
        <v>98</v>
      </c>
      <c r="L267" t="s">
        <v>99</v>
      </c>
      <c r="M267" s="40" t="s">
        <v>100</v>
      </c>
      <c r="N267" s="40">
        <f>LARGE(AM259:AM358,5)</f>
        <v>5411904.4802083634</v>
      </c>
      <c r="O267" s="24"/>
      <c r="P267" s="24"/>
      <c r="Q267" s="55">
        <v>9</v>
      </c>
      <c r="R267" s="54">
        <v>116690.72540732846</v>
      </c>
      <c r="S267" s="54">
        <v>187540.66720254906</v>
      </c>
      <c r="T267" s="54">
        <v>265690.13848848827</v>
      </c>
      <c r="U267" s="54">
        <v>338551.40195603669</v>
      </c>
      <c r="V267" s="54">
        <v>472004.2191075962</v>
      </c>
      <c r="W267" s="54">
        <v>650661.55963417515</v>
      </c>
      <c r="X267" s="54">
        <v>956307.27416766156</v>
      </c>
      <c r="Y267" s="54">
        <v>1468166.8585578687</v>
      </c>
      <c r="Z267" s="54">
        <v>4174577.1287264526</v>
      </c>
      <c r="AA267" s="54">
        <f t="shared" si="37"/>
        <v>8630189.9732481577</v>
      </c>
      <c r="AC267" s="55">
        <v>9</v>
      </c>
      <c r="AD267" s="54">
        <f t="shared" si="38"/>
        <v>109670.70366568779</v>
      </c>
      <c r="AE267" s="54">
        <f t="shared" si="39"/>
        <v>165030.70360638303</v>
      </c>
      <c r="AF267" s="54">
        <f t="shared" si="40"/>
        <v>218600.01828857971</v>
      </c>
      <c r="AG267" s="54">
        <f t="shared" si="41"/>
        <v>260697.46522911068</v>
      </c>
      <c r="AH267" s="54">
        <f t="shared" si="42"/>
        <v>340587.35166017641</v>
      </c>
      <c r="AI267" s="54">
        <f t="shared" si="43"/>
        <v>440383.88372604421</v>
      </c>
      <c r="AJ267" s="54">
        <f t="shared" si="44"/>
        <v>607639.46338084992</v>
      </c>
      <c r="AK267" s="54">
        <f t="shared" si="45"/>
        <v>875930.45577164821</v>
      </c>
      <c r="AL267" s="54">
        <f t="shared" si="46"/>
        <v>2337069.1775189689</v>
      </c>
      <c r="AM267" s="54">
        <f t="shared" si="47"/>
        <v>5355609.2228474487</v>
      </c>
    </row>
    <row r="268" spans="1:39" x14ac:dyDescent="0.25">
      <c r="A268" s="24"/>
      <c r="B268" s="42"/>
      <c r="C268" s="53"/>
      <c r="D268" s="53"/>
      <c r="E268" s="53"/>
      <c r="F268" s="53"/>
      <c r="G268" s="53"/>
      <c r="H268" s="53"/>
      <c r="I268" s="53"/>
      <c r="J268" s="53">
        <v>1</v>
      </c>
      <c r="K268" s="57">
        <v>6.4009999999999997E-2</v>
      </c>
      <c r="L268">
        <v>0.93984079097000972</v>
      </c>
      <c r="M268" s="53"/>
      <c r="N268" s="53"/>
      <c r="O268" s="53"/>
      <c r="P268" s="53"/>
      <c r="Q268" s="55">
        <v>10</v>
      </c>
      <c r="R268" s="61">
        <v>97613.721714239568</v>
      </c>
      <c r="S268" s="61">
        <v>184845.52125052363</v>
      </c>
      <c r="T268" s="61">
        <v>220983.26982260309</v>
      </c>
      <c r="U268" s="61">
        <v>309795.0985526219</v>
      </c>
      <c r="V268" s="61">
        <v>430184.87182274833</v>
      </c>
      <c r="W268" s="61">
        <v>644278.94222406298</v>
      </c>
      <c r="X268" s="61">
        <v>912846.08138515335</v>
      </c>
      <c r="Y268" s="61">
        <v>1479753.2829559986</v>
      </c>
      <c r="Z268" s="61">
        <v>3897418.9443674255</v>
      </c>
      <c r="AA268" s="54">
        <f t="shared" si="37"/>
        <v>8177719.7340953769</v>
      </c>
      <c r="AC268" s="55">
        <v>10</v>
      </c>
      <c r="AD268" s="54">
        <f t="shared" si="38"/>
        <v>91741.357425437323</v>
      </c>
      <c r="AE268" s="54">
        <f t="shared" si="39"/>
        <v>162659.04822401056</v>
      </c>
      <c r="AF268" s="54">
        <f t="shared" si="40"/>
        <v>181816.86042059935</v>
      </c>
      <c r="AG268" s="54">
        <f t="shared" si="41"/>
        <v>238554.01710479017</v>
      </c>
      <c r="AH268" s="54">
        <f t="shared" si="42"/>
        <v>310411.47576052323</v>
      </c>
      <c r="AI268" s="54">
        <f t="shared" si="43"/>
        <v>436063.9699370953</v>
      </c>
      <c r="AJ268" s="54">
        <f t="shared" si="44"/>
        <v>580024.13871102536</v>
      </c>
      <c r="AK268" s="54">
        <f t="shared" si="45"/>
        <v>882843.09103831428</v>
      </c>
      <c r="AL268" s="54">
        <f t="shared" si="46"/>
        <v>2181906.671236516</v>
      </c>
      <c r="AM268" s="54">
        <f t="shared" si="47"/>
        <v>5066020.6298583113</v>
      </c>
    </row>
    <row r="269" spans="1:39" x14ac:dyDescent="0.25">
      <c r="A269" s="24"/>
      <c r="B269" s="24"/>
      <c r="C269" s="24"/>
      <c r="D269" s="28"/>
      <c r="E269" s="24"/>
      <c r="F269" s="24"/>
      <c r="G269" s="24"/>
      <c r="H269" s="24"/>
      <c r="I269" s="24"/>
      <c r="J269" s="24">
        <v>2</v>
      </c>
      <c r="K269" s="57">
        <v>6.6019999999999995E-2</v>
      </c>
      <c r="L269">
        <v>0.87997289370921006</v>
      </c>
      <c r="M269" s="24"/>
      <c r="N269" s="24"/>
      <c r="O269" s="24"/>
      <c r="P269" s="24"/>
      <c r="Q269" s="55">
        <v>11</v>
      </c>
      <c r="R269" s="54">
        <v>40373.934309314936</v>
      </c>
      <c r="S269" s="54">
        <v>102182.67231690139</v>
      </c>
      <c r="T269" s="54">
        <v>166540.49239845946</v>
      </c>
      <c r="U269" s="54">
        <v>236815.9236811474</v>
      </c>
      <c r="V269" s="54">
        <v>417126.86748377234</v>
      </c>
      <c r="W269" s="54">
        <v>609687.07550671324</v>
      </c>
      <c r="X269" s="54">
        <v>924054.92817476578</v>
      </c>
      <c r="Y269" s="54">
        <v>1407255.4400625154</v>
      </c>
      <c r="Z269" s="54">
        <v>3989015.5629725736</v>
      </c>
      <c r="AA269" s="54">
        <f t="shared" si="37"/>
        <v>7893052.8969061635</v>
      </c>
      <c r="AC269" s="55">
        <v>11</v>
      </c>
      <c r="AD269" s="54">
        <f t="shared" si="38"/>
        <v>37945.070355837765</v>
      </c>
      <c r="AE269" s="54">
        <f t="shared" si="39"/>
        <v>89917.981845643706</v>
      </c>
      <c r="AF269" s="54">
        <f t="shared" si="40"/>
        <v>137023.35694958316</v>
      </c>
      <c r="AG269" s="54">
        <f t="shared" si="41"/>
        <v>182357.27476793222</v>
      </c>
      <c r="AH269" s="54">
        <f t="shared" si="42"/>
        <v>300989.12118033011</v>
      </c>
      <c r="AI269" s="54">
        <f t="shared" si="43"/>
        <v>412651.33646465675</v>
      </c>
      <c r="AJ269" s="54">
        <f t="shared" si="44"/>
        <v>587146.26130941953</v>
      </c>
      <c r="AK269" s="54">
        <f t="shared" si="45"/>
        <v>839589.78628075635</v>
      </c>
      <c r="AL269" s="54">
        <f t="shared" si="46"/>
        <v>2233185.5499123926</v>
      </c>
      <c r="AM269" s="54">
        <f t="shared" si="47"/>
        <v>4820805.7390665524</v>
      </c>
    </row>
    <row r="270" spans="1:39" x14ac:dyDescent="0.25">
      <c r="A270" s="24"/>
      <c r="B270" s="24"/>
      <c r="C270" s="24"/>
      <c r="D270" s="28" t="s">
        <v>101</v>
      </c>
      <c r="E270" s="24"/>
      <c r="F270" s="28"/>
      <c r="G270" s="24"/>
      <c r="H270" s="24"/>
      <c r="I270" s="24"/>
      <c r="J270" s="24">
        <v>3</v>
      </c>
      <c r="K270" s="57">
        <v>6.719E-2</v>
      </c>
      <c r="L270">
        <v>0.82276301082228964</v>
      </c>
      <c r="M270" s="24"/>
      <c r="N270" s="24"/>
      <c r="O270" s="24"/>
      <c r="P270" s="24"/>
      <c r="Q270" s="55">
        <v>12</v>
      </c>
      <c r="R270" s="54">
        <v>79723.730092346668</v>
      </c>
      <c r="S270" s="54">
        <v>131248.99263891391</v>
      </c>
      <c r="T270" s="54">
        <v>214830.42535493337</v>
      </c>
      <c r="U270" s="54">
        <v>285841.09927727468</v>
      </c>
      <c r="V270" s="54">
        <v>401141.21891755238</v>
      </c>
      <c r="W270" s="54">
        <v>655971.02210075594</v>
      </c>
      <c r="X270" s="54">
        <v>872528.21186675876</v>
      </c>
      <c r="Y270" s="54">
        <v>1410797.5993457492</v>
      </c>
      <c r="Z270" s="54">
        <v>3775431.0204764558</v>
      </c>
      <c r="AA270" s="54">
        <f t="shared" si="37"/>
        <v>7827513.3200707408</v>
      </c>
      <c r="AC270" s="55">
        <v>12</v>
      </c>
      <c r="AD270" s="54">
        <f t="shared" si="38"/>
        <v>74927.613549070666</v>
      </c>
      <c r="AE270" s="54">
        <f t="shared" si="39"/>
        <v>115495.55584888389</v>
      </c>
      <c r="AF270" s="54">
        <f t="shared" si="40"/>
        <v>176754.52758125812</v>
      </c>
      <c r="AG270" s="54">
        <f t="shared" si="41"/>
        <v>220108.52594125364</v>
      </c>
      <c r="AH270" s="54">
        <f t="shared" si="42"/>
        <v>289454.246089525</v>
      </c>
      <c r="AI270" s="54">
        <f t="shared" si="43"/>
        <v>443977.45962876873</v>
      </c>
      <c r="AJ270" s="54">
        <f t="shared" si="44"/>
        <v>554406.08762996527</v>
      </c>
      <c r="AK270" s="54">
        <f t="shared" si="45"/>
        <v>841703.09184769064</v>
      </c>
      <c r="AL270" s="54">
        <f t="shared" si="46"/>
        <v>2113613.7140904376</v>
      </c>
      <c r="AM270" s="54">
        <f t="shared" si="47"/>
        <v>4830440.822206853</v>
      </c>
    </row>
    <row r="271" spans="1:39" x14ac:dyDescent="0.25">
      <c r="A271" s="24"/>
      <c r="B271" s="24"/>
      <c r="C271" s="28" t="s">
        <v>102</v>
      </c>
      <c r="D271" s="28" t="s">
        <v>103</v>
      </c>
      <c r="E271" s="28" t="s">
        <v>104</v>
      </c>
      <c r="F271" s="28" t="s">
        <v>105</v>
      </c>
      <c r="G271" s="24"/>
      <c r="H271" s="58"/>
      <c r="I271" s="24"/>
      <c r="J271" s="24">
        <v>4</v>
      </c>
      <c r="K271" s="57">
        <v>6.7510000000000001E-2</v>
      </c>
      <c r="L271">
        <v>0.77003806134869912</v>
      </c>
      <c r="M271" s="24"/>
      <c r="N271" s="24"/>
      <c r="O271" s="24"/>
      <c r="P271" s="24"/>
      <c r="Q271" s="55">
        <v>13</v>
      </c>
      <c r="R271" s="54">
        <v>49542.762607863173</v>
      </c>
      <c r="S271" s="54">
        <v>100420.14939963259</v>
      </c>
      <c r="T271" s="54">
        <v>162562.83839780837</v>
      </c>
      <c r="U271" s="54">
        <v>227326.52394378744</v>
      </c>
      <c r="V271" s="54">
        <v>361707.64600844495</v>
      </c>
      <c r="W271" s="54">
        <v>552463.85797795374</v>
      </c>
      <c r="X271" s="54">
        <v>849057.68740474246</v>
      </c>
      <c r="Y271" s="54">
        <v>1346272.9460275285</v>
      </c>
      <c r="Z271" s="54">
        <v>3885738.9700957537</v>
      </c>
      <c r="AA271" s="54">
        <f t="shared" si="37"/>
        <v>7535093.3818635149</v>
      </c>
      <c r="AC271" s="55">
        <v>13</v>
      </c>
      <c r="AD271" s="54">
        <f t="shared" si="38"/>
        <v>46562.309196213544</v>
      </c>
      <c r="AE271" s="54">
        <f t="shared" si="39"/>
        <v>88367.009453905877</v>
      </c>
      <c r="AF271" s="54">
        <f t="shared" si="40"/>
        <v>133750.69036799812</v>
      </c>
      <c r="AG271" s="54">
        <f t="shared" si="41"/>
        <v>175050.07579081273</v>
      </c>
      <c r="AH271" s="54">
        <f t="shared" si="42"/>
        <v>260999.88992083617</v>
      </c>
      <c r="AI271" s="54">
        <f t="shared" si="43"/>
        <v>373921.24337481172</v>
      </c>
      <c r="AJ271" s="54">
        <f t="shared" si="44"/>
        <v>539492.87168503844</v>
      </c>
      <c r="AK271" s="54">
        <f t="shared" si="45"/>
        <v>803206.71205264912</v>
      </c>
      <c r="AL271" s="54">
        <f t="shared" si="46"/>
        <v>2175367.8274152582</v>
      </c>
      <c r="AM271" s="54">
        <f t="shared" si="47"/>
        <v>4596718.6292575244</v>
      </c>
    </row>
    <row r="272" spans="1:39" x14ac:dyDescent="0.25">
      <c r="A272" s="24"/>
      <c r="B272" s="24"/>
      <c r="C272" s="28">
        <v>1</v>
      </c>
      <c r="D272" s="45">
        <f>C148</f>
        <v>-0.42736456620312668</v>
      </c>
      <c r="E272" s="24">
        <f ca="1">INT(RAND()*$C$326+1)</f>
        <v>40</v>
      </c>
      <c r="F272" s="45">
        <f ca="1">VLOOKUP(E272,$C$272:$D$326,2)</f>
        <v>-1.2243917343919817</v>
      </c>
      <c r="G272" s="24"/>
      <c r="H272" s="24"/>
      <c r="I272" s="24"/>
      <c r="J272" s="24">
        <v>5</v>
      </c>
      <c r="K272" s="57">
        <v>6.744E-2</v>
      </c>
      <c r="L272">
        <v>0.72157692213877744</v>
      </c>
      <c r="M272" s="24"/>
      <c r="N272" s="24"/>
      <c r="O272" s="24"/>
      <c r="P272" s="24"/>
      <c r="Q272" s="55">
        <v>14</v>
      </c>
      <c r="R272" s="54">
        <v>120682.36676451005</v>
      </c>
      <c r="S272" s="54">
        <v>163670.66459582001</v>
      </c>
      <c r="T272" s="54">
        <v>236970.59439474903</v>
      </c>
      <c r="U272" s="54">
        <v>332042.74855348654</v>
      </c>
      <c r="V272" s="54">
        <v>470387.3694730904</v>
      </c>
      <c r="W272" s="54">
        <v>690782.63259424642</v>
      </c>
      <c r="X272" s="54">
        <v>1017313.0512340264</v>
      </c>
      <c r="Y272" s="54">
        <v>1445167.8420031928</v>
      </c>
      <c r="Z272" s="54">
        <v>4087804.996322141</v>
      </c>
      <c r="AA272" s="54">
        <f t="shared" si="37"/>
        <v>8564822.2659352627</v>
      </c>
      <c r="AC272" s="55">
        <v>14</v>
      </c>
      <c r="AD272" s="54">
        <f t="shared" si="38"/>
        <v>113422.21103608994</v>
      </c>
      <c r="AE272" s="54">
        <f t="shared" si="39"/>
        <v>144025.74833969329</v>
      </c>
      <c r="AF272" s="54">
        <f t="shared" si="40"/>
        <v>194970.63972057131</v>
      </c>
      <c r="AG272" s="54">
        <f t="shared" si="41"/>
        <v>255685.55438102034</v>
      </c>
      <c r="AH272" s="54">
        <f t="shared" si="42"/>
        <v>339420.67027734849</v>
      </c>
      <c r="AI272" s="54">
        <f t="shared" si="43"/>
        <v>467538.82113981445</v>
      </c>
      <c r="AJ272" s="54">
        <f t="shared" si="44"/>
        <v>646402.65031990339</v>
      </c>
      <c r="AK272" s="54">
        <f t="shared" si="45"/>
        <v>862208.89617124596</v>
      </c>
      <c r="AL272" s="54">
        <f t="shared" si="46"/>
        <v>2288491.2090549925</v>
      </c>
      <c r="AM272" s="54">
        <f t="shared" si="47"/>
        <v>5312166.4004406799</v>
      </c>
    </row>
    <row r="273" spans="1:39" x14ac:dyDescent="0.25">
      <c r="A273" s="24"/>
      <c r="B273" s="24"/>
      <c r="C273" s="28">
        <v>2</v>
      </c>
      <c r="D273" s="45">
        <f t="shared" ref="D273:D281" si="51">C149</f>
        <v>0.33011622990597783</v>
      </c>
      <c r="E273" s="24">
        <f t="shared" ref="E273:E326" ca="1" si="52">INT(RAND()*$C$326+1)</f>
        <v>19</v>
      </c>
      <c r="F273" s="45">
        <f t="shared" ref="F273:F326" ca="1" si="53">VLOOKUP(E273,$C$272:$D$326,2)</f>
        <v>-2.1456623266114634</v>
      </c>
      <c r="G273" s="24"/>
      <c r="H273" s="24"/>
      <c r="I273" s="24"/>
      <c r="J273" s="24">
        <v>6</v>
      </c>
      <c r="K273" s="57">
        <v>6.7220000000000002E-2</v>
      </c>
      <c r="L273">
        <v>0.67682480577712867</v>
      </c>
      <c r="M273" s="24"/>
      <c r="N273" s="24"/>
      <c r="O273" s="24"/>
      <c r="P273" s="24"/>
      <c r="Q273" s="55">
        <v>15</v>
      </c>
      <c r="R273" s="54">
        <v>80931.701689239591</v>
      </c>
      <c r="S273" s="54">
        <v>152366.45340343565</v>
      </c>
      <c r="T273" s="54">
        <v>210654.86435258947</v>
      </c>
      <c r="U273" s="54">
        <v>290959.79603521526</v>
      </c>
      <c r="V273" s="54">
        <v>432757.54489915725</v>
      </c>
      <c r="W273" s="54">
        <v>622355.92445346247</v>
      </c>
      <c r="X273" s="54">
        <v>937487.4017872829</v>
      </c>
      <c r="Y273" s="54">
        <v>1497199.7487224992</v>
      </c>
      <c r="Z273" s="54">
        <v>3874790.0060258936</v>
      </c>
      <c r="AA273" s="54">
        <f t="shared" si="37"/>
        <v>8099503.4413687754</v>
      </c>
      <c r="AC273" s="55">
        <v>15</v>
      </c>
      <c r="AD273" s="54">
        <f t="shared" si="38"/>
        <v>76062.914530163805</v>
      </c>
      <c r="AE273" s="54">
        <f t="shared" si="39"/>
        <v>134078.34890563079</v>
      </c>
      <c r="AF273" s="54">
        <f t="shared" si="40"/>
        <v>173319.03043909752</v>
      </c>
      <c r="AG273" s="54">
        <f t="shared" si="41"/>
        <v>224050.11726937006</v>
      </c>
      <c r="AH273" s="54">
        <f t="shared" si="42"/>
        <v>312267.8572806677</v>
      </c>
      <c r="AI273" s="54">
        <f t="shared" si="43"/>
        <v>421225.92769246013</v>
      </c>
      <c r="AJ273" s="54">
        <f t="shared" si="44"/>
        <v>595681.28062618815</v>
      </c>
      <c r="AK273" s="54">
        <f t="shared" si="45"/>
        <v>893251.9152270488</v>
      </c>
      <c r="AL273" s="54">
        <f t="shared" si="46"/>
        <v>2169238.2277781232</v>
      </c>
      <c r="AM273" s="54">
        <f t="shared" si="47"/>
        <v>4999175.6197487507</v>
      </c>
    </row>
    <row r="274" spans="1:39" x14ac:dyDescent="0.25">
      <c r="A274" s="24"/>
      <c r="B274" s="24"/>
      <c r="C274" s="28">
        <v>3</v>
      </c>
      <c r="D274" s="45">
        <f t="shared" si="51"/>
        <v>-6.8056962034867982E-2</v>
      </c>
      <c r="E274" s="24">
        <f t="shared" ca="1" si="52"/>
        <v>21</v>
      </c>
      <c r="F274" s="45">
        <f t="shared" ca="1" si="53"/>
        <v>-0.42587076150862907</v>
      </c>
      <c r="G274" s="24"/>
      <c r="H274" s="24"/>
      <c r="I274" s="24"/>
      <c r="J274" s="24">
        <v>7</v>
      </c>
      <c r="K274" s="57">
        <v>6.6930000000000003E-2</v>
      </c>
      <c r="L274">
        <v>0.63540190459151258</v>
      </c>
      <c r="M274" s="24"/>
      <c r="N274" s="24"/>
      <c r="O274" s="24"/>
      <c r="P274" s="24"/>
      <c r="Q274" s="55">
        <v>16</v>
      </c>
      <c r="R274" s="54">
        <v>74862.262390520424</v>
      </c>
      <c r="S274" s="54">
        <v>155487.34625674784</v>
      </c>
      <c r="T274" s="54">
        <v>221538.1867168881</v>
      </c>
      <c r="U274" s="54">
        <v>283575.46897462197</v>
      </c>
      <c r="V274" s="54">
        <v>418604.44749614876</v>
      </c>
      <c r="W274" s="54">
        <v>608800.30105368048</v>
      </c>
      <c r="X274" s="54">
        <v>912006.28895872273</v>
      </c>
      <c r="Y274" s="54">
        <v>1425144.9375593178</v>
      </c>
      <c r="Z274" s="54">
        <v>4029464.4305753997</v>
      </c>
      <c r="AA274" s="54">
        <f t="shared" si="37"/>
        <v>8129483.6699820478</v>
      </c>
      <c r="AC274" s="55">
        <v>16</v>
      </c>
      <c r="AD274" s="54">
        <f t="shared" si="38"/>
        <v>70358.607898911127</v>
      </c>
      <c r="AE274" s="54">
        <f t="shared" si="39"/>
        <v>136824.6500207163</v>
      </c>
      <c r="AF274" s="54">
        <f t="shared" si="40"/>
        <v>182273.42551529742</v>
      </c>
      <c r="AG274" s="54">
        <f t="shared" si="41"/>
        <v>218363.90437526608</v>
      </c>
      <c r="AH274" s="54">
        <f t="shared" si="42"/>
        <v>302055.30881787447</v>
      </c>
      <c r="AI274" s="54">
        <f t="shared" si="43"/>
        <v>412051.14551771473</v>
      </c>
      <c r="AJ274" s="54">
        <f t="shared" si="44"/>
        <v>579490.53300380975</v>
      </c>
      <c r="AK274" s="54">
        <f t="shared" si="45"/>
        <v>850262.92987105099</v>
      </c>
      <c r="AL274" s="54">
        <f t="shared" si="46"/>
        <v>2255830.1912317756</v>
      </c>
      <c r="AM274" s="54">
        <f t="shared" si="47"/>
        <v>5007510.6962524168</v>
      </c>
    </row>
    <row r="275" spans="1:39" x14ac:dyDescent="0.25">
      <c r="A275" s="24"/>
      <c r="B275" s="24"/>
      <c r="C275" s="28">
        <v>4</v>
      </c>
      <c r="D275" s="45">
        <f t="shared" si="51"/>
        <v>-0.79058047455112479</v>
      </c>
      <c r="E275" s="24">
        <f t="shared" ca="1" si="52"/>
        <v>49</v>
      </c>
      <c r="F275" s="45">
        <f t="shared" ca="1" si="53"/>
        <v>0.46137759923926003</v>
      </c>
      <c r="G275" s="24"/>
      <c r="H275" s="24"/>
      <c r="I275" s="24"/>
      <c r="J275" s="24">
        <v>8</v>
      </c>
      <c r="K275" s="57">
        <v>6.6689999999999999E-2</v>
      </c>
      <c r="L275">
        <v>0.59661505820397376</v>
      </c>
      <c r="M275" s="24"/>
      <c r="N275" s="24"/>
      <c r="O275" s="24"/>
      <c r="P275" s="24"/>
      <c r="Q275" s="55">
        <v>17</v>
      </c>
      <c r="R275" s="54">
        <v>115014.05673312582</v>
      </c>
      <c r="S275" s="54">
        <v>155991.40186770074</v>
      </c>
      <c r="T275" s="54">
        <v>244526.50781603158</v>
      </c>
      <c r="U275" s="54">
        <v>325528.91495695524</v>
      </c>
      <c r="V275" s="54">
        <v>469294.01631063595</v>
      </c>
      <c r="W275" s="54">
        <v>661239.39673978463</v>
      </c>
      <c r="X275" s="54">
        <v>959976.82827077154</v>
      </c>
      <c r="Y275" s="54">
        <v>1524152.4145729132</v>
      </c>
      <c r="Z275" s="54">
        <v>3765219.3121586535</v>
      </c>
      <c r="AA275" s="54">
        <f t="shared" si="37"/>
        <v>8220942.8494265722</v>
      </c>
      <c r="AC275" s="55">
        <v>17</v>
      </c>
      <c r="AD275" s="54">
        <f t="shared" si="38"/>
        <v>108094.90205273054</v>
      </c>
      <c r="AE275" s="54">
        <f t="shared" si="39"/>
        <v>137268.20529527689</v>
      </c>
      <c r="AF275" s="54">
        <f t="shared" si="40"/>
        <v>201187.36579657829</v>
      </c>
      <c r="AG275" s="54">
        <f t="shared" si="41"/>
        <v>250669.65458639935</v>
      </c>
      <c r="AH275" s="54">
        <f t="shared" si="42"/>
        <v>338631.73186757392</v>
      </c>
      <c r="AI275" s="54">
        <f t="shared" si="43"/>
        <v>447543.22627059044</v>
      </c>
      <c r="AJ275" s="54">
        <f t="shared" si="44"/>
        <v>609971.10504696763</v>
      </c>
      <c r="AK275" s="54">
        <f t="shared" si="45"/>
        <v>909332.2815321458</v>
      </c>
      <c r="AL275" s="54">
        <f t="shared" si="46"/>
        <v>2107896.8551072548</v>
      </c>
      <c r="AM275" s="54">
        <f t="shared" si="47"/>
        <v>5110595.3275555167</v>
      </c>
    </row>
    <row r="276" spans="1:39" x14ac:dyDescent="0.25">
      <c r="A276" s="24"/>
      <c r="B276" s="24"/>
      <c r="C276" s="28">
        <v>5</v>
      </c>
      <c r="D276" s="45">
        <f t="shared" si="51"/>
        <v>-1.1729288737657959</v>
      </c>
      <c r="E276" s="24">
        <f t="shared" ca="1" si="52"/>
        <v>24</v>
      </c>
      <c r="F276" s="45">
        <f t="shared" ca="1" si="53"/>
        <v>0.7131997067625433</v>
      </c>
      <c r="G276" s="24"/>
      <c r="H276" s="24"/>
      <c r="I276" s="24"/>
      <c r="J276" s="24">
        <v>9</v>
      </c>
      <c r="K276" s="57">
        <v>6.658E-2</v>
      </c>
      <c r="L276">
        <v>0.55983375212711517</v>
      </c>
      <c r="M276" s="24"/>
      <c r="N276" s="24"/>
      <c r="O276" s="24"/>
      <c r="P276" s="24"/>
      <c r="Q276" s="55">
        <v>18</v>
      </c>
      <c r="R276" s="54">
        <v>73003.23745485954</v>
      </c>
      <c r="S276" s="54">
        <v>128882.40222684108</v>
      </c>
      <c r="T276" s="54">
        <v>172860.07154727913</v>
      </c>
      <c r="U276" s="54">
        <v>259075.44154888391</v>
      </c>
      <c r="V276" s="54">
        <v>421393.51010637917</v>
      </c>
      <c r="W276" s="54">
        <v>614534.79656105861</v>
      </c>
      <c r="X276" s="54">
        <v>857122.77324551623</v>
      </c>
      <c r="Y276" s="54">
        <v>1454890.2026107796</v>
      </c>
      <c r="Z276" s="54">
        <v>3863102.7394400006</v>
      </c>
      <c r="AA276" s="54">
        <f t="shared" si="37"/>
        <v>7844865.1747415978</v>
      </c>
      <c r="AC276" s="55">
        <v>18</v>
      </c>
      <c r="AD276" s="54">
        <f t="shared" si="38"/>
        <v>68611.42043294663</v>
      </c>
      <c r="AE276" s="54">
        <f t="shared" si="39"/>
        <v>113413.02043574768</v>
      </c>
      <c r="AF276" s="54">
        <f t="shared" si="40"/>
        <v>142222.87291719578</v>
      </c>
      <c r="AG276" s="54">
        <f t="shared" si="41"/>
        <v>199497.95075336078</v>
      </c>
      <c r="AH276" s="54">
        <f t="shared" si="42"/>
        <v>304067.83203181688</v>
      </c>
      <c r="AI276" s="54">
        <f t="shared" si="43"/>
        <v>415932.39432572579</v>
      </c>
      <c r="AJ276" s="54">
        <f t="shared" si="44"/>
        <v>544617.44258896017</v>
      </c>
      <c r="AK276" s="54">
        <f t="shared" si="45"/>
        <v>868009.40291102137</v>
      </c>
      <c r="AL276" s="54">
        <f t="shared" si="46"/>
        <v>2162695.3014732329</v>
      </c>
      <c r="AM276" s="54">
        <f t="shared" si="47"/>
        <v>4819067.6378700081</v>
      </c>
    </row>
    <row r="277" spans="1:39" x14ac:dyDescent="0.25">
      <c r="A277" s="24"/>
      <c r="B277" s="24"/>
      <c r="C277" s="28">
        <v>6</v>
      </c>
      <c r="D277" s="45">
        <f t="shared" si="51"/>
        <v>-0.87287366235020436</v>
      </c>
      <c r="E277" s="24">
        <f t="shared" ca="1" si="52"/>
        <v>32</v>
      </c>
      <c r="F277" s="45">
        <f t="shared" ca="1" si="53"/>
        <v>1.3034226106279823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55">
        <v>19</v>
      </c>
      <c r="R277" s="54">
        <v>100771.80339155532</v>
      </c>
      <c r="S277" s="54">
        <v>116388.60610654205</v>
      </c>
      <c r="T277" s="54">
        <v>199411.94390800223</v>
      </c>
      <c r="U277" s="54">
        <v>270060.12779249717</v>
      </c>
      <c r="V277" s="54">
        <v>410400.01054888405</v>
      </c>
      <c r="W277" s="54">
        <v>607944.55737950653</v>
      </c>
      <c r="X277" s="54">
        <v>875487.42922728416</v>
      </c>
      <c r="Y277" s="54">
        <v>1369536.9590870421</v>
      </c>
      <c r="Z277" s="54">
        <v>3839931.807699604</v>
      </c>
      <c r="AA277" s="54">
        <f t="shared" si="37"/>
        <v>7789933.2451409176</v>
      </c>
      <c r="AC277" s="55">
        <v>19</v>
      </c>
      <c r="AD277" s="54">
        <f t="shared" si="38"/>
        <v>94709.45140699367</v>
      </c>
      <c r="AE277" s="54">
        <f t="shared" si="39"/>
        <v>102418.81851035524</v>
      </c>
      <c r="AF277" s="54">
        <f t="shared" si="40"/>
        <v>164068.77136367344</v>
      </c>
      <c r="AG277" s="54">
        <f t="shared" si="41"/>
        <v>207956.57725291647</v>
      </c>
      <c r="AH277" s="54">
        <f t="shared" si="42"/>
        <v>296135.17645758553</v>
      </c>
      <c r="AI277" s="54">
        <f t="shared" si="43"/>
        <v>411471.95697164699</v>
      </c>
      <c r="AJ277" s="54">
        <f t="shared" si="44"/>
        <v>556286.37997694348</v>
      </c>
      <c r="AK277" s="54">
        <f t="shared" si="45"/>
        <v>817086.37255820888</v>
      </c>
      <c r="AL277" s="54">
        <f t="shared" si="46"/>
        <v>2149723.4318167255</v>
      </c>
      <c r="AM277" s="54">
        <f t="shared" si="47"/>
        <v>4799856.9363150485</v>
      </c>
    </row>
    <row r="278" spans="1:39" x14ac:dyDescent="0.25">
      <c r="A278" s="24"/>
      <c r="B278" s="24"/>
      <c r="C278" s="28">
        <v>7</v>
      </c>
      <c r="D278" s="45">
        <f t="shared" si="51"/>
        <v>0.33900120767711694</v>
      </c>
      <c r="E278" s="24">
        <f t="shared" ca="1" si="52"/>
        <v>46</v>
      </c>
      <c r="F278" s="45">
        <f t="shared" ca="1" si="53"/>
        <v>-0.83487309827030476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55">
        <v>20</v>
      </c>
      <c r="R278" s="54">
        <v>68895.681621743366</v>
      </c>
      <c r="S278" s="54">
        <v>131565.97959589772</v>
      </c>
      <c r="T278" s="54">
        <v>199968.02068891004</v>
      </c>
      <c r="U278" s="54">
        <v>308632.885255225</v>
      </c>
      <c r="V278" s="54">
        <v>404662.85033656098</v>
      </c>
      <c r="W278" s="54">
        <v>637547.56023544259</v>
      </c>
      <c r="X278" s="54">
        <v>907733.33606368769</v>
      </c>
      <c r="Y278" s="54">
        <v>1526338.7303753924</v>
      </c>
      <c r="Z278" s="54">
        <v>3708482.9910123553</v>
      </c>
      <c r="AA278" s="54">
        <f t="shared" si="37"/>
        <v>7893828.0351852151</v>
      </c>
      <c r="AC278" s="55">
        <v>20</v>
      </c>
      <c r="AD278" s="54">
        <f t="shared" si="38"/>
        <v>64750.971909797248</v>
      </c>
      <c r="AE278" s="54">
        <f t="shared" si="39"/>
        <v>115774.495778689</v>
      </c>
      <c r="AF278" s="54">
        <f t="shared" si="40"/>
        <v>164526.29077018154</v>
      </c>
      <c r="AG278" s="54">
        <f t="shared" si="41"/>
        <v>237659.06863038897</v>
      </c>
      <c r="AH278" s="54">
        <f t="shared" si="42"/>
        <v>291995.3740497604</v>
      </c>
      <c r="AI278" s="54">
        <f t="shared" si="43"/>
        <v>431508.00363003567</v>
      </c>
      <c r="AJ278" s="54">
        <f t="shared" si="44"/>
        <v>576775.49059607473</v>
      </c>
      <c r="AK278" s="54">
        <f t="shared" si="45"/>
        <v>910636.67046189413</v>
      </c>
      <c r="AL278" s="54">
        <f t="shared" si="46"/>
        <v>2076133.9475580335</v>
      </c>
      <c r="AM278" s="54">
        <f t="shared" si="47"/>
        <v>4869760.3133848552</v>
      </c>
    </row>
    <row r="279" spans="1:39" x14ac:dyDescent="0.25">
      <c r="A279" s="24"/>
      <c r="B279" s="24"/>
      <c r="C279" s="28">
        <v>8</v>
      </c>
      <c r="D279" s="45">
        <f t="shared" si="51"/>
        <v>1.1990873891760649</v>
      </c>
      <c r="E279" s="24">
        <f t="shared" ca="1" si="52"/>
        <v>52</v>
      </c>
      <c r="F279" s="45">
        <f t="shared" ca="1" si="53"/>
        <v>0.74115653073470211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55">
        <v>21</v>
      </c>
      <c r="R279" s="54">
        <v>122358.66364087723</v>
      </c>
      <c r="S279" s="54">
        <v>192405.26138336398</v>
      </c>
      <c r="T279" s="54">
        <v>257208.80040902831</v>
      </c>
      <c r="U279" s="54">
        <v>291726.12290184759</v>
      </c>
      <c r="V279" s="54">
        <v>422113.94757264294</v>
      </c>
      <c r="W279" s="54">
        <v>625208.0141821038</v>
      </c>
      <c r="X279" s="54">
        <v>894563.24385731854</v>
      </c>
      <c r="Y279" s="54">
        <v>1432142.1146115689</v>
      </c>
      <c r="Z279" s="54">
        <v>3829625.7836668491</v>
      </c>
      <c r="AA279" s="54">
        <f t="shared" si="37"/>
        <v>8067351.9522256004</v>
      </c>
      <c r="AC279" s="55">
        <v>21</v>
      </c>
      <c r="AD279" s="54">
        <f t="shared" si="38"/>
        <v>114997.66321827543</v>
      </c>
      <c r="AE279" s="54">
        <f t="shared" si="39"/>
        <v>169311.41462439572</v>
      </c>
      <c r="AF279" s="54">
        <f t="shared" si="40"/>
        <v>211621.8870345215</v>
      </c>
      <c r="AG279" s="54">
        <f t="shared" si="41"/>
        <v>224640.21812411104</v>
      </c>
      <c r="AH279" s="54">
        <f t="shared" si="42"/>
        <v>304587.68308131694</v>
      </c>
      <c r="AI279" s="54">
        <f t="shared" si="43"/>
        <v>423156.29276910669</v>
      </c>
      <c r="AJ279" s="54">
        <f t="shared" si="44"/>
        <v>568407.18892450188</v>
      </c>
      <c r="AK279" s="54">
        <f t="shared" si="45"/>
        <v>854437.5510653432</v>
      </c>
      <c r="AL279" s="54">
        <f t="shared" si="46"/>
        <v>2143953.771712956</v>
      </c>
      <c r="AM279" s="54">
        <f t="shared" si="47"/>
        <v>5015113.670554528</v>
      </c>
    </row>
    <row r="280" spans="1:39" x14ac:dyDescent="0.25">
      <c r="A280" s="24"/>
      <c r="B280" s="24"/>
      <c r="C280" s="28">
        <v>9</v>
      </c>
      <c r="D280" s="45">
        <f t="shared" si="51"/>
        <v>1.4401076455055348</v>
      </c>
      <c r="E280" s="24">
        <f t="shared" ca="1" si="52"/>
        <v>51</v>
      </c>
      <c r="F280" s="45">
        <f t="shared" ca="1" si="53"/>
        <v>8.5076331567551913E-2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55">
        <v>22</v>
      </c>
      <c r="R280" s="54">
        <v>77329.484263086691</v>
      </c>
      <c r="S280" s="54">
        <v>135132.19150784612</v>
      </c>
      <c r="T280" s="54">
        <v>210491.36727055348</v>
      </c>
      <c r="U280" s="54">
        <v>306214.09350525774</v>
      </c>
      <c r="V280" s="54">
        <v>468227.73526067473</v>
      </c>
      <c r="W280" s="54">
        <v>664949.30944374762</v>
      </c>
      <c r="X280" s="54">
        <v>873196.15247781668</v>
      </c>
      <c r="Y280" s="54">
        <v>1494396.2349079549</v>
      </c>
      <c r="Z280" s="54">
        <v>4341334.8668633979</v>
      </c>
      <c r="AA280" s="54">
        <f t="shared" si="37"/>
        <v>8571271.4355003349</v>
      </c>
      <c r="AC280" s="55">
        <v>22</v>
      </c>
      <c r="AD280" s="54">
        <f t="shared" si="38"/>
        <v>72677.403655122311</v>
      </c>
      <c r="AE280" s="54">
        <f t="shared" si="39"/>
        <v>118912.66559442649</v>
      </c>
      <c r="AF280" s="54">
        <f t="shared" si="40"/>
        <v>173184.51108762095</v>
      </c>
      <c r="AG280" s="54">
        <f t="shared" si="41"/>
        <v>235796.50692043794</v>
      </c>
      <c r="AH280" s="54">
        <f t="shared" si="42"/>
        <v>337862.32806940796</v>
      </c>
      <c r="AI280" s="54">
        <f t="shared" si="43"/>
        <v>450054.18721590034</v>
      </c>
      <c r="AJ280" s="54">
        <f t="shared" si="44"/>
        <v>554830.49836638558</v>
      </c>
      <c r="AK280" s="54">
        <f t="shared" si="45"/>
        <v>891579.2966694088</v>
      </c>
      <c r="AL280" s="54">
        <f t="shared" si="46"/>
        <v>2430425.7877564062</v>
      </c>
      <c r="AM280" s="54">
        <f t="shared" si="47"/>
        <v>5265323.1853351165</v>
      </c>
    </row>
    <row r="281" spans="1:39" x14ac:dyDescent="0.25">
      <c r="A281" s="24"/>
      <c r="B281" s="24"/>
      <c r="C281" s="28">
        <v>10</v>
      </c>
      <c r="D281" s="45">
        <f t="shared" si="51"/>
        <v>-3.2084170222495827E-3</v>
      </c>
      <c r="E281" s="24">
        <f t="shared" ca="1" si="52"/>
        <v>12</v>
      </c>
      <c r="F281" s="45">
        <f t="shared" ca="1" si="53"/>
        <v>0.5208963582648003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55">
        <v>23</v>
      </c>
      <c r="R281" s="54">
        <v>68402.861342333257</v>
      </c>
      <c r="S281" s="54">
        <v>129808.07754693553</v>
      </c>
      <c r="T281" s="54">
        <v>189879.88590339944</v>
      </c>
      <c r="U281" s="54">
        <v>275750.1264102878</v>
      </c>
      <c r="V281" s="54">
        <v>412965.23278287053</v>
      </c>
      <c r="W281" s="54">
        <v>626154.78870886378</v>
      </c>
      <c r="X281" s="54">
        <v>870539.57397042215</v>
      </c>
      <c r="Y281" s="54">
        <v>1398767.3068817658</v>
      </c>
      <c r="Z281" s="54">
        <v>3924497.8918293659</v>
      </c>
      <c r="AA281" s="54">
        <f t="shared" si="37"/>
        <v>7896765.7453762442</v>
      </c>
      <c r="AC281" s="55">
        <v>23</v>
      </c>
      <c r="AD281" s="54">
        <f t="shared" si="38"/>
        <v>64287.799308590387</v>
      </c>
      <c r="AE281" s="54">
        <f t="shared" si="39"/>
        <v>114227.58962580639</v>
      </c>
      <c r="AF281" s="54">
        <f t="shared" si="40"/>
        <v>156226.14662047377</v>
      </c>
      <c r="AG281" s="54">
        <f t="shared" si="41"/>
        <v>212338.09275763674</v>
      </c>
      <c r="AH281" s="54">
        <f t="shared" si="42"/>
        <v>297986.18162178749</v>
      </c>
      <c r="AI281" s="54">
        <f t="shared" si="43"/>
        <v>423797.09325429576</v>
      </c>
      <c r="AJ281" s="54">
        <f t="shared" si="44"/>
        <v>553142.50332309015</v>
      </c>
      <c r="AK281" s="54">
        <f t="shared" si="45"/>
        <v>834525.63820908032</v>
      </c>
      <c r="AL281" s="54">
        <f t="shared" si="46"/>
        <v>2197066.3799977871</v>
      </c>
      <c r="AM281" s="54">
        <f t="shared" si="47"/>
        <v>4853597.4247185476</v>
      </c>
    </row>
    <row r="282" spans="1:39" x14ac:dyDescent="0.25">
      <c r="A282" s="24"/>
      <c r="B282" s="24"/>
      <c r="C282" s="28">
        <v>11</v>
      </c>
      <c r="D282" s="45">
        <f>D148</f>
        <v>0.51714467754687954</v>
      </c>
      <c r="E282" s="24">
        <f t="shared" ca="1" si="52"/>
        <v>17</v>
      </c>
      <c r="F282" s="45">
        <f t="shared" ca="1" si="53"/>
        <v>0.9189612845681725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55">
        <v>24</v>
      </c>
      <c r="R282" s="54">
        <v>50006.24640770629</v>
      </c>
      <c r="S282" s="54">
        <v>117637.76078927889</v>
      </c>
      <c r="T282" s="54">
        <v>184407.29431449808</v>
      </c>
      <c r="U282" s="54">
        <v>269964.2206529025</v>
      </c>
      <c r="V282" s="54">
        <v>438778.48564737104</v>
      </c>
      <c r="W282" s="54">
        <v>647200.1550640054</v>
      </c>
      <c r="X282" s="54">
        <v>953442.21176777035</v>
      </c>
      <c r="Y282" s="54">
        <v>1610346.4727495108</v>
      </c>
      <c r="Z282" s="54">
        <v>3776546.6181981415</v>
      </c>
      <c r="AA282" s="54">
        <f t="shared" si="37"/>
        <v>8048329.4655911848</v>
      </c>
      <c r="AC282" s="55">
        <v>24</v>
      </c>
      <c r="AD282" s="54">
        <f t="shared" si="38"/>
        <v>46997.910177259888</v>
      </c>
      <c r="AE282" s="54">
        <f t="shared" si="39"/>
        <v>103518.04077121359</v>
      </c>
      <c r="AF282" s="54">
        <f t="shared" si="40"/>
        <v>151723.50068778853</v>
      </c>
      <c r="AG282" s="54">
        <f t="shared" si="41"/>
        <v>207882.72510507348</v>
      </c>
      <c r="AH282" s="54">
        <f t="shared" si="42"/>
        <v>316612.4291741437</v>
      </c>
      <c r="AI282" s="54">
        <f t="shared" si="43"/>
        <v>438041.11925012304</v>
      </c>
      <c r="AJ282" s="54">
        <f t="shared" si="44"/>
        <v>605818.99727518554</v>
      </c>
      <c r="AK282" s="54">
        <f t="shared" si="45"/>
        <v>960756.9545680132</v>
      </c>
      <c r="AL282" s="54">
        <f t="shared" si="46"/>
        <v>2114238.2633488332</v>
      </c>
      <c r="AM282" s="54">
        <f t="shared" si="47"/>
        <v>4945589.9403576348</v>
      </c>
    </row>
    <row r="283" spans="1:39" x14ac:dyDescent="0.25">
      <c r="A283" s="24"/>
      <c r="B283" s="24"/>
      <c r="C283" s="28">
        <v>12</v>
      </c>
      <c r="D283" s="45">
        <f>D149</f>
        <v>0.5208963582648003</v>
      </c>
      <c r="E283" s="24">
        <f t="shared" ca="1" si="52"/>
        <v>45</v>
      </c>
      <c r="F283" s="45">
        <f t="shared" ca="1" si="53"/>
        <v>0.8817130047544105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55">
        <v>25</v>
      </c>
      <c r="R283" s="54">
        <v>76795.281792772934</v>
      </c>
      <c r="S283" s="54">
        <v>125545.49289746583</v>
      </c>
      <c r="T283" s="54">
        <v>204414.54273640364</v>
      </c>
      <c r="U283" s="54">
        <v>275512.54162162729</v>
      </c>
      <c r="V283" s="54">
        <v>441334.05000003986</v>
      </c>
      <c r="W283" s="54">
        <v>693979.46108018793</v>
      </c>
      <c r="X283" s="54">
        <v>964122.20837181155</v>
      </c>
      <c r="Y283" s="54">
        <v>1484645.3177295811</v>
      </c>
      <c r="Z283" s="54">
        <v>4062673.5807557655</v>
      </c>
      <c r="AA283" s="54">
        <f t="shared" si="37"/>
        <v>8329022.4769856557</v>
      </c>
      <c r="AC283" s="55">
        <v>25</v>
      </c>
      <c r="AD283" s="54">
        <f t="shared" si="38"/>
        <v>72175.338382884496</v>
      </c>
      <c r="AE283" s="54">
        <f t="shared" si="39"/>
        <v>110476.63067713208</v>
      </c>
      <c r="AF283" s="54">
        <f t="shared" si="40"/>
        <v>168184.72463766506</v>
      </c>
      <c r="AG283" s="54">
        <f t="shared" si="41"/>
        <v>212155.14342757064</v>
      </c>
      <c r="AH283" s="54">
        <f t="shared" si="42"/>
        <v>318456.46543407009</v>
      </c>
      <c r="AI283" s="54">
        <f t="shared" si="43"/>
        <v>469702.51395891461</v>
      </c>
      <c r="AJ283" s="54">
        <f t="shared" si="44"/>
        <v>612605.08745842415</v>
      </c>
      <c r="AK283" s="54">
        <f t="shared" si="45"/>
        <v>885761.75264949119</v>
      </c>
      <c r="AL283" s="54">
        <f t="shared" si="46"/>
        <v>2274421.7943822024</v>
      </c>
      <c r="AM283" s="54">
        <f t="shared" si="47"/>
        <v>5123939.4510083552</v>
      </c>
    </row>
    <row r="284" spans="1:39" x14ac:dyDescent="0.25">
      <c r="A284" s="24"/>
      <c r="B284" s="24"/>
      <c r="C284" s="28">
        <v>13</v>
      </c>
      <c r="D284" s="45">
        <f t="shared" ref="D284:D290" si="54">D150</f>
        <v>-0.34235777668246736</v>
      </c>
      <c r="E284" s="24">
        <f t="shared" ca="1" si="52"/>
        <v>51</v>
      </c>
      <c r="F284" s="45">
        <f t="shared" ca="1" si="53"/>
        <v>8.5076331567551913E-2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55">
        <v>26</v>
      </c>
      <c r="R284" s="54">
        <v>63897.55663269572</v>
      </c>
      <c r="S284" s="54">
        <v>125165.12084158696</v>
      </c>
      <c r="T284" s="54">
        <v>204056.6287891902</v>
      </c>
      <c r="U284" s="54">
        <v>289647.78955044597</v>
      </c>
      <c r="V284" s="54">
        <v>415138.09675778449</v>
      </c>
      <c r="W284" s="54">
        <v>619233.16087624989</v>
      </c>
      <c r="X284" s="54">
        <v>861146.12051560078</v>
      </c>
      <c r="Y284" s="54">
        <v>1392322.6540129147</v>
      </c>
      <c r="Z284" s="54">
        <v>3806727.6541078938</v>
      </c>
      <c r="AA284" s="54">
        <f t="shared" si="37"/>
        <v>7777334.7820843626</v>
      </c>
      <c r="AC284" s="55">
        <v>26</v>
      </c>
      <c r="AD284" s="54">
        <f t="shared" si="38"/>
        <v>60053.530166723736</v>
      </c>
      <c r="AE284" s="54">
        <f t="shared" si="39"/>
        <v>110141.91357843424</v>
      </c>
      <c r="AF284" s="54">
        <f t="shared" si="40"/>
        <v>167890.24628084045</v>
      </c>
      <c r="AG284" s="54">
        <f t="shared" si="41"/>
        <v>223039.82233936142</v>
      </c>
      <c r="AH284" s="54">
        <f t="shared" si="42"/>
        <v>299554.07012103213</v>
      </c>
      <c r="AI284" s="54">
        <f t="shared" si="43"/>
        <v>419112.36384082533</v>
      </c>
      <c r="AJ284" s="54">
        <f t="shared" si="44"/>
        <v>547173.88510720502</v>
      </c>
      <c r="AK284" s="54">
        <f t="shared" si="45"/>
        <v>830680.66126262629</v>
      </c>
      <c r="AL284" s="54">
        <f t="shared" si="46"/>
        <v>2131134.6259252732</v>
      </c>
      <c r="AM284" s="54">
        <f t="shared" si="47"/>
        <v>4788781.1186223216</v>
      </c>
    </row>
    <row r="285" spans="1:39" x14ac:dyDescent="0.25">
      <c r="A285" s="24"/>
      <c r="B285" s="24"/>
      <c r="C285" s="28">
        <v>14</v>
      </c>
      <c r="D285" s="45">
        <f t="shared" si="54"/>
        <v>0.403320376143807</v>
      </c>
      <c r="E285" s="24">
        <f t="shared" ca="1" si="52"/>
        <v>43</v>
      </c>
      <c r="F285" s="45">
        <f t="shared" ca="1" si="53"/>
        <v>-0.21021672761817509</v>
      </c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55">
        <v>27</v>
      </c>
      <c r="R285" s="54">
        <v>91342.038062786683</v>
      </c>
      <c r="S285" s="54">
        <v>115184.50572167523</v>
      </c>
      <c r="T285" s="54">
        <v>185425.11701732129</v>
      </c>
      <c r="U285" s="54">
        <v>235444.45413263235</v>
      </c>
      <c r="V285" s="54">
        <v>378624.64420147799</v>
      </c>
      <c r="W285" s="54">
        <v>572195.50375498086</v>
      </c>
      <c r="X285" s="54">
        <v>878662.46611755155</v>
      </c>
      <c r="Y285" s="54">
        <v>1396510.4887626786</v>
      </c>
      <c r="Z285" s="54">
        <v>3771113.2178453133</v>
      </c>
      <c r="AA285" s="54">
        <f t="shared" si="37"/>
        <v>7624502.4356164178</v>
      </c>
      <c r="AC285" s="55">
        <v>27</v>
      </c>
      <c r="AD285" s="54">
        <f t="shared" si="38"/>
        <v>85846.973301742168</v>
      </c>
      <c r="AE285" s="54">
        <f t="shared" si="39"/>
        <v>101359.24281036762</v>
      </c>
      <c r="AF285" s="54">
        <f t="shared" si="40"/>
        <v>152560.92755924663</v>
      </c>
      <c r="AG285" s="54">
        <f t="shared" si="41"/>
        <v>181301.19101559493</v>
      </c>
      <c r="AH285" s="54">
        <f t="shared" si="42"/>
        <v>273206.80540879222</v>
      </c>
      <c r="AI285" s="54">
        <f t="shared" si="43"/>
        <v>387276.11069551122</v>
      </c>
      <c r="AJ285" s="54">
        <f t="shared" si="44"/>
        <v>558303.80446416768</v>
      </c>
      <c r="AK285" s="54">
        <f t="shared" si="45"/>
        <v>833179.18653560535</v>
      </c>
      <c r="AL285" s="54">
        <f t="shared" si="46"/>
        <v>2111196.462442501</v>
      </c>
      <c r="AM285" s="54">
        <f t="shared" si="47"/>
        <v>4684230.704233529</v>
      </c>
    </row>
    <row r="286" spans="1:39" x14ac:dyDescent="0.25">
      <c r="A286" s="24"/>
      <c r="B286" s="24"/>
      <c r="C286" s="28">
        <v>15</v>
      </c>
      <c r="D286" s="45">
        <f t="shared" si="54"/>
        <v>0.37856294640667848</v>
      </c>
      <c r="E286" s="24">
        <f t="shared" ca="1" si="52"/>
        <v>45</v>
      </c>
      <c r="F286" s="45">
        <f t="shared" ca="1" si="53"/>
        <v>0.8817130047544105</v>
      </c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55">
        <v>28</v>
      </c>
      <c r="R286" s="54">
        <v>115120.34034677781</v>
      </c>
      <c r="S286" s="54">
        <v>161818.32133476995</v>
      </c>
      <c r="T286" s="54">
        <v>233431.17977202684</v>
      </c>
      <c r="U286" s="54">
        <v>303819.12685042806</v>
      </c>
      <c r="V286" s="54">
        <v>446090.16814962588</v>
      </c>
      <c r="W286" s="54">
        <v>694045.48281240277</v>
      </c>
      <c r="X286" s="54">
        <v>1022865.6388376569</v>
      </c>
      <c r="Y286" s="54">
        <v>1555118.497522152</v>
      </c>
      <c r="Z286" s="54">
        <v>3964456.325279857</v>
      </c>
      <c r="AA286" s="54">
        <f t="shared" si="37"/>
        <v>8496765.0809056982</v>
      </c>
      <c r="AC286" s="55">
        <v>28</v>
      </c>
      <c r="AD286" s="54">
        <f t="shared" si="38"/>
        <v>108194.79172825238</v>
      </c>
      <c r="AE286" s="54">
        <f t="shared" si="39"/>
        <v>142395.73648012432</v>
      </c>
      <c r="AF286" s="54">
        <f t="shared" si="40"/>
        <v>192058.54028903195</v>
      </c>
      <c r="AG286" s="54">
        <f t="shared" si="41"/>
        <v>233952.29144055813</v>
      </c>
      <c r="AH286" s="54">
        <f t="shared" si="42"/>
        <v>321888.37052977673</v>
      </c>
      <c r="AI286" s="54">
        <f t="shared" si="43"/>
        <v>469747.19910499797</v>
      </c>
      <c r="AJ286" s="54">
        <f t="shared" si="44"/>
        <v>649930.77505866147</v>
      </c>
      <c r="AK286" s="54">
        <f t="shared" si="45"/>
        <v>927807.112913255</v>
      </c>
      <c r="AL286" s="54">
        <f t="shared" si="46"/>
        <v>2219436.4597254973</v>
      </c>
      <c r="AM286" s="54">
        <f t="shared" si="47"/>
        <v>5265411.277270155</v>
      </c>
    </row>
    <row r="287" spans="1:39" x14ac:dyDescent="0.25">
      <c r="A287" s="24"/>
      <c r="B287" s="24"/>
      <c r="C287" s="28">
        <v>16</v>
      </c>
      <c r="D287" s="45">
        <f t="shared" si="54"/>
        <v>1.0842649727361795</v>
      </c>
      <c r="E287" s="24">
        <f t="shared" ca="1" si="52"/>
        <v>52</v>
      </c>
      <c r="F287" s="45">
        <f t="shared" ca="1" si="53"/>
        <v>0.74115653073470211</v>
      </c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55">
        <v>29</v>
      </c>
      <c r="R287" s="54">
        <v>130871.1741145011</v>
      </c>
      <c r="S287" s="54">
        <v>199287.96557875723</v>
      </c>
      <c r="T287" s="54">
        <v>265897.61682396568</v>
      </c>
      <c r="U287" s="54">
        <v>337008.69061715528</v>
      </c>
      <c r="V287" s="54">
        <v>489141.66857983544</v>
      </c>
      <c r="W287" s="54">
        <v>700557.93151706643</v>
      </c>
      <c r="X287" s="54">
        <v>991439.77975619398</v>
      </c>
      <c r="Y287" s="54">
        <v>1455397.2604193054</v>
      </c>
      <c r="Z287" s="54">
        <v>3926873.011958098</v>
      </c>
      <c r="AA287" s="54">
        <f t="shared" si="37"/>
        <v>8496475.0993648786</v>
      </c>
      <c r="AC287" s="55">
        <v>29</v>
      </c>
      <c r="AD287" s="54">
        <f t="shared" si="38"/>
        <v>122998.06779494658</v>
      </c>
      <c r="AE287" s="54">
        <f t="shared" si="39"/>
        <v>175368.00775176045</v>
      </c>
      <c r="AF287" s="54">
        <f t="shared" si="40"/>
        <v>218770.72378855752</v>
      </c>
      <c r="AG287" s="54">
        <f t="shared" si="41"/>
        <v>259509.51878049778</v>
      </c>
      <c r="AH287" s="54">
        <f t="shared" si="42"/>
        <v>352953.3397036636</v>
      </c>
      <c r="AI287" s="54">
        <f t="shared" si="43"/>
        <v>474154.98593466548</v>
      </c>
      <c r="AJ287" s="54">
        <f t="shared" si="44"/>
        <v>629962.72434487543</v>
      </c>
      <c r="AK287" s="54">
        <f t="shared" si="45"/>
        <v>868311.92123496789</v>
      </c>
      <c r="AL287" s="54">
        <f t="shared" si="46"/>
        <v>2198396.0524112079</v>
      </c>
      <c r="AM287" s="54">
        <f t="shared" si="47"/>
        <v>5300425.3417451428</v>
      </c>
    </row>
    <row r="288" spans="1:39" x14ac:dyDescent="0.25">
      <c r="A288" s="24"/>
      <c r="B288" s="24"/>
      <c r="C288" s="28">
        <v>17</v>
      </c>
      <c r="D288" s="45">
        <f t="shared" si="54"/>
        <v>0.9189612845681725</v>
      </c>
      <c r="E288" s="24">
        <f t="shared" ca="1" si="52"/>
        <v>14</v>
      </c>
      <c r="F288" s="45">
        <f t="shared" ca="1" si="53"/>
        <v>0.403320376143807</v>
      </c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55">
        <v>30</v>
      </c>
      <c r="R288" s="54">
        <v>85948.087581804022</v>
      </c>
      <c r="S288" s="54">
        <v>112866.43687331676</v>
      </c>
      <c r="T288" s="54">
        <v>189093.72864372842</v>
      </c>
      <c r="U288" s="54">
        <v>254534.13495585322</v>
      </c>
      <c r="V288" s="54">
        <v>396447.08007339202</v>
      </c>
      <c r="W288" s="54">
        <v>581640.65435897559</v>
      </c>
      <c r="X288" s="54">
        <v>856755.16182096116</v>
      </c>
      <c r="Y288" s="54">
        <v>1416486.9932798371</v>
      </c>
      <c r="Z288" s="54">
        <v>3673929.5957441349</v>
      </c>
      <c r="AA288" s="54">
        <f t="shared" si="37"/>
        <v>7567701.8733320031</v>
      </c>
      <c r="AC288" s="55">
        <v>30</v>
      </c>
      <c r="AD288" s="54">
        <f t="shared" si="38"/>
        <v>80777.518615242356</v>
      </c>
      <c r="AE288" s="54">
        <f t="shared" si="39"/>
        <v>99319.405058060438</v>
      </c>
      <c r="AF288" s="54">
        <f t="shared" si="40"/>
        <v>155579.32550652704</v>
      </c>
      <c r="AG288" s="54">
        <f t="shared" si="41"/>
        <v>196000.97182847335</v>
      </c>
      <c r="AH288" s="54">
        <f t="shared" si="42"/>
        <v>286067.06383026368</v>
      </c>
      <c r="AI288" s="54">
        <f t="shared" si="43"/>
        <v>393668.82291859569</v>
      </c>
      <c r="AJ288" s="54">
        <f t="shared" si="44"/>
        <v>544383.8615896483</v>
      </c>
      <c r="AK288" s="54">
        <f t="shared" si="45"/>
        <v>845097.46994082176</v>
      </c>
      <c r="AL288" s="54">
        <f t="shared" si="46"/>
        <v>2056789.7906362945</v>
      </c>
      <c r="AM288" s="54">
        <f t="shared" si="47"/>
        <v>4657684.2299239272</v>
      </c>
    </row>
    <row r="289" spans="1:39" x14ac:dyDescent="0.25">
      <c r="A289" s="24"/>
      <c r="B289" s="24"/>
      <c r="C289" s="28">
        <v>18</v>
      </c>
      <c r="D289" s="45">
        <f t="shared" si="54"/>
        <v>-1.414476636133686</v>
      </c>
      <c r="E289" s="24">
        <f t="shared" ca="1" si="52"/>
        <v>23</v>
      </c>
      <c r="F289" s="45">
        <f t="shared" ca="1" si="53"/>
        <v>-1.1984432586003559</v>
      </c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55">
        <v>31</v>
      </c>
      <c r="R289" s="54">
        <v>104147.014675593</v>
      </c>
      <c r="S289" s="54">
        <v>150086.02217807621</v>
      </c>
      <c r="T289" s="54">
        <v>216082.65517141484</v>
      </c>
      <c r="U289" s="54">
        <v>313643.91222315468</v>
      </c>
      <c r="V289" s="54">
        <v>460293.11826375686</v>
      </c>
      <c r="W289" s="54">
        <v>637636.91177644208</v>
      </c>
      <c r="X289" s="54">
        <v>917846.75067510828</v>
      </c>
      <c r="Y289" s="54">
        <v>1393177.7918822709</v>
      </c>
      <c r="Z289" s="54">
        <v>3912974.6309141712</v>
      </c>
      <c r="AA289" s="54">
        <f t="shared" si="37"/>
        <v>8105888.8077599881</v>
      </c>
      <c r="AC289" s="55">
        <v>31</v>
      </c>
      <c r="AD289" s="54">
        <f t="shared" si="38"/>
        <v>97881.612649874543</v>
      </c>
      <c r="AE289" s="54">
        <f t="shared" si="39"/>
        <v>132071.63124134639</v>
      </c>
      <c r="AF289" s="54">
        <f t="shared" si="40"/>
        <v>177784.81595530786</v>
      </c>
      <c r="AG289" s="54">
        <f t="shared" si="41"/>
        <v>241517.75012213958</v>
      </c>
      <c r="AH289" s="54">
        <f t="shared" si="42"/>
        <v>332136.89155842195</v>
      </c>
      <c r="AI289" s="54">
        <f t="shared" si="43"/>
        <v>431568.47896941856</v>
      </c>
      <c r="AJ289" s="54">
        <f t="shared" si="44"/>
        <v>583201.57350209495</v>
      </c>
      <c r="AK289" s="54">
        <f t="shared" si="45"/>
        <v>831190.84939232469</v>
      </c>
      <c r="AL289" s="54">
        <f t="shared" si="46"/>
        <v>2190615.2696028943</v>
      </c>
      <c r="AM289" s="54">
        <f t="shared" si="47"/>
        <v>5017968.8729938231</v>
      </c>
    </row>
    <row r="290" spans="1:39" x14ac:dyDescent="0.25">
      <c r="A290" s="24"/>
      <c r="B290" s="24"/>
      <c r="C290" s="28">
        <v>19</v>
      </c>
      <c r="D290" s="45">
        <f t="shared" si="54"/>
        <v>-2.1456623266114634</v>
      </c>
      <c r="E290" s="24">
        <f t="shared" ca="1" si="52"/>
        <v>12</v>
      </c>
      <c r="F290" s="45">
        <f t="shared" ca="1" si="53"/>
        <v>0.5208963582648003</v>
      </c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55">
        <v>32</v>
      </c>
      <c r="R290" s="54">
        <v>79289.000224323943</v>
      </c>
      <c r="S290" s="54">
        <v>103748.06234609149</v>
      </c>
      <c r="T290" s="54">
        <v>154273.00705181621</v>
      </c>
      <c r="U290" s="54">
        <v>226091.90401416551</v>
      </c>
      <c r="V290" s="54">
        <v>384916.97746999282</v>
      </c>
      <c r="W290" s="54">
        <v>616514.94664864987</v>
      </c>
      <c r="X290" s="54">
        <v>917031.08852430247</v>
      </c>
      <c r="Y290" s="54">
        <v>1476133.1462492952</v>
      </c>
      <c r="Z290" s="54">
        <v>3763406.9922345271</v>
      </c>
      <c r="AA290" s="54">
        <f t="shared" si="37"/>
        <v>7721405.1247631647</v>
      </c>
      <c r="AC290" s="55">
        <v>32</v>
      </c>
      <c r="AD290" s="54">
        <f t="shared" si="38"/>
        <v>74519.036686049891</v>
      </c>
      <c r="AE290" s="54">
        <f t="shared" si="39"/>
        <v>91295.482639413662</v>
      </c>
      <c r="AF290" s="54">
        <f t="shared" si="40"/>
        <v>126930.12377056063</v>
      </c>
      <c r="AG290" s="54">
        <f t="shared" si="41"/>
        <v>174099.37145370417</v>
      </c>
      <c r="AH290" s="54">
        <f t="shared" si="42"/>
        <v>277747.20788175857</v>
      </c>
      <c r="AI290" s="54">
        <f t="shared" si="43"/>
        <v>417272.60902416927</v>
      </c>
      <c r="AJ290" s="54">
        <f t="shared" si="44"/>
        <v>582683.30021796981</v>
      </c>
      <c r="AK290" s="54">
        <f t="shared" si="45"/>
        <v>880683.2629663382</v>
      </c>
      <c r="AL290" s="54">
        <f t="shared" si="46"/>
        <v>2106882.2572440761</v>
      </c>
      <c r="AM290" s="54">
        <f t="shared" si="47"/>
        <v>4732112.6518840399</v>
      </c>
    </row>
    <row r="291" spans="1:39" x14ac:dyDescent="0.25">
      <c r="A291" s="24"/>
      <c r="B291" s="24"/>
      <c r="C291" s="28">
        <v>20</v>
      </c>
      <c r="D291" s="45">
        <f>E148</f>
        <v>1.5177210956220761</v>
      </c>
      <c r="E291" s="24">
        <f t="shared" ca="1" si="52"/>
        <v>49</v>
      </c>
      <c r="F291" s="45">
        <f t="shared" ca="1" si="53"/>
        <v>0.46137759923926003</v>
      </c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55">
        <v>33</v>
      </c>
      <c r="R291" s="54">
        <v>107327.89682721533</v>
      </c>
      <c r="S291" s="54">
        <v>144727.07916046493</v>
      </c>
      <c r="T291" s="54">
        <v>215071.53976095095</v>
      </c>
      <c r="U291" s="54">
        <v>306674.22118941694</v>
      </c>
      <c r="V291" s="54">
        <v>467155.14903884567</v>
      </c>
      <c r="W291" s="54">
        <v>694752.45061966777</v>
      </c>
      <c r="X291" s="54">
        <v>954665.02804025356</v>
      </c>
      <c r="Y291" s="54">
        <v>1444517.2589228582</v>
      </c>
      <c r="Z291" s="54">
        <v>3708820.3352572527</v>
      </c>
      <c r="AA291" s="54">
        <f t="shared" si="37"/>
        <v>8043710.958816926</v>
      </c>
      <c r="AC291" s="55">
        <v>33</v>
      </c>
      <c r="AD291" s="54">
        <f t="shared" si="38"/>
        <v>100871.13544723766</v>
      </c>
      <c r="AE291" s="54">
        <f t="shared" si="39"/>
        <v>127355.90664691624</v>
      </c>
      <c r="AF291" s="54">
        <f t="shared" si="40"/>
        <v>176952.9075959058</v>
      </c>
      <c r="AG291" s="54">
        <f t="shared" si="41"/>
        <v>236150.82275032077</v>
      </c>
      <c r="AH291" s="54">
        <f t="shared" si="42"/>
        <v>337088.37460473209</v>
      </c>
      <c r="AI291" s="54">
        <f t="shared" si="43"/>
        <v>470225.69245384081</v>
      </c>
      <c r="AJ291" s="54">
        <f t="shared" si="44"/>
        <v>606595.97706368682</v>
      </c>
      <c r="AK291" s="54">
        <f t="shared" si="45"/>
        <v>861820.74850890564</v>
      </c>
      <c r="AL291" s="54">
        <f t="shared" si="46"/>
        <v>2076322.8042524129</v>
      </c>
      <c r="AM291" s="54">
        <f t="shared" si="47"/>
        <v>4993384.3693239586</v>
      </c>
    </row>
    <row r="292" spans="1:39" x14ac:dyDescent="0.25">
      <c r="A292" s="24"/>
      <c r="B292" s="24"/>
      <c r="C292" s="28">
        <v>21</v>
      </c>
      <c r="D292" s="45">
        <f>E149</f>
        <v>-0.42587076150862907</v>
      </c>
      <c r="E292" s="24">
        <f t="shared" ca="1" si="52"/>
        <v>43</v>
      </c>
      <c r="F292" s="45">
        <f t="shared" ca="1" si="53"/>
        <v>-0.21021672761817509</v>
      </c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55">
        <v>34</v>
      </c>
      <c r="R292" s="54">
        <v>107825.35299300402</v>
      </c>
      <c r="S292" s="54">
        <v>175547.59526352398</v>
      </c>
      <c r="T292" s="54">
        <v>253050.90834115259</v>
      </c>
      <c r="U292" s="54">
        <v>309984.43911301158</v>
      </c>
      <c r="V292" s="54">
        <v>435830.44702227786</v>
      </c>
      <c r="W292" s="54">
        <v>642555.49743393529</v>
      </c>
      <c r="X292" s="54">
        <v>974662.89285985287</v>
      </c>
      <c r="Y292" s="54">
        <v>1525775.8068541978</v>
      </c>
      <c r="Z292" s="54">
        <v>4107827.2505775243</v>
      </c>
      <c r="AA292" s="54">
        <f t="shared" si="37"/>
        <v>8533060.1904584803</v>
      </c>
      <c r="AC292" s="55">
        <v>34</v>
      </c>
      <c r="AD292" s="54">
        <f t="shared" si="38"/>
        <v>101338.6650435654</v>
      </c>
      <c r="AE292" s="54">
        <f t="shared" si="39"/>
        <v>154477.12538773642</v>
      </c>
      <c r="AF292" s="54">
        <f t="shared" si="40"/>
        <v>208200.92723808196</v>
      </c>
      <c r="AG292" s="54">
        <f t="shared" si="41"/>
        <v>238699.81654284731</v>
      </c>
      <c r="AH292" s="54">
        <f t="shared" si="42"/>
        <v>314485.19253670279</v>
      </c>
      <c r="AI292" s="54">
        <f t="shared" si="43"/>
        <v>434897.49975174956</v>
      </c>
      <c r="AJ292" s="54">
        <f t="shared" si="44"/>
        <v>619302.65845782391</v>
      </c>
      <c r="AK292" s="54">
        <f t="shared" si="45"/>
        <v>910300.82181253226</v>
      </c>
      <c r="AL292" s="54">
        <f t="shared" si="46"/>
        <v>2299700.3427808266</v>
      </c>
      <c r="AM292" s="54">
        <f t="shared" si="47"/>
        <v>5281403.0495518669</v>
      </c>
    </row>
    <row r="293" spans="1:39" x14ac:dyDescent="0.25">
      <c r="A293" s="24"/>
      <c r="B293" s="24"/>
      <c r="C293" s="28">
        <v>22</v>
      </c>
      <c r="D293" s="45">
        <f t="shared" ref="D293:D298" si="55">E150</f>
        <v>1.2057781959944813</v>
      </c>
      <c r="E293" s="24">
        <f t="shared" ca="1" si="52"/>
        <v>13</v>
      </c>
      <c r="F293" s="45">
        <f t="shared" ca="1" si="53"/>
        <v>-0.34235777668246736</v>
      </c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55">
        <v>35</v>
      </c>
      <c r="R293" s="54">
        <v>111871.83174682967</v>
      </c>
      <c r="S293" s="54">
        <v>154542.08310312312</v>
      </c>
      <c r="T293" s="54">
        <v>245226.47416678257</v>
      </c>
      <c r="U293" s="54">
        <v>337548.69272377342</v>
      </c>
      <c r="V293" s="54">
        <v>491338.22810796462</v>
      </c>
      <c r="W293" s="54">
        <v>749251.30289087258</v>
      </c>
      <c r="X293" s="54">
        <v>984109.21635938622</v>
      </c>
      <c r="Y293" s="54">
        <v>1490265.0281534903</v>
      </c>
      <c r="Z293" s="54">
        <v>3765153.4668363873</v>
      </c>
      <c r="AA293" s="54">
        <f t="shared" si="37"/>
        <v>8329306.3240886098</v>
      </c>
      <c r="AC293" s="55">
        <v>35</v>
      </c>
      <c r="AD293" s="54">
        <f t="shared" si="38"/>
        <v>105141.71083620425</v>
      </c>
      <c r="AE293" s="54">
        <f t="shared" si="39"/>
        <v>135992.84406810446</v>
      </c>
      <c r="AF293" s="54">
        <f t="shared" si="40"/>
        <v>201763.27221879645</v>
      </c>
      <c r="AG293" s="54">
        <f t="shared" si="41"/>
        <v>259925.34095580224</v>
      </c>
      <c r="AH293" s="54">
        <f t="shared" si="42"/>
        <v>354538.32636726566</v>
      </c>
      <c r="AI293" s="54">
        <f t="shared" si="43"/>
        <v>507111.86755737546</v>
      </c>
      <c r="AJ293" s="54">
        <f t="shared" si="44"/>
        <v>625304.87040081492</v>
      </c>
      <c r="AK293" s="54">
        <f t="shared" si="45"/>
        <v>889114.55651114124</v>
      </c>
      <c r="AL293" s="54">
        <f t="shared" si="46"/>
        <v>2107859.9926734306</v>
      </c>
      <c r="AM293" s="54">
        <f t="shared" si="47"/>
        <v>5186752.7815889353</v>
      </c>
    </row>
    <row r="294" spans="1:39" x14ac:dyDescent="0.25">
      <c r="A294" s="24"/>
      <c r="B294" s="24"/>
      <c r="C294" s="28">
        <v>23</v>
      </c>
      <c r="D294" s="45">
        <f t="shared" si="55"/>
        <v>-1.1984432586003559</v>
      </c>
      <c r="E294" s="24">
        <f t="shared" ca="1" si="52"/>
        <v>34</v>
      </c>
      <c r="F294" s="45">
        <f t="shared" ca="1" si="53"/>
        <v>-1.8703523636345614</v>
      </c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55">
        <v>36</v>
      </c>
      <c r="R294" s="54">
        <v>109998.42121466435</v>
      </c>
      <c r="S294" s="54">
        <v>163575.77696465142</v>
      </c>
      <c r="T294" s="54">
        <v>200109.78821928985</v>
      </c>
      <c r="U294" s="54">
        <v>295233.65370871685</v>
      </c>
      <c r="V294" s="54">
        <v>450376.72767218947</v>
      </c>
      <c r="W294" s="54">
        <v>600153.17566617858</v>
      </c>
      <c r="X294" s="54">
        <v>897810.57656234782</v>
      </c>
      <c r="Y294" s="54">
        <v>1401253.863190758</v>
      </c>
      <c r="Z294" s="54">
        <v>3844441.4425977031</v>
      </c>
      <c r="AA294" s="54">
        <f t="shared" si="37"/>
        <v>7962953.4257964995</v>
      </c>
      <c r="AC294" s="55">
        <v>36</v>
      </c>
      <c r="AD294" s="54">
        <f t="shared" si="38"/>
        <v>103381.00319984244</v>
      </c>
      <c r="AE294" s="54">
        <f t="shared" si="39"/>
        <v>143942.24979631667</v>
      </c>
      <c r="AF294" s="54">
        <f t="shared" si="40"/>
        <v>164642.93185031367</v>
      </c>
      <c r="AG294" s="54">
        <f t="shared" si="41"/>
        <v>227341.15034675351</v>
      </c>
      <c r="AH294" s="54">
        <f t="shared" si="42"/>
        <v>324981.45295663283</v>
      </c>
      <c r="AI294" s="54">
        <f t="shared" si="43"/>
        <v>406198.55655678827</v>
      </c>
      <c r="AJ294" s="54">
        <f t="shared" si="44"/>
        <v>570470.55031011987</v>
      </c>
      <c r="AK294" s="54">
        <f t="shared" si="45"/>
        <v>836009.15514609718</v>
      </c>
      <c r="AL294" s="54">
        <f t="shared" si="46"/>
        <v>2152248.0776424515</v>
      </c>
      <c r="AM294" s="54">
        <f t="shared" si="47"/>
        <v>4929215.1278053168</v>
      </c>
    </row>
    <row r="295" spans="1:39" x14ac:dyDescent="0.25">
      <c r="A295" s="24"/>
      <c r="B295" s="24"/>
      <c r="C295" s="28">
        <v>24</v>
      </c>
      <c r="D295" s="45">
        <f t="shared" si="55"/>
        <v>0.7131997067625433</v>
      </c>
      <c r="E295" s="24">
        <f t="shared" ca="1" si="52"/>
        <v>10</v>
      </c>
      <c r="F295" s="45">
        <f t="shared" ca="1" si="53"/>
        <v>-3.2084170222495827E-3</v>
      </c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55">
        <v>37</v>
      </c>
      <c r="R295" s="54">
        <v>82036.613436471671</v>
      </c>
      <c r="S295" s="54">
        <v>132709.0584588889</v>
      </c>
      <c r="T295" s="54">
        <v>207557.8270611316</v>
      </c>
      <c r="U295" s="54">
        <v>277997.24448544718</v>
      </c>
      <c r="V295" s="54">
        <v>420323.61522615515</v>
      </c>
      <c r="W295" s="54">
        <v>599674.29415135644</v>
      </c>
      <c r="X295" s="54">
        <v>914374.26988908462</v>
      </c>
      <c r="Y295" s="54">
        <v>1359686.9427343234</v>
      </c>
      <c r="Z295" s="54">
        <v>3601229.6775266994</v>
      </c>
      <c r="AA295" s="54">
        <f t="shared" si="37"/>
        <v>7595589.5429695584</v>
      </c>
      <c r="AC295" s="55">
        <v>37</v>
      </c>
      <c r="AD295" s="54">
        <f t="shared" si="38"/>
        <v>77101.355660634465</v>
      </c>
      <c r="AE295" s="54">
        <f t="shared" si="39"/>
        <v>116780.37419349319</v>
      </c>
      <c r="AF295" s="54">
        <f t="shared" si="40"/>
        <v>170770.90271254873</v>
      </c>
      <c r="AG295" s="54">
        <f t="shared" si="41"/>
        <v>214068.45920385409</v>
      </c>
      <c r="AH295" s="54">
        <f t="shared" si="42"/>
        <v>303295.82057713281</v>
      </c>
      <c r="AI295" s="54">
        <f t="shared" si="43"/>
        <v>405874.43766852852</v>
      </c>
      <c r="AJ295" s="54">
        <f t="shared" si="44"/>
        <v>580995.15259699814</v>
      </c>
      <c r="AK295" s="54">
        <f t="shared" si="45"/>
        <v>811209.70447862148</v>
      </c>
      <c r="AL295" s="54">
        <f t="shared" si="46"/>
        <v>2016089.9226412931</v>
      </c>
      <c r="AM295" s="54">
        <f t="shared" si="47"/>
        <v>4696186.1297331043</v>
      </c>
    </row>
    <row r="296" spans="1:39" x14ac:dyDescent="0.25">
      <c r="A296" s="24"/>
      <c r="B296" s="24"/>
      <c r="C296" s="28">
        <v>25</v>
      </c>
      <c r="D296" s="45">
        <f t="shared" si="55"/>
        <v>0.46197128119390296</v>
      </c>
      <c r="E296" s="24">
        <f t="shared" ca="1" si="52"/>
        <v>5</v>
      </c>
      <c r="F296" s="45">
        <f t="shared" ca="1" si="53"/>
        <v>-1.1729288737657959</v>
      </c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55">
        <v>38</v>
      </c>
      <c r="R296" s="54">
        <v>48707.946918187663</v>
      </c>
      <c r="S296" s="54">
        <v>121021.3783762157</v>
      </c>
      <c r="T296" s="54">
        <v>169959.62092129793</v>
      </c>
      <c r="U296" s="54">
        <v>261734.18416392244</v>
      </c>
      <c r="V296" s="54">
        <v>384426.5488214558</v>
      </c>
      <c r="W296" s="54">
        <v>616550.70150716789</v>
      </c>
      <c r="X296" s="54">
        <v>887510.94928678498</v>
      </c>
      <c r="Y296" s="54">
        <v>1498810.4806859326</v>
      </c>
      <c r="Z296" s="54">
        <v>3867675.0050107427</v>
      </c>
      <c r="AA296" s="54">
        <f t="shared" si="37"/>
        <v>7856396.8156917077</v>
      </c>
      <c r="AC296" s="55">
        <v>38</v>
      </c>
      <c r="AD296" s="54">
        <f t="shared" si="38"/>
        <v>45777.715358114743</v>
      </c>
      <c r="AE296" s="54">
        <f t="shared" si="39"/>
        <v>106495.53253039575</v>
      </c>
      <c r="AF296" s="54">
        <f t="shared" si="40"/>
        <v>139836.48942742209</v>
      </c>
      <c r="AG296" s="54">
        <f t="shared" si="41"/>
        <v>201545.28376227024</v>
      </c>
      <c r="AH296" s="54">
        <f t="shared" si="42"/>
        <v>277393.32588701852</v>
      </c>
      <c r="AI296" s="54">
        <f t="shared" si="43"/>
        <v>417296.80879934132</v>
      </c>
      <c r="AJ296" s="54">
        <f t="shared" si="44"/>
        <v>563926.14752264449</v>
      </c>
      <c r="AK296" s="54">
        <f t="shared" si="45"/>
        <v>894212.90217116359</v>
      </c>
      <c r="AL296" s="54">
        <f t="shared" si="46"/>
        <v>2165255.0100634228</v>
      </c>
      <c r="AM296" s="54">
        <f t="shared" si="47"/>
        <v>4811739.2155217938</v>
      </c>
    </row>
    <row r="297" spans="1:39" x14ac:dyDescent="0.25">
      <c r="A297" s="24"/>
      <c r="B297" s="24"/>
      <c r="C297" s="28">
        <v>26</v>
      </c>
      <c r="D297" s="45">
        <f t="shared" si="55"/>
        <v>-1.5834556260376251</v>
      </c>
      <c r="E297" s="24">
        <f t="shared" ca="1" si="52"/>
        <v>15</v>
      </c>
      <c r="F297" s="45">
        <f t="shared" ca="1" si="53"/>
        <v>0.37856294640667848</v>
      </c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55">
        <v>39</v>
      </c>
      <c r="R297" s="54">
        <v>54227.504579022527</v>
      </c>
      <c r="S297" s="54">
        <v>89657.550375323743</v>
      </c>
      <c r="T297" s="54">
        <v>158794.69296535477</v>
      </c>
      <c r="U297" s="54">
        <v>247181.77955889143</v>
      </c>
      <c r="V297" s="54">
        <v>381947.05348956864</v>
      </c>
      <c r="W297" s="54">
        <v>625696.38776077703</v>
      </c>
      <c r="X297" s="54">
        <v>961499.86807426158</v>
      </c>
      <c r="Y297" s="54">
        <v>1504696.2576306323</v>
      </c>
      <c r="Z297" s="54">
        <v>4059277.3531767419</v>
      </c>
      <c r="AA297" s="54">
        <f t="shared" si="37"/>
        <v>8082978.4476105738</v>
      </c>
      <c r="AC297" s="55">
        <v>39</v>
      </c>
      <c r="AD297" s="54">
        <f t="shared" si="38"/>
        <v>50965.220795878355</v>
      </c>
      <c r="AE297" s="54">
        <f t="shared" si="39"/>
        <v>78896.214046652909</v>
      </c>
      <c r="AF297" s="54">
        <f t="shared" si="40"/>
        <v>130650.39968677635</v>
      </c>
      <c r="AG297" s="54">
        <f t="shared" si="41"/>
        <v>190339.37833225026</v>
      </c>
      <c r="AH297" s="54">
        <f t="shared" si="42"/>
        <v>275604.17927697796</v>
      </c>
      <c r="AI297" s="54">
        <f t="shared" si="43"/>
        <v>423486.83612163889</v>
      </c>
      <c r="AJ297" s="54">
        <f t="shared" si="44"/>
        <v>610938.84743887384</v>
      </c>
      <c r="AK297" s="54">
        <f t="shared" si="45"/>
        <v>897724.44532560115</v>
      </c>
      <c r="AL297" s="54">
        <f t="shared" si="46"/>
        <v>2272520.4715535603</v>
      </c>
      <c r="AM297" s="54">
        <f t="shared" si="47"/>
        <v>4931125.9925782103</v>
      </c>
    </row>
    <row r="298" spans="1:39" x14ac:dyDescent="0.25">
      <c r="A298" s="24"/>
      <c r="B298" s="24"/>
      <c r="C298" s="28">
        <v>27</v>
      </c>
      <c r="D298" s="45">
        <f t="shared" si="55"/>
        <v>-0.77093864550956237</v>
      </c>
      <c r="E298" s="24">
        <f t="shared" ca="1" si="52"/>
        <v>49</v>
      </c>
      <c r="F298" s="45">
        <f t="shared" ca="1" si="53"/>
        <v>0.46137759923926003</v>
      </c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55">
        <v>40</v>
      </c>
      <c r="R298" s="54">
        <v>111275.89379915595</v>
      </c>
      <c r="S298" s="54">
        <v>143929.50891933404</v>
      </c>
      <c r="T298" s="54">
        <v>185840.38147216663</v>
      </c>
      <c r="U298" s="54">
        <v>278806.54892941937</v>
      </c>
      <c r="V298" s="54">
        <v>432074.26028529182</v>
      </c>
      <c r="W298" s="54">
        <v>634124.0110181272</v>
      </c>
      <c r="X298" s="54">
        <v>900478.50707780663</v>
      </c>
      <c r="Y298" s="54">
        <v>1461907.6667691609</v>
      </c>
      <c r="Z298" s="54">
        <v>3955110.6697438005</v>
      </c>
      <c r="AA298" s="54">
        <f t="shared" si="37"/>
        <v>8103547.4480142631</v>
      </c>
      <c r="AC298" s="55">
        <v>40</v>
      </c>
      <c r="AD298" s="54">
        <f t="shared" si="38"/>
        <v>104581.62404409352</v>
      </c>
      <c r="AE298" s="54">
        <f t="shared" si="39"/>
        <v>126654.06645389194</v>
      </c>
      <c r="AF298" s="54">
        <f t="shared" si="40"/>
        <v>152902.59179240267</v>
      </c>
      <c r="AG298" s="54">
        <f t="shared" si="41"/>
        <v>214691.6544289313</v>
      </c>
      <c r="AH298" s="54">
        <f t="shared" si="42"/>
        <v>311774.8148720499</v>
      </c>
      <c r="AI298" s="54">
        <f t="shared" si="43"/>
        <v>429190.86059595773</v>
      </c>
      <c r="AJ298" s="54">
        <f t="shared" si="44"/>
        <v>572165.7584409602</v>
      </c>
      <c r="AK298" s="54">
        <f t="shared" si="45"/>
        <v>872196.12769831845</v>
      </c>
      <c r="AL298" s="54">
        <f t="shared" si="46"/>
        <v>2214204.4463206595</v>
      </c>
      <c r="AM298" s="54">
        <f t="shared" si="47"/>
        <v>4998361.9446472656</v>
      </c>
    </row>
    <row r="299" spans="1:39" x14ac:dyDescent="0.25">
      <c r="A299" s="24"/>
      <c r="B299" s="24"/>
      <c r="C299" s="28">
        <v>28</v>
      </c>
      <c r="D299" s="45">
        <f>F148</f>
        <v>4.2214357750837619E-3</v>
      </c>
      <c r="E299" s="24">
        <f t="shared" ca="1" si="52"/>
        <v>55</v>
      </c>
      <c r="F299" s="45">
        <f t="shared" ca="1" si="53"/>
        <v>-3.2084170222495827E-3</v>
      </c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55">
        <v>41</v>
      </c>
      <c r="R299" s="54">
        <v>77817.01093958877</v>
      </c>
      <c r="S299" s="54">
        <v>159496.51505774446</v>
      </c>
      <c r="T299" s="54">
        <v>226273.71750934981</v>
      </c>
      <c r="U299" s="54">
        <v>331281.07939453423</v>
      </c>
      <c r="V299" s="54">
        <v>489067.63360812329</v>
      </c>
      <c r="W299" s="54">
        <v>685180.12793710269</v>
      </c>
      <c r="X299" s="54">
        <v>994210.18088653963</v>
      </c>
      <c r="Y299" s="54">
        <v>1435261.9890437461</v>
      </c>
      <c r="Z299" s="54">
        <v>3510708.6597047606</v>
      </c>
      <c r="AA299" s="54">
        <f t="shared" si="37"/>
        <v>7909296.9140814897</v>
      </c>
      <c r="AC299" s="55">
        <v>41</v>
      </c>
      <c r="AD299" s="54">
        <f t="shared" si="38"/>
        <v>73135.601112385004</v>
      </c>
      <c r="AE299" s="54">
        <f t="shared" si="39"/>
        <v>140352.609891898</v>
      </c>
      <c r="AF299" s="54">
        <f t="shared" si="40"/>
        <v>186169.6450879449</v>
      </c>
      <c r="AG299" s="54">
        <f t="shared" si="41"/>
        <v>255099.04013847161</v>
      </c>
      <c r="AH299" s="54">
        <f t="shared" si="42"/>
        <v>352899.91777664493</v>
      </c>
      <c r="AI299" s="54">
        <f t="shared" si="43"/>
        <v>463746.9070133777</v>
      </c>
      <c r="AJ299" s="54">
        <f t="shared" si="44"/>
        <v>631723.04249957949</v>
      </c>
      <c r="AK299" s="54">
        <f t="shared" si="45"/>
        <v>856298.91513128579</v>
      </c>
      <c r="AL299" s="54">
        <f t="shared" si="46"/>
        <v>1965413.2015876716</v>
      </c>
      <c r="AM299" s="54">
        <f t="shared" si="47"/>
        <v>4924838.8802392585</v>
      </c>
    </row>
    <row r="300" spans="1:39" x14ac:dyDescent="0.25">
      <c r="A300" s="24"/>
      <c r="B300" s="24"/>
      <c r="C300" s="28">
        <v>29</v>
      </c>
      <c r="D300" s="45">
        <f>F149</f>
        <v>-0.46908866434876395</v>
      </c>
      <c r="E300" s="24">
        <f t="shared" ca="1" si="52"/>
        <v>55</v>
      </c>
      <c r="F300" s="45">
        <f t="shared" ca="1" si="53"/>
        <v>-3.2084170222495827E-3</v>
      </c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55">
        <v>42</v>
      </c>
      <c r="R300" s="54">
        <v>92701.166147304699</v>
      </c>
      <c r="S300" s="54">
        <v>171029.09512131847</v>
      </c>
      <c r="T300" s="54">
        <v>240798.41222356632</v>
      </c>
      <c r="U300" s="54">
        <v>320519.96284990478</v>
      </c>
      <c r="V300" s="54">
        <v>468152.63822936267</v>
      </c>
      <c r="W300" s="54">
        <v>652902.01472582668</v>
      </c>
      <c r="X300" s="54">
        <v>953698.87020035647</v>
      </c>
      <c r="Y300" s="54">
        <v>1525626.8458975591</v>
      </c>
      <c r="Z300" s="54">
        <v>4009159.7536744568</v>
      </c>
      <c r="AA300" s="54">
        <f t="shared" si="37"/>
        <v>8434588.7590696551</v>
      </c>
      <c r="AC300" s="55">
        <v>42</v>
      </c>
      <c r="AD300" s="54">
        <f t="shared" si="38"/>
        <v>87124.337315725134</v>
      </c>
      <c r="AE300" s="54">
        <f t="shared" si="39"/>
        <v>150500.96774237437</v>
      </c>
      <c r="AF300" s="54">
        <f t="shared" si="40"/>
        <v>198120.02664228826</v>
      </c>
      <c r="AG300" s="54">
        <f t="shared" si="41"/>
        <v>246812.57081649776</v>
      </c>
      <c r="AH300" s="54">
        <f t="shared" si="42"/>
        <v>337808.13978469209</v>
      </c>
      <c r="AI300" s="54">
        <f t="shared" si="43"/>
        <v>441900.27930830367</v>
      </c>
      <c r="AJ300" s="54">
        <f t="shared" si="44"/>
        <v>605982.07853208028</v>
      </c>
      <c r="AK300" s="54">
        <f t="shared" si="45"/>
        <v>910211.94946271717</v>
      </c>
      <c r="AL300" s="54">
        <f t="shared" si="46"/>
        <v>2244462.9477765919</v>
      </c>
      <c r="AM300" s="54">
        <f t="shared" si="47"/>
        <v>5222923.2973812707</v>
      </c>
    </row>
    <row r="301" spans="1:39" x14ac:dyDescent="0.25">
      <c r="A301" s="24"/>
      <c r="B301" s="24"/>
      <c r="C301" s="28">
        <v>30</v>
      </c>
      <c r="D301" s="45">
        <f t="shared" ref="D301:D305" si="56">F150</f>
        <v>-0.43074744061904469</v>
      </c>
      <c r="E301" s="24">
        <f t="shared" ca="1" si="52"/>
        <v>29</v>
      </c>
      <c r="F301" s="45">
        <f t="shared" ca="1" si="53"/>
        <v>-0.46908866434876395</v>
      </c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55">
        <v>43</v>
      </c>
      <c r="R301" s="54">
        <v>85991.570164008066</v>
      </c>
      <c r="S301" s="54">
        <v>142309.62959741615</v>
      </c>
      <c r="T301" s="54">
        <v>196535.53851209953</v>
      </c>
      <c r="U301" s="54">
        <v>285500.86946111731</v>
      </c>
      <c r="V301" s="54">
        <v>450950.80820898898</v>
      </c>
      <c r="W301" s="54">
        <v>600083.8209864283</v>
      </c>
      <c r="X301" s="54">
        <v>918942.16848660354</v>
      </c>
      <c r="Y301" s="54">
        <v>1436676.0151949208</v>
      </c>
      <c r="Z301" s="54">
        <v>3692907.9305519899</v>
      </c>
      <c r="AA301" s="54">
        <f t="shared" si="37"/>
        <v>7809898.3511635726</v>
      </c>
      <c r="AC301" s="55">
        <v>43</v>
      </c>
      <c r="AD301" s="54">
        <f t="shared" si="38"/>
        <v>80818.385319694426</v>
      </c>
      <c r="AE301" s="54">
        <f t="shared" si="39"/>
        <v>125228.61655952413</v>
      </c>
      <c r="AF301" s="54">
        <f t="shared" si="40"/>
        <v>161702.17139979507</v>
      </c>
      <c r="AG301" s="54">
        <f t="shared" si="41"/>
        <v>219846.53603320679</v>
      </c>
      <c r="AH301" s="54">
        <f t="shared" si="42"/>
        <v>325395.69622343639</v>
      </c>
      <c r="AI301" s="54">
        <f t="shared" si="43"/>
        <v>406151.61558913661</v>
      </c>
      <c r="AJ301" s="54">
        <f t="shared" si="44"/>
        <v>583897.60406584258</v>
      </c>
      <c r="AK301" s="54">
        <f t="shared" si="45"/>
        <v>857142.54442577076</v>
      </c>
      <c r="AL301" s="54">
        <f t="shared" si="46"/>
        <v>2067414.5030209005</v>
      </c>
      <c r="AM301" s="54">
        <f t="shared" si="47"/>
        <v>4827597.6726373071</v>
      </c>
    </row>
    <row r="302" spans="1:39" x14ac:dyDescent="0.25">
      <c r="A302" s="24"/>
      <c r="B302" s="24"/>
      <c r="C302" s="28">
        <v>31</v>
      </c>
      <c r="D302" s="45">
        <f t="shared" si="56"/>
        <v>0.5452729160184282</v>
      </c>
      <c r="E302" s="24">
        <f t="shared" ca="1" si="52"/>
        <v>18</v>
      </c>
      <c r="F302" s="45">
        <f t="shared" ca="1" si="53"/>
        <v>-1.414476636133686</v>
      </c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55">
        <v>44</v>
      </c>
      <c r="R302" s="54">
        <v>112347.35037945211</v>
      </c>
      <c r="S302" s="54">
        <v>188596.45484751463</v>
      </c>
      <c r="T302" s="54">
        <v>267106.97802218422</v>
      </c>
      <c r="U302" s="54">
        <v>341945.50014551915</v>
      </c>
      <c r="V302" s="54">
        <v>472927.58811742999</v>
      </c>
      <c r="W302" s="54">
        <v>700240.17142175138</v>
      </c>
      <c r="X302" s="54">
        <v>958788.42964987736</v>
      </c>
      <c r="Y302" s="54">
        <v>1503685.5002936954</v>
      </c>
      <c r="Z302" s="54">
        <v>4041450.8503937759</v>
      </c>
      <c r="AA302" s="54">
        <f t="shared" si="37"/>
        <v>8587088.8232712001</v>
      </c>
      <c r="AC302" s="55">
        <v>44</v>
      </c>
      <c r="AD302" s="54">
        <f t="shared" si="38"/>
        <v>105588.6226440091</v>
      </c>
      <c r="AE302" s="54">
        <f t="shared" si="39"/>
        <v>165959.76811546582</v>
      </c>
      <c r="AF302" s="54">
        <f t="shared" si="40"/>
        <v>219765.74144917543</v>
      </c>
      <c r="AG302" s="54">
        <f t="shared" si="41"/>
        <v>263311.0500189669</v>
      </c>
      <c r="AH302" s="54">
        <f t="shared" si="42"/>
        <v>341253.6334282906</v>
      </c>
      <c r="AI302" s="54">
        <f t="shared" si="43"/>
        <v>473939.91801987018</v>
      </c>
      <c r="AJ302" s="54">
        <f t="shared" si="44"/>
        <v>609215.9942998375</v>
      </c>
      <c r="AK302" s="54">
        <f t="shared" si="45"/>
        <v>897121.41227819445</v>
      </c>
      <c r="AL302" s="54">
        <f t="shared" si="46"/>
        <v>2262540.5936132679</v>
      </c>
      <c r="AM302" s="54">
        <f t="shared" si="47"/>
        <v>5338696.7338670772</v>
      </c>
    </row>
    <row r="303" spans="1:39" x14ac:dyDescent="0.25">
      <c r="A303" s="24"/>
      <c r="B303" s="24"/>
      <c r="C303" s="28">
        <v>32</v>
      </c>
      <c r="D303" s="45">
        <f t="shared" si="56"/>
        <v>1.3034226106279823</v>
      </c>
      <c r="E303" s="24">
        <f t="shared" ca="1" si="52"/>
        <v>26</v>
      </c>
      <c r="F303" s="45">
        <f t="shared" ca="1" si="53"/>
        <v>-1.5834556260376251</v>
      </c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55">
        <v>45</v>
      </c>
      <c r="R303" s="54">
        <v>101452.92395185865</v>
      </c>
      <c r="S303" s="54">
        <v>176570.6886956282</v>
      </c>
      <c r="T303" s="54">
        <v>244201.49625988305</v>
      </c>
      <c r="U303" s="54">
        <v>306123.00450545922</v>
      </c>
      <c r="V303" s="54">
        <v>422084.87202367745</v>
      </c>
      <c r="W303" s="54">
        <v>651597.38722800836</v>
      </c>
      <c r="X303" s="54">
        <v>881371.64121004008</v>
      </c>
      <c r="Y303" s="54">
        <v>1513163.9686284624</v>
      </c>
      <c r="Z303" s="54">
        <v>3932740.480035102</v>
      </c>
      <c r="AA303" s="54">
        <f t="shared" si="37"/>
        <v>8229306.4625381194</v>
      </c>
      <c r="AC303" s="55">
        <v>45</v>
      </c>
      <c r="AD303" s="54">
        <f t="shared" si="38"/>
        <v>95349.59629313508</v>
      </c>
      <c r="AE303" s="54">
        <f t="shared" si="39"/>
        <v>155377.41987572005</v>
      </c>
      <c r="AF303" s="54">
        <f t="shared" si="40"/>
        <v>200919.95831008948</v>
      </c>
      <c r="AG303" s="54">
        <f t="shared" si="41"/>
        <v>235726.3649236229</v>
      </c>
      <c r="AH303" s="54">
        <f t="shared" si="42"/>
        <v>304566.70283618494</v>
      </c>
      <c r="AI303" s="54">
        <f t="shared" si="43"/>
        <v>441017.27505548124</v>
      </c>
      <c r="AJ303" s="54">
        <f t="shared" si="44"/>
        <v>560025.21947780671</v>
      </c>
      <c r="AK303" s="54">
        <f t="shared" si="45"/>
        <v>902776.40921542607</v>
      </c>
      <c r="AL303" s="54">
        <f t="shared" si="46"/>
        <v>2201680.8590802434</v>
      </c>
      <c r="AM303" s="54">
        <f t="shared" si="47"/>
        <v>5097439.8050677096</v>
      </c>
    </row>
    <row r="304" spans="1:39" x14ac:dyDescent="0.25">
      <c r="A304" s="24"/>
      <c r="B304" s="24"/>
      <c r="C304" s="28">
        <v>33</v>
      </c>
      <c r="D304" s="45">
        <f t="shared" si="56"/>
        <v>0.93043993738266439</v>
      </c>
      <c r="E304" s="24">
        <f t="shared" ca="1" si="52"/>
        <v>9</v>
      </c>
      <c r="F304" s="45">
        <f t="shared" ca="1" si="53"/>
        <v>1.4401076455055348</v>
      </c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55">
        <v>46</v>
      </c>
      <c r="R304" s="54">
        <v>77946.074743306264</v>
      </c>
      <c r="S304" s="54">
        <v>134872.65608192421</v>
      </c>
      <c r="T304" s="54">
        <v>186645.33149428666</v>
      </c>
      <c r="U304" s="54">
        <v>281285.54330191202</v>
      </c>
      <c r="V304" s="54">
        <v>427909.31773280539</v>
      </c>
      <c r="W304" s="54">
        <v>593416.55416991934</v>
      </c>
      <c r="X304" s="54">
        <v>887004.47055266425</v>
      </c>
      <c r="Y304" s="54">
        <v>1393266.8518622899</v>
      </c>
      <c r="Z304" s="54">
        <v>3994400.6354566598</v>
      </c>
      <c r="AA304" s="54">
        <f t="shared" si="37"/>
        <v>7976747.4353957679</v>
      </c>
      <c r="AC304" s="55">
        <v>46</v>
      </c>
      <c r="AD304" s="54">
        <f t="shared" si="38"/>
        <v>73256.900539756462</v>
      </c>
      <c r="AE304" s="54">
        <f t="shared" si="39"/>
        <v>118684.28145465795</v>
      </c>
      <c r="AF304" s="54">
        <f t="shared" si="40"/>
        <v>153564.87489616362</v>
      </c>
      <c r="AG304" s="54">
        <f t="shared" si="41"/>
        <v>216600.57444961989</v>
      </c>
      <c r="AH304" s="54">
        <f t="shared" si="42"/>
        <v>308769.48844414187</v>
      </c>
      <c r="AI304" s="54">
        <f t="shared" si="43"/>
        <v>401639.04402098863</v>
      </c>
      <c r="AJ304" s="54">
        <f t="shared" si="44"/>
        <v>563604.32997034909</v>
      </c>
      <c r="AK304" s="54">
        <f t="shared" si="45"/>
        <v>831243.98391748744</v>
      </c>
      <c r="AL304" s="54">
        <f t="shared" si="46"/>
        <v>2236200.2952466351</v>
      </c>
      <c r="AM304" s="54">
        <f t="shared" si="47"/>
        <v>4903563.7729397994</v>
      </c>
    </row>
    <row r="305" spans="1:39" x14ac:dyDescent="0.25">
      <c r="A305" s="24"/>
      <c r="B305" s="24"/>
      <c r="C305" s="28">
        <v>34</v>
      </c>
      <c r="D305" s="45">
        <f t="shared" si="56"/>
        <v>-1.8703523636345614</v>
      </c>
      <c r="E305" s="24">
        <f t="shared" ca="1" si="52"/>
        <v>28</v>
      </c>
      <c r="F305" s="45">
        <f t="shared" ca="1" si="53"/>
        <v>4.2214357750837619E-3</v>
      </c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55">
        <v>47</v>
      </c>
      <c r="R305" s="54">
        <v>58912.988623917103</v>
      </c>
      <c r="S305" s="54">
        <v>105429.91716574132</v>
      </c>
      <c r="T305" s="54">
        <v>181174.0835262388</v>
      </c>
      <c r="U305" s="54">
        <v>270277.66770612448</v>
      </c>
      <c r="V305" s="54">
        <v>373110.59839094523</v>
      </c>
      <c r="W305" s="54">
        <v>635662.03561100364</v>
      </c>
      <c r="X305" s="54">
        <v>889393.02262740768</v>
      </c>
      <c r="Y305" s="54">
        <v>1447984.9234156795</v>
      </c>
      <c r="Z305" s="54">
        <v>3901970.661282693</v>
      </c>
      <c r="AA305" s="54">
        <f t="shared" si="37"/>
        <v>7863915.8983497508</v>
      </c>
      <c r="AC305" s="55">
        <v>47</v>
      </c>
      <c r="AD305" s="54">
        <f t="shared" si="38"/>
        <v>55368.829826709436</v>
      </c>
      <c r="AE305" s="54">
        <f t="shared" si="39"/>
        <v>92775.469291859714</v>
      </c>
      <c r="AF305" s="54">
        <f t="shared" si="40"/>
        <v>149063.33444501722</v>
      </c>
      <c r="AG305" s="54">
        <f t="shared" si="41"/>
        <v>208124.09126627201</v>
      </c>
      <c r="AH305" s="54">
        <f t="shared" si="42"/>
        <v>269227.99720429577</v>
      </c>
      <c r="AI305" s="54">
        <f t="shared" si="43"/>
        <v>430231.83379231178</v>
      </c>
      <c r="AJ305" s="54">
        <f t="shared" si="44"/>
        <v>565122.02050785709</v>
      </c>
      <c r="AK305" s="54">
        <f t="shared" si="45"/>
        <v>863889.60936212214</v>
      </c>
      <c r="AL305" s="54">
        <f t="shared" si="46"/>
        <v>2184454.8759958106</v>
      </c>
      <c r="AM305" s="54">
        <f t="shared" si="47"/>
        <v>4818258.0616922565</v>
      </c>
    </row>
    <row r="306" spans="1:39" x14ac:dyDescent="0.25">
      <c r="A306" s="24"/>
      <c r="B306" s="24"/>
      <c r="C306" s="28">
        <v>35</v>
      </c>
      <c r="D306" s="45">
        <f t="shared" ref="D306:D311" si="57">G148</f>
        <v>-0.30023834351611778</v>
      </c>
      <c r="E306" s="24">
        <f t="shared" ca="1" si="52"/>
        <v>4</v>
      </c>
      <c r="F306" s="45">
        <f t="shared" ca="1" si="53"/>
        <v>-0.79058047455112479</v>
      </c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55">
        <v>48</v>
      </c>
      <c r="R306" s="54">
        <v>108557.7342316322</v>
      </c>
      <c r="S306" s="54">
        <v>169428.02099103015</v>
      </c>
      <c r="T306" s="54">
        <v>256906.4362600483</v>
      </c>
      <c r="U306" s="54">
        <v>350453.95945213549</v>
      </c>
      <c r="V306" s="54">
        <v>474342.35886524897</v>
      </c>
      <c r="W306" s="54">
        <v>699350.12723631505</v>
      </c>
      <c r="X306" s="54">
        <v>1041037.0374702634</v>
      </c>
      <c r="Y306" s="54">
        <v>1529316.8655951563</v>
      </c>
      <c r="Z306" s="54">
        <v>4287519.3624809086</v>
      </c>
      <c r="AA306" s="54">
        <f t="shared" si="37"/>
        <v>8916911.9025827385</v>
      </c>
      <c r="AC306" s="55">
        <v>48</v>
      </c>
      <c r="AD306" s="54">
        <f t="shared" si="38"/>
        <v>102026.98680616931</v>
      </c>
      <c r="AE306" s="54">
        <f t="shared" si="39"/>
        <v>149092.06590690158</v>
      </c>
      <c r="AF306" s="54">
        <f t="shared" si="40"/>
        <v>211373.11299694199</v>
      </c>
      <c r="AG306" s="54">
        <f t="shared" si="41"/>
        <v>269862.88752849802</v>
      </c>
      <c r="AH306" s="54">
        <f t="shared" si="42"/>
        <v>342274.49935003376</v>
      </c>
      <c r="AI306" s="54">
        <f t="shared" si="43"/>
        <v>473337.51403692918</v>
      </c>
      <c r="AJ306" s="54">
        <f t="shared" si="44"/>
        <v>661476.9163589112</v>
      </c>
      <c r="AK306" s="54">
        <f t="shared" si="45"/>
        <v>912413.47077937296</v>
      </c>
      <c r="AL306" s="54">
        <f t="shared" si="46"/>
        <v>2400298.0520153437</v>
      </c>
      <c r="AM306" s="54">
        <f t="shared" si="47"/>
        <v>5522155.5057791015</v>
      </c>
    </row>
    <row r="307" spans="1:39" x14ac:dyDescent="0.25">
      <c r="A307" s="24"/>
      <c r="B307" s="24"/>
      <c r="C307" s="28">
        <v>36</v>
      </c>
      <c r="D307" s="45">
        <f t="shared" si="57"/>
        <v>-1.9001874608608016</v>
      </c>
      <c r="E307" s="24">
        <f t="shared" ca="1" si="52"/>
        <v>38</v>
      </c>
      <c r="F307" s="45">
        <f t="shared" ca="1" si="53"/>
        <v>3.0101041573791041</v>
      </c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55">
        <v>49</v>
      </c>
      <c r="R307" s="54">
        <v>41067.627001417801</v>
      </c>
      <c r="S307" s="54">
        <v>104729.35801691934</v>
      </c>
      <c r="T307" s="54">
        <v>182469.67459584214</v>
      </c>
      <c r="U307" s="54">
        <v>275290.80126416311</v>
      </c>
      <c r="V307" s="54">
        <v>417443.10093583912</v>
      </c>
      <c r="W307" s="54">
        <v>592470.24033719674</v>
      </c>
      <c r="X307" s="54">
        <v>892225.5726192873</v>
      </c>
      <c r="Y307" s="54">
        <v>1376712.6591347586</v>
      </c>
      <c r="Z307" s="54">
        <v>4078511.896409655</v>
      </c>
      <c r="AA307" s="54">
        <f t="shared" si="37"/>
        <v>7960920.9303150792</v>
      </c>
      <c r="AC307" s="55">
        <v>49</v>
      </c>
      <c r="AD307" s="54">
        <f t="shared" si="38"/>
        <v>38597.031044273834</v>
      </c>
      <c r="AE307" s="54">
        <f t="shared" si="39"/>
        <v>92158.996230456367</v>
      </c>
      <c r="AF307" s="54">
        <f t="shared" si="40"/>
        <v>150129.29885423853</v>
      </c>
      <c r="AG307" s="54">
        <f t="shared" si="41"/>
        <v>211984.39491258617</v>
      </c>
      <c r="AH307" s="54">
        <f t="shared" si="42"/>
        <v>301217.30794134981</v>
      </c>
      <c r="AI307" s="54">
        <f t="shared" si="43"/>
        <v>400998.55534495192</v>
      </c>
      <c r="AJ307" s="54">
        <f t="shared" si="44"/>
        <v>566921.82816754805</v>
      </c>
      <c r="AK307" s="54">
        <f t="shared" si="45"/>
        <v>821367.50325983146</v>
      </c>
      <c r="AL307" s="54">
        <f t="shared" si="46"/>
        <v>2283288.6180620934</v>
      </c>
      <c r="AM307" s="54">
        <f t="shared" si="47"/>
        <v>4866663.5338173294</v>
      </c>
    </row>
    <row r="308" spans="1:39" x14ac:dyDescent="0.25">
      <c r="A308" s="24"/>
      <c r="B308" s="24"/>
      <c r="C308" s="28">
        <v>37</v>
      </c>
      <c r="D308" s="45">
        <f t="shared" si="57"/>
        <v>-0.66514966497162376</v>
      </c>
      <c r="E308" s="24">
        <f t="shared" ca="1" si="52"/>
        <v>43</v>
      </c>
      <c r="F308" s="45">
        <f t="shared" ca="1" si="53"/>
        <v>-0.21021672761817509</v>
      </c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55">
        <v>50</v>
      </c>
      <c r="R308" s="54">
        <v>85452.022192385048</v>
      </c>
      <c r="S308" s="54">
        <v>177324.0657524392</v>
      </c>
      <c r="T308" s="54">
        <v>232474.95312227868</v>
      </c>
      <c r="U308" s="54">
        <v>307009.74677140824</v>
      </c>
      <c r="V308" s="54">
        <v>453182.67823132128</v>
      </c>
      <c r="W308" s="54">
        <v>641281.48970521428</v>
      </c>
      <c r="X308" s="54">
        <v>966693.77456001472</v>
      </c>
      <c r="Y308" s="54">
        <v>1427114.1622146536</v>
      </c>
      <c r="Z308" s="54">
        <v>3888812.1505882507</v>
      </c>
      <c r="AA308" s="54">
        <f t="shared" si="37"/>
        <v>8179345.0431379657</v>
      </c>
      <c r="AC308" s="55">
        <v>50</v>
      </c>
      <c r="AD308" s="54">
        <f t="shared" si="38"/>
        <v>80311.296127277994</v>
      </c>
      <c r="AE308" s="54">
        <f t="shared" si="39"/>
        <v>156040.37126445616</v>
      </c>
      <c r="AF308" s="54">
        <f t="shared" si="40"/>
        <v>191271.79237165666</v>
      </c>
      <c r="AG308" s="54">
        <f t="shared" si="41"/>
        <v>236409.19021901026</v>
      </c>
      <c r="AH308" s="54">
        <f t="shared" si="42"/>
        <v>327006.16212476476</v>
      </c>
      <c r="AI308" s="54">
        <f t="shared" si="43"/>
        <v>434035.2197181994</v>
      </c>
      <c r="AJ308" s="54">
        <f t="shared" si="44"/>
        <v>614239.06551219162</v>
      </c>
      <c r="AK308" s="54">
        <f t="shared" si="45"/>
        <v>851437.79895341082</v>
      </c>
      <c r="AL308" s="54">
        <f t="shared" si="46"/>
        <v>2177088.2975813365</v>
      </c>
      <c r="AM308" s="54">
        <f t="shared" si="47"/>
        <v>5067839.1938723046</v>
      </c>
    </row>
    <row r="309" spans="1:39" x14ac:dyDescent="0.25">
      <c r="A309" s="24"/>
      <c r="B309" s="24"/>
      <c r="C309" s="28">
        <v>38</v>
      </c>
      <c r="D309" s="45">
        <f t="shared" si="57"/>
        <v>3.0101041573791041</v>
      </c>
      <c r="E309" s="24">
        <f t="shared" ca="1" si="52"/>
        <v>37</v>
      </c>
      <c r="F309" s="45">
        <f t="shared" ca="1" si="53"/>
        <v>-0.66514966497162376</v>
      </c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55">
        <v>51</v>
      </c>
      <c r="R309" s="54">
        <v>107699.08267871104</v>
      </c>
      <c r="S309" s="54">
        <v>176211.95644783415</v>
      </c>
      <c r="T309" s="54">
        <v>250237.94181195926</v>
      </c>
      <c r="U309" s="54">
        <v>342598.40991043858</v>
      </c>
      <c r="V309" s="54">
        <v>481197.07284611464</v>
      </c>
      <c r="W309" s="54">
        <v>668659.7033283785</v>
      </c>
      <c r="X309" s="54">
        <v>938885.71257341001</v>
      </c>
      <c r="Y309" s="54">
        <v>1550529.4148977268</v>
      </c>
      <c r="Z309" s="54">
        <v>3853255.8070885316</v>
      </c>
      <c r="AA309" s="54">
        <f t="shared" si="37"/>
        <v>8369275.1015831046</v>
      </c>
      <c r="AC309" s="55">
        <v>51</v>
      </c>
      <c r="AD309" s="54">
        <f t="shared" si="38"/>
        <v>101219.99105150426</v>
      </c>
      <c r="AE309" s="54">
        <f t="shared" si="39"/>
        <v>155061.7452215619</v>
      </c>
      <c r="AF309" s="54">
        <f t="shared" si="40"/>
        <v>205886.52242718052</v>
      </c>
      <c r="AG309" s="54">
        <f t="shared" si="41"/>
        <v>263813.81538858108</v>
      </c>
      <c r="AH309" s="54">
        <f t="shared" si="42"/>
        <v>347220.70276648848</v>
      </c>
      <c r="AI309" s="54">
        <f t="shared" si="43"/>
        <v>452565.47383622226</v>
      </c>
      <c r="AJ309" s="54">
        <f t="shared" si="44"/>
        <v>596569.76996290416</v>
      </c>
      <c r="AK309" s="54">
        <f t="shared" si="45"/>
        <v>925069.19711618067</v>
      </c>
      <c r="AL309" s="54">
        <f t="shared" si="46"/>
        <v>2157182.656387968</v>
      </c>
      <c r="AM309" s="54">
        <f t="shared" si="47"/>
        <v>5204589.874158591</v>
      </c>
    </row>
    <row r="310" spans="1:39" x14ac:dyDescent="0.25">
      <c r="A310" s="24"/>
      <c r="B310" s="24"/>
      <c r="C310" s="28">
        <v>39</v>
      </c>
      <c r="D310" s="45">
        <f t="shared" si="57"/>
        <v>1.1446144852685602</v>
      </c>
      <c r="E310" s="24">
        <f t="shared" ca="1" si="52"/>
        <v>27</v>
      </c>
      <c r="F310" s="45">
        <f t="shared" ca="1" si="53"/>
        <v>-0.77093864550956237</v>
      </c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55">
        <v>52</v>
      </c>
      <c r="R310" s="54">
        <v>110988.82573784515</v>
      </c>
      <c r="S310" s="54">
        <v>150724.88121271506</v>
      </c>
      <c r="T310" s="54">
        <v>226492.81847393885</v>
      </c>
      <c r="U310" s="54">
        <v>313035.05719514471</v>
      </c>
      <c r="V310" s="54">
        <v>429843.02048838697</v>
      </c>
      <c r="W310" s="54">
        <v>664483.3307251595</v>
      </c>
      <c r="X310" s="54">
        <v>982493.02148047835</v>
      </c>
      <c r="Y310" s="54">
        <v>1499522.5413371576</v>
      </c>
      <c r="Z310" s="54">
        <v>4084095.8586631389</v>
      </c>
      <c r="AA310" s="54">
        <f t="shared" si="37"/>
        <v>8461679.3553139642</v>
      </c>
      <c r="AC310" s="55">
        <v>52</v>
      </c>
      <c r="AD310" s="54">
        <f t="shared" si="38"/>
        <v>104311.82577028897</v>
      </c>
      <c r="AE310" s="54">
        <f t="shared" si="39"/>
        <v>132633.80987472984</v>
      </c>
      <c r="AF310" s="54">
        <f t="shared" si="40"/>
        <v>186349.91325724425</v>
      </c>
      <c r="AG310" s="54">
        <f t="shared" si="41"/>
        <v>241048.90857672837</v>
      </c>
      <c r="AH310" s="54">
        <f t="shared" si="42"/>
        <v>310164.80372684571</v>
      </c>
      <c r="AI310" s="54">
        <f t="shared" si="43"/>
        <v>449738.80126019561</v>
      </c>
      <c r="AJ310" s="54">
        <f t="shared" si="44"/>
        <v>624277.93709656585</v>
      </c>
      <c r="AK310" s="54">
        <f t="shared" si="45"/>
        <v>894637.72827803891</v>
      </c>
      <c r="AL310" s="54">
        <f t="shared" si="46"/>
        <v>2286414.7086021975</v>
      </c>
      <c r="AM310" s="54">
        <f t="shared" si="47"/>
        <v>5229578.4364428353</v>
      </c>
    </row>
    <row r="311" spans="1:39" x14ac:dyDescent="0.25">
      <c r="A311" s="24"/>
      <c r="B311" s="24"/>
      <c r="C311" s="28">
        <v>40</v>
      </c>
      <c r="D311" s="45">
        <f t="shared" si="57"/>
        <v>-1.2243917343919817</v>
      </c>
      <c r="E311" s="24">
        <f t="shared" ca="1" si="52"/>
        <v>19</v>
      </c>
      <c r="F311" s="45">
        <f t="shared" ca="1" si="53"/>
        <v>-2.1456623266114634</v>
      </c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55">
        <v>53</v>
      </c>
      <c r="R311" s="54">
        <v>67727.428735749796</v>
      </c>
      <c r="S311" s="54">
        <v>122171.72094132379</v>
      </c>
      <c r="T311" s="54">
        <v>215672.81238618121</v>
      </c>
      <c r="U311" s="54">
        <v>282151.24093239009</v>
      </c>
      <c r="V311" s="54">
        <v>395789.31556040049</v>
      </c>
      <c r="W311" s="54">
        <v>571206.38007496577</v>
      </c>
      <c r="X311" s="54">
        <v>826800.94706367515</v>
      </c>
      <c r="Y311" s="54">
        <v>1379449.5354171572</v>
      </c>
      <c r="Z311" s="54">
        <v>4048578.4721158268</v>
      </c>
      <c r="AA311" s="54">
        <f t="shared" si="37"/>
        <v>7909547.8532276703</v>
      </c>
      <c r="AC311" s="55">
        <v>53</v>
      </c>
      <c r="AD311" s="54">
        <f t="shared" si="38"/>
        <v>63653.000193372056</v>
      </c>
      <c r="AE311" s="54">
        <f t="shared" si="39"/>
        <v>107507.80280617079</v>
      </c>
      <c r="AF311" s="54">
        <f t="shared" si="40"/>
        <v>177447.61247136525</v>
      </c>
      <c r="AG311" s="54">
        <f t="shared" si="41"/>
        <v>217267.19457470739</v>
      </c>
      <c r="AH311" s="54">
        <f t="shared" si="42"/>
        <v>285592.43613748712</v>
      </c>
      <c r="AI311" s="54">
        <f t="shared" si="43"/>
        <v>386606.64725289546</v>
      </c>
      <c r="AJ311" s="54">
        <f t="shared" si="44"/>
        <v>525350.89648232551</v>
      </c>
      <c r="AK311" s="54">
        <f t="shared" si="45"/>
        <v>823000.36486235179</v>
      </c>
      <c r="AL311" s="54">
        <f t="shared" si="46"/>
        <v>2266530.8768256665</v>
      </c>
      <c r="AM311" s="54">
        <f t="shared" si="47"/>
        <v>4852956.8316063415</v>
      </c>
    </row>
    <row r="312" spans="1:39" x14ac:dyDescent="0.25">
      <c r="A312" s="24"/>
      <c r="B312" s="24"/>
      <c r="C312" s="28">
        <v>41</v>
      </c>
      <c r="D312" s="45">
        <f>H148</f>
        <v>-1.4614655404898691</v>
      </c>
      <c r="E312" s="24">
        <f t="shared" ca="1" si="52"/>
        <v>3</v>
      </c>
      <c r="F312" s="45">
        <f t="shared" ca="1" si="53"/>
        <v>-6.8056962034867982E-2</v>
      </c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55">
        <v>54</v>
      </c>
      <c r="R312" s="54">
        <v>89207.354433581233</v>
      </c>
      <c r="S312" s="54">
        <v>156448.45494510606</v>
      </c>
      <c r="T312" s="54">
        <v>242065.47714782134</v>
      </c>
      <c r="U312" s="54">
        <v>300432.33716560155</v>
      </c>
      <c r="V312" s="54">
        <v>466131.80651785433</v>
      </c>
      <c r="W312" s="54">
        <v>702720.8124635797</v>
      </c>
      <c r="X312" s="54">
        <v>936999.89456101414</v>
      </c>
      <c r="Y312" s="54">
        <v>1559715.4885825748</v>
      </c>
      <c r="Z312" s="54">
        <v>3632549.7149915621</v>
      </c>
      <c r="AA312" s="54">
        <f t="shared" si="37"/>
        <v>8086271.3408086952</v>
      </c>
      <c r="AC312" s="55">
        <v>54</v>
      </c>
      <c r="AD312" s="54">
        <f t="shared" si="38"/>
        <v>83840.710551198994</v>
      </c>
      <c r="AE312" s="54">
        <f t="shared" si="39"/>
        <v>137670.39961437994</v>
      </c>
      <c r="AF312" s="54">
        <f t="shared" si="40"/>
        <v>199162.52079427562</v>
      </c>
      <c r="AG312" s="54">
        <f t="shared" si="41"/>
        <v>231344.33447745856</v>
      </c>
      <c r="AH312" s="54">
        <f t="shared" si="42"/>
        <v>336349.95425814146</v>
      </c>
      <c r="AI312" s="54">
        <f t="shared" si="43"/>
        <v>475618.87741120841</v>
      </c>
      <c r="AJ312" s="54">
        <f t="shared" si="44"/>
        <v>595371.51760611485</v>
      </c>
      <c r="AK312" s="54">
        <f t="shared" si="45"/>
        <v>930549.74700233224</v>
      </c>
      <c r="AL312" s="54">
        <f t="shared" si="46"/>
        <v>2033623.9367320091</v>
      </c>
      <c r="AM312" s="54">
        <f t="shared" si="47"/>
        <v>5023531.9984471193</v>
      </c>
    </row>
    <row r="313" spans="1:39" x14ac:dyDescent="0.25">
      <c r="A313" s="24"/>
      <c r="B313" s="24"/>
      <c r="C313" s="28">
        <v>42</v>
      </c>
      <c r="D313" s="45">
        <f>H149</f>
        <v>5.7861223520765351E-2</v>
      </c>
      <c r="E313" s="24">
        <f t="shared" ca="1" si="52"/>
        <v>13</v>
      </c>
      <c r="F313" s="45">
        <f t="shared" ca="1" si="53"/>
        <v>-0.34235777668246736</v>
      </c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55">
        <v>55</v>
      </c>
      <c r="R313" s="54">
        <v>105236.1394809112</v>
      </c>
      <c r="S313" s="54">
        <v>178201.43779793009</v>
      </c>
      <c r="T313" s="54">
        <v>234639.93272020109</v>
      </c>
      <c r="U313" s="54">
        <v>322195.5646996852</v>
      </c>
      <c r="V313" s="54">
        <v>413643.61894814484</v>
      </c>
      <c r="W313" s="54">
        <v>620039.23018337693</v>
      </c>
      <c r="X313" s="54">
        <v>907536.91847212333</v>
      </c>
      <c r="Y313" s="54">
        <v>1370682.525833765</v>
      </c>
      <c r="Z313" s="54">
        <v>3836812.6539428663</v>
      </c>
      <c r="AA313" s="54">
        <f t="shared" si="37"/>
        <v>7988988.022079004</v>
      </c>
      <c r="AC313" s="55">
        <v>55</v>
      </c>
      <c r="AD313" s="54">
        <f t="shared" si="38"/>
        <v>98905.21656836984</v>
      </c>
      <c r="AE313" s="54">
        <f t="shared" si="39"/>
        <v>156812.43488218635</v>
      </c>
      <c r="AF313" s="54">
        <f t="shared" si="40"/>
        <v>193053.05750401213</v>
      </c>
      <c r="AG313" s="54">
        <f t="shared" si="41"/>
        <v>248102.84801649494</v>
      </c>
      <c r="AH313" s="54">
        <f t="shared" si="42"/>
        <v>298475.68942294765</v>
      </c>
      <c r="AI313" s="54">
        <f t="shared" si="43"/>
        <v>419657.93154306448</v>
      </c>
      <c r="AJ313" s="54">
        <f t="shared" si="44"/>
        <v>576650.68648429948</v>
      </c>
      <c r="AK313" s="54">
        <f t="shared" si="45"/>
        <v>817769.8349294815</v>
      </c>
      <c r="AL313" s="54">
        <f t="shared" si="46"/>
        <v>2147977.2242656294</v>
      </c>
      <c r="AM313" s="54">
        <f t="shared" si="47"/>
        <v>4957404.9236164857</v>
      </c>
    </row>
    <row r="314" spans="1:39" x14ac:dyDescent="0.25">
      <c r="A314" s="24"/>
      <c r="B314" s="24"/>
      <c r="C314" s="28">
        <v>43</v>
      </c>
      <c r="D314" s="45">
        <f>H150</f>
        <v>-0.21021672761817509</v>
      </c>
      <c r="E314" s="24">
        <f t="shared" ca="1" si="52"/>
        <v>34</v>
      </c>
      <c r="F314" s="45">
        <f t="shared" ca="1" si="53"/>
        <v>-1.8703523636345614</v>
      </c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55">
        <v>56</v>
      </c>
      <c r="R314" s="54">
        <v>92979.395030265674</v>
      </c>
      <c r="S314" s="54">
        <v>153584.99025707319</v>
      </c>
      <c r="T314" s="54">
        <v>227447.55673572235</v>
      </c>
      <c r="U314" s="54">
        <v>303373.71775630116</v>
      </c>
      <c r="V314" s="54">
        <v>432580.49357682932</v>
      </c>
      <c r="W314" s="54">
        <v>610455.05861481838</v>
      </c>
      <c r="X314" s="54">
        <v>945394.68855512235</v>
      </c>
      <c r="Y314" s="54">
        <v>1528417.7394299489</v>
      </c>
      <c r="Z314" s="54">
        <v>3793148.1083932146</v>
      </c>
      <c r="AA314" s="54">
        <f t="shared" si="37"/>
        <v>8087381.7483492959</v>
      </c>
      <c r="AC314" s="55">
        <v>56</v>
      </c>
      <c r="AD314" s="54">
        <f t="shared" si="38"/>
        <v>87385.828169157889</v>
      </c>
      <c r="AE314" s="54">
        <f t="shared" si="39"/>
        <v>135150.62830681753</v>
      </c>
      <c r="AF314" s="54">
        <f t="shared" si="40"/>
        <v>187135.43658405647</v>
      </c>
      <c r="AG314" s="54">
        <f t="shared" si="41"/>
        <v>233609.30948520958</v>
      </c>
      <c r="AH314" s="54">
        <f t="shared" si="42"/>
        <v>312140.10113244166</v>
      </c>
      <c r="AI314" s="54">
        <f t="shared" si="43"/>
        <v>413171.12648264016</v>
      </c>
      <c r="AJ314" s="54">
        <f t="shared" si="44"/>
        <v>600705.58569862461</v>
      </c>
      <c r="AK314" s="54">
        <f t="shared" si="45"/>
        <v>911877.03856998496</v>
      </c>
      <c r="AL314" s="54">
        <f t="shared" si="46"/>
        <v>2123532.3378956425</v>
      </c>
      <c r="AM314" s="54">
        <f t="shared" si="47"/>
        <v>5004707.3923245752</v>
      </c>
    </row>
    <row r="315" spans="1:39" x14ac:dyDescent="0.25">
      <c r="A315" s="24"/>
      <c r="B315" s="24"/>
      <c r="C315" s="28">
        <v>44</v>
      </c>
      <c r="D315" s="45">
        <f>H151</f>
        <v>0.79644688014752352</v>
      </c>
      <c r="E315" s="24">
        <f t="shared" ca="1" si="52"/>
        <v>30</v>
      </c>
      <c r="F315" s="45">
        <f t="shared" ca="1" si="53"/>
        <v>-0.43074744061904469</v>
      </c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55">
        <v>57</v>
      </c>
      <c r="R315" s="54">
        <v>73960.73270932585</v>
      </c>
      <c r="S315" s="54">
        <v>156868.16132586263</v>
      </c>
      <c r="T315" s="54">
        <v>190273.26632150728</v>
      </c>
      <c r="U315" s="54">
        <v>279790.18728300184</v>
      </c>
      <c r="V315" s="54">
        <v>420369.2175291013</v>
      </c>
      <c r="W315" s="54">
        <v>621951.99662486836</v>
      </c>
      <c r="X315" s="54">
        <v>900590.56690016575</v>
      </c>
      <c r="Y315" s="54">
        <v>1404185.6102687865</v>
      </c>
      <c r="Z315" s="54">
        <v>4130997.4585426375</v>
      </c>
      <c r="AA315" s="54">
        <f t="shared" si="37"/>
        <v>8178987.1975052571</v>
      </c>
      <c r="AC315" s="55">
        <v>57</v>
      </c>
      <c r="AD315" s="54">
        <f t="shared" si="38"/>
        <v>69511.31353025428</v>
      </c>
      <c r="AE315" s="54">
        <f t="shared" si="39"/>
        <v>138039.72985276254</v>
      </c>
      <c r="AF315" s="54">
        <f t="shared" si="40"/>
        <v>156549.8054776747</v>
      </c>
      <c r="AG315" s="54">
        <f t="shared" si="41"/>
        <v>215449.09339979218</v>
      </c>
      <c r="AH315" s="54">
        <f t="shared" si="42"/>
        <v>303328.72614653513</v>
      </c>
      <c r="AI315" s="54">
        <f t="shared" si="43"/>
        <v>420952.53931832389</v>
      </c>
      <c r="AJ315" s="54">
        <f t="shared" si="44"/>
        <v>572236.96146551531</v>
      </c>
      <c r="AK315" s="54">
        <f t="shared" si="45"/>
        <v>837758.27959969454</v>
      </c>
      <c r="AL315" s="54">
        <f t="shared" si="46"/>
        <v>2312671.8072435018</v>
      </c>
      <c r="AM315" s="54">
        <f t="shared" si="47"/>
        <v>5026498.2560340539</v>
      </c>
    </row>
    <row r="316" spans="1:39" x14ac:dyDescent="0.25">
      <c r="A316" s="24"/>
      <c r="B316" s="24"/>
      <c r="C316" s="28">
        <v>45</v>
      </c>
      <c r="D316" s="45">
        <f>H152</f>
        <v>0.8817130047544105</v>
      </c>
      <c r="E316" s="24">
        <f t="shared" ca="1" si="52"/>
        <v>1</v>
      </c>
      <c r="F316" s="45">
        <f t="shared" ca="1" si="53"/>
        <v>-0.42736456620312668</v>
      </c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55">
        <v>58</v>
      </c>
      <c r="R316" s="54">
        <v>69384.051058603451</v>
      </c>
      <c r="S316" s="54">
        <v>104215.48316627927</v>
      </c>
      <c r="T316" s="54">
        <v>191835.13741199858</v>
      </c>
      <c r="U316" s="54">
        <v>287691.32202181034</v>
      </c>
      <c r="V316" s="54">
        <v>430394.05137748271</v>
      </c>
      <c r="W316" s="54">
        <v>595617.74268256035</v>
      </c>
      <c r="X316" s="54">
        <v>907622.33414165303</v>
      </c>
      <c r="Y316" s="54">
        <v>1380765.8916348163</v>
      </c>
      <c r="Z316" s="54">
        <v>3775230.2043924937</v>
      </c>
      <c r="AA316" s="54">
        <f t="shared" si="37"/>
        <v>7742756.2178876977</v>
      </c>
      <c r="AC316" s="55">
        <v>58</v>
      </c>
      <c r="AD316" s="54">
        <f t="shared" si="38"/>
        <v>65209.961427621405</v>
      </c>
      <c r="AE316" s="54">
        <f t="shared" si="39"/>
        <v>91706.800291134234</v>
      </c>
      <c r="AF316" s="54">
        <f t="shared" si="40"/>
        <v>157834.8552386036</v>
      </c>
      <c r="AG316" s="54">
        <f t="shared" si="41"/>
        <v>221533.26787651915</v>
      </c>
      <c r="AH316" s="54">
        <f t="shared" si="42"/>
        <v>310562.41489980282</v>
      </c>
      <c r="AI316" s="54">
        <f t="shared" si="43"/>
        <v>403128.8630085357</v>
      </c>
      <c r="AJ316" s="54">
        <f t="shared" si="44"/>
        <v>576704.95976340061</v>
      </c>
      <c r="AK316" s="54">
        <f t="shared" si="45"/>
        <v>823785.72280376765</v>
      </c>
      <c r="AL316" s="54">
        <f t="shared" si="46"/>
        <v>2113501.2904686658</v>
      </c>
      <c r="AM316" s="54">
        <f t="shared" si="47"/>
        <v>4763968.1357780509</v>
      </c>
    </row>
    <row r="317" spans="1:39" x14ac:dyDescent="0.25">
      <c r="C317" s="28">
        <v>46</v>
      </c>
      <c r="D317" s="45">
        <f>I148</f>
        <v>-0.83487309827030476</v>
      </c>
      <c r="E317" s="24">
        <f t="shared" ca="1" si="52"/>
        <v>26</v>
      </c>
      <c r="F317" s="45">
        <f t="shared" ca="1" si="53"/>
        <v>-1.5834556260376251</v>
      </c>
      <c r="Q317" s="55">
        <v>59</v>
      </c>
      <c r="R317" s="54">
        <v>90343.508411431685</v>
      </c>
      <c r="S317" s="54">
        <v>130068.37321041338</v>
      </c>
      <c r="T317" s="54">
        <v>218181.86650795303</v>
      </c>
      <c r="U317" s="54">
        <v>311402.96780976281</v>
      </c>
      <c r="V317" s="54">
        <v>461467.64697898366</v>
      </c>
      <c r="W317" s="54">
        <v>658242.57521180436</v>
      </c>
      <c r="X317" s="54">
        <v>997483.02031588648</v>
      </c>
      <c r="Y317" s="54">
        <v>1593630.6746520298</v>
      </c>
      <c r="Z317" s="54">
        <v>3921475.8189631347</v>
      </c>
      <c r="AA317" s="54">
        <f t="shared" si="37"/>
        <v>8382296.4520613998</v>
      </c>
      <c r="AC317" s="55">
        <v>59</v>
      </c>
      <c r="AD317" s="54">
        <f t="shared" si="38"/>
        <v>84908.51440440568</v>
      </c>
      <c r="AE317" s="54">
        <f t="shared" si="39"/>
        <v>114456.64275401695</v>
      </c>
      <c r="AF317" s="54">
        <f t="shared" si="40"/>
        <v>179511.96939491032</v>
      </c>
      <c r="AG317" s="54">
        <f t="shared" si="41"/>
        <v>239792.1376304611</v>
      </c>
      <c r="AH317" s="54">
        <f t="shared" si="42"/>
        <v>332984.40437371895</v>
      </c>
      <c r="AI317" s="54">
        <f t="shared" si="43"/>
        <v>445514.90312196652</v>
      </c>
      <c r="AJ317" s="54">
        <f t="shared" si="44"/>
        <v>633802.61090640875</v>
      </c>
      <c r="AK317" s="54">
        <f t="shared" si="45"/>
        <v>950784.05771315866</v>
      </c>
      <c r="AL317" s="54">
        <f t="shared" si="46"/>
        <v>2195374.5216058833</v>
      </c>
      <c r="AM317" s="54">
        <f t="shared" si="47"/>
        <v>5177129.7619049307</v>
      </c>
    </row>
    <row r="318" spans="1:39" x14ac:dyDescent="0.25">
      <c r="C318" s="28">
        <v>47</v>
      </c>
      <c r="D318" s="45">
        <f>I149</f>
        <v>-0.18048166316314193</v>
      </c>
      <c r="E318" s="24">
        <f t="shared" ca="1" si="52"/>
        <v>33</v>
      </c>
      <c r="F318" s="45">
        <f t="shared" ca="1" si="53"/>
        <v>0.93043993738266439</v>
      </c>
      <c r="Q318" s="55">
        <v>60</v>
      </c>
      <c r="R318" s="54">
        <v>97681.573677215725</v>
      </c>
      <c r="S318" s="54">
        <v>153887.09372541681</v>
      </c>
      <c r="T318" s="54">
        <v>221878.98805565014</v>
      </c>
      <c r="U318" s="54">
        <v>294027.85648296028</v>
      </c>
      <c r="V318" s="54">
        <v>421339.13925264962</v>
      </c>
      <c r="W318" s="54">
        <v>658279.68396538123</v>
      </c>
      <c r="X318" s="54">
        <v>899753.9055087138</v>
      </c>
      <c r="Y318" s="54">
        <v>1428950.7075652871</v>
      </c>
      <c r="Z318" s="54">
        <v>4055454.7835239358</v>
      </c>
      <c r="AA318" s="54">
        <f t="shared" si="37"/>
        <v>8231253.7317572106</v>
      </c>
      <c r="AC318" s="55">
        <v>60</v>
      </c>
      <c r="AD318" s="54">
        <f t="shared" si="38"/>
        <v>91805.127467989703</v>
      </c>
      <c r="AE318" s="54">
        <f t="shared" si="39"/>
        <v>135416.47117005545</v>
      </c>
      <c r="AF318" s="54">
        <f t="shared" si="40"/>
        <v>182553.82425086954</v>
      </c>
      <c r="AG318" s="54">
        <f t="shared" si="41"/>
        <v>226412.64058865228</v>
      </c>
      <c r="AH318" s="54">
        <f t="shared" si="42"/>
        <v>304028.59927852865</v>
      </c>
      <c r="AI318" s="54">
        <f t="shared" si="43"/>
        <v>445540.01924689882</v>
      </c>
      <c r="AJ318" s="54">
        <f t="shared" si="44"/>
        <v>571705.34522388864</v>
      </c>
      <c r="AK318" s="54">
        <f t="shared" si="45"/>
        <v>852533.5095646733</v>
      </c>
      <c r="AL318" s="54">
        <f t="shared" si="46"/>
        <v>2270380.4680420626</v>
      </c>
      <c r="AM318" s="54">
        <f t="shared" si="47"/>
        <v>5080376.0048336191</v>
      </c>
    </row>
    <row r="319" spans="1:39" x14ac:dyDescent="0.25">
      <c r="C319" s="28">
        <v>48</v>
      </c>
      <c r="D319" s="45">
        <f>I150</f>
        <v>0.58903831230572112</v>
      </c>
      <c r="E319" s="24">
        <f t="shared" ca="1" si="52"/>
        <v>7</v>
      </c>
      <c r="F319" s="45">
        <f t="shared" ca="1" si="53"/>
        <v>0.33900120767711694</v>
      </c>
      <c r="Q319" s="55">
        <v>61</v>
      </c>
      <c r="R319" s="54">
        <v>39054.685213116929</v>
      </c>
      <c r="S319" s="54">
        <v>148209.81259873882</v>
      </c>
      <c r="T319" s="54">
        <v>198239.75985765643</v>
      </c>
      <c r="U319" s="54">
        <v>273705.72152328398</v>
      </c>
      <c r="V319" s="54">
        <v>390936.39024790283</v>
      </c>
      <c r="W319" s="54">
        <v>609682.58224667516</v>
      </c>
      <c r="X319" s="54">
        <v>851329.41018493753</v>
      </c>
      <c r="Y319" s="54">
        <v>1359108.7935503032</v>
      </c>
      <c r="Z319" s="54">
        <v>3560333.9083286915</v>
      </c>
      <c r="AA319" s="54">
        <f t="shared" si="37"/>
        <v>7430601.0637513064</v>
      </c>
      <c r="AC319" s="55">
        <v>61</v>
      </c>
      <c r="AD319" s="54">
        <f t="shared" si="38"/>
        <v>36705.186241780561</v>
      </c>
      <c r="AE319" s="54">
        <f t="shared" si="39"/>
        <v>130420.61766861194</v>
      </c>
      <c r="AF319" s="54">
        <f t="shared" si="40"/>
        <v>163104.34168517307</v>
      </c>
      <c r="AG319" s="54">
        <f t="shared" si="41"/>
        <v>210763.82318183652</v>
      </c>
      <c r="AH319" s="54">
        <f t="shared" si="42"/>
        <v>282090.67722712568</v>
      </c>
      <c r="AI319" s="54">
        <f t="shared" si="43"/>
        <v>412648.29531480419</v>
      </c>
      <c r="AJ319" s="54">
        <f t="shared" si="44"/>
        <v>540936.32866627839</v>
      </c>
      <c r="AK319" s="54">
        <f t="shared" si="45"/>
        <v>810864.77196954668</v>
      </c>
      <c r="AL319" s="54">
        <f t="shared" si="46"/>
        <v>1993195.0907250477</v>
      </c>
      <c r="AM319" s="54">
        <f t="shared" si="47"/>
        <v>4580729.1326802047</v>
      </c>
    </row>
    <row r="320" spans="1:39" x14ac:dyDescent="0.25">
      <c r="C320" s="28">
        <v>49</v>
      </c>
      <c r="D320" s="45">
        <f>I151</f>
        <v>0.46137759923926003</v>
      </c>
      <c r="E320" s="24">
        <f t="shared" ca="1" si="52"/>
        <v>32</v>
      </c>
      <c r="F320" s="45">
        <f t="shared" ca="1" si="53"/>
        <v>1.3034226106279823</v>
      </c>
      <c r="Q320" s="55">
        <v>62</v>
      </c>
      <c r="R320" s="54">
        <v>84231.275420745835</v>
      </c>
      <c r="S320" s="54">
        <v>128804.83349484578</v>
      </c>
      <c r="T320" s="54">
        <v>217214.10262114182</v>
      </c>
      <c r="U320" s="54">
        <v>318572.38948429562</v>
      </c>
      <c r="V320" s="54">
        <v>490023.97967397235</v>
      </c>
      <c r="W320" s="54">
        <v>662959.03274522163</v>
      </c>
      <c r="X320" s="54">
        <v>949037.90706951451</v>
      </c>
      <c r="Y320" s="54">
        <v>1423464.7332603494</v>
      </c>
      <c r="Z320" s="54">
        <v>3712148.8831956778</v>
      </c>
      <c r="AA320" s="54">
        <f t="shared" si="37"/>
        <v>7986457.1369657647</v>
      </c>
      <c r="AC320" s="55">
        <v>62</v>
      </c>
      <c r="AD320" s="54">
        <f t="shared" si="38"/>
        <v>79163.988515846504</v>
      </c>
      <c r="AE320" s="54">
        <f t="shared" si="39"/>
        <v>113344.76205419243</v>
      </c>
      <c r="AF320" s="54">
        <f t="shared" si="40"/>
        <v>178715.72906563245</v>
      </c>
      <c r="AG320" s="54">
        <f t="shared" si="41"/>
        <v>245312.8651977097</v>
      </c>
      <c r="AH320" s="54">
        <f t="shared" si="42"/>
        <v>353589.99502733978</v>
      </c>
      <c r="AI320" s="54">
        <f t="shared" si="43"/>
        <v>448707.11857597774</v>
      </c>
      <c r="AJ320" s="54">
        <f t="shared" si="44"/>
        <v>603020.49368151242</v>
      </c>
      <c r="AK320" s="54">
        <f t="shared" si="45"/>
        <v>849260.49468542729</v>
      </c>
      <c r="AL320" s="54">
        <f t="shared" si="46"/>
        <v>2078186.2377339164</v>
      </c>
      <c r="AM320" s="54">
        <f t="shared" si="47"/>
        <v>4949301.6845375542</v>
      </c>
    </row>
    <row r="321" spans="3:39" x14ac:dyDescent="0.25">
      <c r="C321" s="28">
        <v>50</v>
      </c>
      <c r="D321" s="45">
        <f>J148</f>
        <v>-0.79863677956155643</v>
      </c>
      <c r="E321" s="24">
        <f t="shared" ca="1" si="52"/>
        <v>39</v>
      </c>
      <c r="F321" s="45">
        <f t="shared" ca="1" si="53"/>
        <v>1.1446144852685602</v>
      </c>
      <c r="Q321" s="55">
        <v>63</v>
      </c>
      <c r="R321" s="54">
        <v>121519.9623818323</v>
      </c>
      <c r="S321" s="54">
        <v>173880.40171533264</v>
      </c>
      <c r="T321" s="54">
        <v>287204.12699656934</v>
      </c>
      <c r="U321" s="54">
        <v>369827.78175077774</v>
      </c>
      <c r="V321" s="54">
        <v>498126.84891291149</v>
      </c>
      <c r="W321" s="54">
        <v>705944.13598233834</v>
      </c>
      <c r="X321" s="54">
        <v>1025832.9974472458</v>
      </c>
      <c r="Y321" s="54">
        <v>1586756.7481412999</v>
      </c>
      <c r="Z321" s="54">
        <v>3985823.7619483601</v>
      </c>
      <c r="AA321" s="54">
        <f t="shared" si="37"/>
        <v>8754916.7652766667</v>
      </c>
      <c r="AC321" s="55">
        <v>63</v>
      </c>
      <c r="AD321" s="54">
        <f t="shared" si="38"/>
        <v>114209.41756358709</v>
      </c>
      <c r="AE321" s="54">
        <f t="shared" si="39"/>
        <v>153010.04025676116</v>
      </c>
      <c r="AF321" s="54">
        <f t="shared" si="40"/>
        <v>236300.93224828463</v>
      </c>
      <c r="AG321" s="54">
        <f t="shared" si="41"/>
        <v>284781.46809225867</v>
      </c>
      <c r="AH321" s="54">
        <f t="shared" si="42"/>
        <v>359436.83847326651</v>
      </c>
      <c r="AI321" s="54">
        <f t="shared" si="43"/>
        <v>477800.50272574904</v>
      </c>
      <c r="AJ321" s="54">
        <f t="shared" si="44"/>
        <v>651816.24037080025</v>
      </c>
      <c r="AK321" s="54">
        <f t="shared" si="45"/>
        <v>946682.96964786982</v>
      </c>
      <c r="AL321" s="54">
        <f t="shared" si="46"/>
        <v>2231398.6719689639</v>
      </c>
      <c r="AM321" s="54">
        <f t="shared" si="47"/>
        <v>5455437.0813475419</v>
      </c>
    </row>
    <row r="322" spans="3:39" x14ac:dyDescent="0.25">
      <c r="C322" s="28">
        <v>51</v>
      </c>
      <c r="D322" s="45">
        <f>J149</f>
        <v>8.5076331567551913E-2</v>
      </c>
      <c r="E322" s="24">
        <f t="shared" ca="1" si="52"/>
        <v>22</v>
      </c>
      <c r="F322" s="45">
        <f t="shared" ca="1" si="53"/>
        <v>1.2057781959944813</v>
      </c>
      <c r="Q322" s="55">
        <v>64</v>
      </c>
      <c r="R322" s="54">
        <v>117496.68325274251</v>
      </c>
      <c r="S322" s="54">
        <v>176177.87931319512</v>
      </c>
      <c r="T322" s="54">
        <v>278563.57767523453</v>
      </c>
      <c r="U322" s="54">
        <v>354200.65336441807</v>
      </c>
      <c r="V322" s="54">
        <v>496695.77585199289</v>
      </c>
      <c r="W322" s="54">
        <v>700789.39352524281</v>
      </c>
      <c r="X322" s="54">
        <v>978086.7509320993</v>
      </c>
      <c r="Y322" s="54">
        <v>1487045.3919809945</v>
      </c>
      <c r="Z322" s="54">
        <v>4209736.608238454</v>
      </c>
      <c r="AA322" s="54">
        <f t="shared" si="37"/>
        <v>8798792.7141343728</v>
      </c>
      <c r="AC322" s="55">
        <v>64</v>
      </c>
      <c r="AD322" s="54">
        <f t="shared" si="38"/>
        <v>110428.17572461022</v>
      </c>
      <c r="AE322" s="54">
        <f t="shared" si="39"/>
        <v>155031.75826678428</v>
      </c>
      <c r="AF322" s="54">
        <f t="shared" si="40"/>
        <v>229191.8078735047</v>
      </c>
      <c r="AG322" s="54">
        <f t="shared" si="41"/>
        <v>272747.98444517906</v>
      </c>
      <c r="AH322" s="54">
        <f t="shared" si="42"/>
        <v>358404.20917861315</v>
      </c>
      <c r="AI322" s="54">
        <f t="shared" si="43"/>
        <v>474311.64516339428</v>
      </c>
      <c r="AJ322" s="54">
        <f t="shared" si="44"/>
        <v>621478.18439798034</v>
      </c>
      <c r="AK322" s="54">
        <f t="shared" si="45"/>
        <v>887193.67308869201</v>
      </c>
      <c r="AL322" s="54">
        <f t="shared" si="46"/>
        <v>2356752.6408570092</v>
      </c>
      <c r="AM322" s="54">
        <f t="shared" si="47"/>
        <v>5465540.078995768</v>
      </c>
    </row>
    <row r="323" spans="3:39" x14ac:dyDescent="0.25">
      <c r="C323" s="28">
        <v>52</v>
      </c>
      <c r="D323" s="45">
        <f>J150</f>
        <v>0.74115653073470211</v>
      </c>
      <c r="E323" s="24">
        <f t="shared" ca="1" si="52"/>
        <v>40</v>
      </c>
      <c r="F323" s="45">
        <f t="shared" ca="1" si="53"/>
        <v>-1.2243917343919817</v>
      </c>
      <c r="Q323" s="55">
        <v>65</v>
      </c>
      <c r="R323" s="54">
        <v>130042.68814968504</v>
      </c>
      <c r="S323" s="54">
        <v>202751.19651968963</v>
      </c>
      <c r="T323" s="54">
        <v>272478.21517654322</v>
      </c>
      <c r="U323" s="54">
        <v>356343.52392994799</v>
      </c>
      <c r="V323" s="54">
        <v>474576.74887089711</v>
      </c>
      <c r="W323" s="54">
        <v>686652.69001535978</v>
      </c>
      <c r="X323" s="54">
        <v>1008017.8430434028</v>
      </c>
      <c r="Y323" s="54">
        <v>1447719.2720860383</v>
      </c>
      <c r="Z323" s="54">
        <v>3779618.9233495947</v>
      </c>
      <c r="AA323" s="54">
        <f t="shared" si="37"/>
        <v>8358201.1011411585</v>
      </c>
      <c r="AC323" s="55">
        <v>65</v>
      </c>
      <c r="AD323" s="54">
        <f t="shared" si="38"/>
        <v>122219.4228904663</v>
      </c>
      <c r="AE323" s="54">
        <f t="shared" si="39"/>
        <v>178415.55710443601</v>
      </c>
      <c r="AF323" s="54">
        <f t="shared" si="40"/>
        <v>224184.99670213638</v>
      </c>
      <c r="AG323" s="54">
        <f t="shared" si="41"/>
        <v>274398.07634118095</v>
      </c>
      <c r="AH323" s="54">
        <f t="shared" si="42"/>
        <v>342443.62976888946</v>
      </c>
      <c r="AI323" s="54">
        <f t="shared" si="43"/>
        <v>464743.57355598884</v>
      </c>
      <c r="AJ323" s="54">
        <f t="shared" si="44"/>
        <v>640496.45733200654</v>
      </c>
      <c r="AK323" s="54">
        <f t="shared" si="45"/>
        <v>863731.11777862627</v>
      </c>
      <c r="AL323" s="54">
        <f t="shared" si="46"/>
        <v>2115958.2434694511</v>
      </c>
      <c r="AM323" s="54">
        <f t="shared" si="47"/>
        <v>5226591.0749431821</v>
      </c>
    </row>
    <row r="324" spans="3:39" x14ac:dyDescent="0.25">
      <c r="C324" s="28">
        <v>53</v>
      </c>
      <c r="D324" s="45">
        <f>K148</f>
        <v>0.56784300972481316</v>
      </c>
      <c r="E324" s="24">
        <f t="shared" ca="1" si="52"/>
        <v>35</v>
      </c>
      <c r="F324" s="45">
        <f t="shared" ca="1" si="53"/>
        <v>-0.30023834351611778</v>
      </c>
      <c r="Q324" s="55">
        <v>66</v>
      </c>
      <c r="R324" s="54">
        <v>59809.442058939487</v>
      </c>
      <c r="S324" s="54">
        <v>132074.64406271465</v>
      </c>
      <c r="T324" s="54">
        <v>191576.52648325637</v>
      </c>
      <c r="U324" s="54">
        <v>285557.89690967649</v>
      </c>
      <c r="V324" s="54">
        <v>415784.13462811336</v>
      </c>
      <c r="W324" s="54">
        <v>662468.19610456005</v>
      </c>
      <c r="X324" s="54">
        <v>906061.55376962665</v>
      </c>
      <c r="Y324" s="54">
        <v>1501499.4175073914</v>
      </c>
      <c r="Z324" s="54">
        <v>3875228.2568298131</v>
      </c>
      <c r="AA324" s="54">
        <f t="shared" ref="AA324:AA358" si="58">SUM(R324:Z324)</f>
        <v>8030060.0683540916</v>
      </c>
      <c r="AC324" s="55">
        <v>66</v>
      </c>
      <c r="AD324" s="54">
        <f t="shared" ref="AD324:AD358" si="59">R324*$L$268</f>
        <v>56211.353332148654</v>
      </c>
      <c r="AE324" s="54">
        <f t="shared" ref="AE324:AE358" si="60">S324*$L$269</f>
        <v>116222.10672148094</v>
      </c>
      <c r="AF324" s="54">
        <f t="shared" ref="AF324:AF358" si="61">T324*$L$270</f>
        <v>157622.07973224012</v>
      </c>
      <c r="AG324" s="54">
        <f t="shared" ref="AG324:AG358" si="62">U324*$L$271</f>
        <v>219890.44933913896</v>
      </c>
      <c r="AH324" s="54">
        <f t="shared" ref="AH324:AH358" si="63">V324*$L$272</f>
        <v>300020.2361390891</v>
      </c>
      <c r="AI324" s="54">
        <f t="shared" ref="AI324:AI358" si="64">W324*$L$273</f>
        <v>448374.90816199366</v>
      </c>
      <c r="AJ324" s="54">
        <f t="shared" ref="AJ324:AJ358" si="65">X324*$L$274</f>
        <v>575713.236942366</v>
      </c>
      <c r="AK324" s="54">
        <f t="shared" ref="AK324:AK358" si="66">Y324*$L$275</f>
        <v>895817.16236940504</v>
      </c>
      <c r="AL324" s="54">
        <f t="shared" ref="AL324:AL358" si="67">Z324*$L$276</f>
        <v>2169483.5753700542</v>
      </c>
      <c r="AM324" s="54">
        <f t="shared" ref="AM324:AM358" si="68">SUM(AD324:AL324)</f>
        <v>4939355.108107917</v>
      </c>
    </row>
    <row r="325" spans="3:39" x14ac:dyDescent="0.25">
      <c r="C325" s="28">
        <v>54</v>
      </c>
      <c r="D325" s="45">
        <f>K149</f>
        <v>-0.58988275051593519</v>
      </c>
      <c r="E325" s="24">
        <f t="shared" ca="1" si="52"/>
        <v>11</v>
      </c>
      <c r="F325" s="45">
        <f t="shared" ca="1" si="53"/>
        <v>0.51714467754687954</v>
      </c>
      <c r="Q325" s="55">
        <v>67</v>
      </c>
      <c r="R325" s="54">
        <v>108722.16701717302</v>
      </c>
      <c r="S325" s="54">
        <v>147959.60645731352</v>
      </c>
      <c r="T325" s="54">
        <v>218430.79693144374</v>
      </c>
      <c r="U325" s="54">
        <v>333951.66545354016</v>
      </c>
      <c r="V325" s="54">
        <v>475979.7803496886</v>
      </c>
      <c r="W325" s="54">
        <v>636977.21759412624</v>
      </c>
      <c r="X325" s="54">
        <v>895027.63677017298</v>
      </c>
      <c r="Y325" s="54">
        <v>1341177.7517214827</v>
      </c>
      <c r="Z325" s="54">
        <v>3806457.6393622244</v>
      </c>
      <c r="AA325" s="54">
        <f t="shared" si="58"/>
        <v>7964684.2616571654</v>
      </c>
      <c r="AC325" s="55">
        <v>67</v>
      </c>
      <c r="AD325" s="54">
        <f t="shared" si="59"/>
        <v>102181.5274453934</v>
      </c>
      <c r="AE325" s="54">
        <f t="shared" si="60"/>
        <v>130200.44304631811</v>
      </c>
      <c r="AF325" s="54">
        <f t="shared" si="61"/>
        <v>179716.78013962679</v>
      </c>
      <c r="AG325" s="54">
        <f t="shared" si="62"/>
        <v>257155.49305001341</v>
      </c>
      <c r="AH325" s="54">
        <f t="shared" si="63"/>
        <v>343456.02490501967</v>
      </c>
      <c r="AI325" s="54">
        <f t="shared" si="64"/>
        <v>431121.98158260033</v>
      </c>
      <c r="AJ325" s="54">
        <f t="shared" si="65"/>
        <v>568702.26506580843</v>
      </c>
      <c r="AK325" s="54">
        <f t="shared" si="66"/>
        <v>800166.84240518708</v>
      </c>
      <c r="AL325" s="54">
        <f t="shared" si="67"/>
        <v>2130983.4625570755</v>
      </c>
      <c r="AM325" s="54">
        <f t="shared" si="68"/>
        <v>4943684.8201970421</v>
      </c>
    </row>
    <row r="326" spans="3:39" x14ac:dyDescent="0.25">
      <c r="C326" s="28">
        <v>55</v>
      </c>
      <c r="D326" s="45">
        <f>L148</f>
        <v>-3.2084170222495827E-3</v>
      </c>
      <c r="E326" s="24">
        <f t="shared" ca="1" si="52"/>
        <v>42</v>
      </c>
      <c r="F326" s="45">
        <f t="shared" ca="1" si="53"/>
        <v>5.7861223520765351E-2</v>
      </c>
      <c r="Q326" s="55">
        <v>68</v>
      </c>
      <c r="R326" s="54">
        <v>57726.630854701623</v>
      </c>
      <c r="S326" s="54">
        <v>126131.8818641901</v>
      </c>
      <c r="T326" s="54">
        <v>229478.07556364499</v>
      </c>
      <c r="U326" s="54">
        <v>306401.39455739968</v>
      </c>
      <c r="V326" s="54">
        <v>465767.85844062828</v>
      </c>
      <c r="W326" s="54">
        <v>664661.68807185441</v>
      </c>
      <c r="X326" s="54">
        <v>961489.23562134244</v>
      </c>
      <c r="Y326" s="54">
        <v>1455890.9239108311</v>
      </c>
      <c r="Z326" s="54">
        <v>3970128.4336681981</v>
      </c>
      <c r="AA326" s="54">
        <f t="shared" si="58"/>
        <v>8237676.1225527907</v>
      </c>
      <c r="AC326" s="55">
        <v>68</v>
      </c>
      <c r="AD326" s="54">
        <f t="shared" si="59"/>
        <v>54253.842402516544</v>
      </c>
      <c r="AE326" s="54">
        <f t="shared" si="60"/>
        <v>110992.63707301959</v>
      </c>
      <c r="AF326" s="54">
        <f t="shared" si="61"/>
        <v>188806.07236844944</v>
      </c>
      <c r="AG326" s="54">
        <f t="shared" si="62"/>
        <v>235940.73585951791</v>
      </c>
      <c r="AH326" s="54">
        <f t="shared" si="63"/>
        <v>336087.33772475837</v>
      </c>
      <c r="AI326" s="54">
        <f t="shared" si="64"/>
        <v>449859.51793673134</v>
      </c>
      <c r="AJ326" s="54">
        <f t="shared" si="65"/>
        <v>610932.09155803861</v>
      </c>
      <c r="AK326" s="54">
        <f t="shared" si="66"/>
        <v>868606.44830769766</v>
      </c>
      <c r="AL326" s="54">
        <f t="shared" si="67"/>
        <v>2222611.8974470138</v>
      </c>
      <c r="AM326" s="54">
        <f t="shared" si="68"/>
        <v>5078090.580677744</v>
      </c>
    </row>
    <row r="327" spans="3:39" x14ac:dyDescent="0.25">
      <c r="Q327" s="55">
        <v>69</v>
      </c>
      <c r="R327" s="54">
        <v>97812.00863471441</v>
      </c>
      <c r="S327" s="54">
        <v>137012.54824738391</v>
      </c>
      <c r="T327" s="54">
        <v>210353.22661519982</v>
      </c>
      <c r="U327" s="54">
        <v>291824.80838547647</v>
      </c>
      <c r="V327" s="54">
        <v>444867.2565607056</v>
      </c>
      <c r="W327" s="54">
        <v>620848.93802167848</v>
      </c>
      <c r="X327" s="54">
        <v>969120.12633007392</v>
      </c>
      <c r="Y327" s="54">
        <v>1539352.7507969765</v>
      </c>
      <c r="Z327" s="54">
        <v>3983116.8518098965</v>
      </c>
      <c r="AA327" s="54">
        <f t="shared" si="58"/>
        <v>8294308.5154021056</v>
      </c>
      <c r="AC327" s="55">
        <v>69</v>
      </c>
      <c r="AD327" s="54">
        <f t="shared" si="59"/>
        <v>91927.715561615405</v>
      </c>
      <c r="AE327" s="54">
        <f t="shared" si="60"/>
        <v>120567.32855572317</v>
      </c>
      <c r="AF327" s="54">
        <f t="shared" si="61"/>
        <v>173070.85406610518</v>
      </c>
      <c r="AG327" s="54">
        <f t="shared" si="62"/>
        <v>224716.20970260788</v>
      </c>
      <c r="AH327" s="54">
        <f t="shared" si="63"/>
        <v>321005.94574939582</v>
      </c>
      <c r="AI327" s="54">
        <f t="shared" si="64"/>
        <v>420205.96189345914</v>
      </c>
      <c r="AJ327" s="54">
        <f t="shared" si="65"/>
        <v>615780.77404809627</v>
      </c>
      <c r="AK327" s="54">
        <f t="shared" si="66"/>
        <v>918401.03101318527</v>
      </c>
      <c r="AL327" s="54">
        <f t="shared" si="67"/>
        <v>2229883.252309477</v>
      </c>
      <c r="AM327" s="54">
        <f t="shared" si="68"/>
        <v>5115559.0728996657</v>
      </c>
    </row>
    <row r="328" spans="3:39" x14ac:dyDescent="0.25">
      <c r="Q328" s="55">
        <v>70</v>
      </c>
      <c r="R328" s="54">
        <v>80771.553523145616</v>
      </c>
      <c r="S328" s="54">
        <v>161252.89197669178</v>
      </c>
      <c r="T328" s="54">
        <v>225443.66047307104</v>
      </c>
      <c r="U328" s="54">
        <v>274314.88770019636</v>
      </c>
      <c r="V328" s="54">
        <v>420691.19602492452</v>
      </c>
      <c r="W328" s="54">
        <v>679398.22238932922</v>
      </c>
      <c r="X328" s="54">
        <v>875389.81430323608</v>
      </c>
      <c r="Y328" s="54">
        <v>1464355.627230023</v>
      </c>
      <c r="Z328" s="54">
        <v>4073112.5895530302</v>
      </c>
      <c r="AA328" s="54">
        <f t="shared" si="58"/>
        <v>8254730.4431736479</v>
      </c>
      <c r="AC328" s="55">
        <v>70</v>
      </c>
      <c r="AD328" s="54">
        <f t="shared" si="59"/>
        <v>75912.400751069654</v>
      </c>
      <c r="AE328" s="54">
        <f t="shared" si="60"/>
        <v>141898.17397170814</v>
      </c>
      <c r="AF328" s="54">
        <f t="shared" si="61"/>
        <v>185486.70486162193</v>
      </c>
      <c r="AG328" s="54">
        <f t="shared" si="62"/>
        <v>211232.90432374532</v>
      </c>
      <c r="AH328" s="54">
        <f t="shared" si="63"/>
        <v>303561.05839854613</v>
      </c>
      <c r="AI328" s="54">
        <f t="shared" si="64"/>
        <v>459833.56991398422</v>
      </c>
      <c r="AJ328" s="54">
        <f t="shared" si="65"/>
        <v>556224.35526828677</v>
      </c>
      <c r="AK328" s="54">
        <f t="shared" si="66"/>
        <v>873656.61777115671</v>
      </c>
      <c r="AL328" s="54">
        <f t="shared" si="67"/>
        <v>2280265.9038456632</v>
      </c>
      <c r="AM328" s="54">
        <f t="shared" si="68"/>
        <v>5088071.6891057827</v>
      </c>
    </row>
    <row r="329" spans="3:39" x14ac:dyDescent="0.25">
      <c r="Q329" s="55">
        <v>71</v>
      </c>
      <c r="R329" s="54">
        <v>36551.821549205109</v>
      </c>
      <c r="S329" s="54">
        <v>79718.57373926416</v>
      </c>
      <c r="T329" s="54">
        <v>173020.92064505816</v>
      </c>
      <c r="U329" s="54">
        <v>258943.18626441434</v>
      </c>
      <c r="V329" s="54">
        <v>430775.78271884657</v>
      </c>
      <c r="W329" s="54">
        <v>614925.35859856568</v>
      </c>
      <c r="X329" s="54">
        <v>900398.45751892123</v>
      </c>
      <c r="Y329" s="54">
        <v>1373712.2242135163</v>
      </c>
      <c r="Z329" s="54">
        <v>3864259.6458464805</v>
      </c>
      <c r="AA329" s="54">
        <f t="shared" si="58"/>
        <v>7732305.9710942721</v>
      </c>
      <c r="AC329" s="55">
        <v>71</v>
      </c>
      <c r="AD329" s="54">
        <f t="shared" si="59"/>
        <v>34352.892876199578</v>
      </c>
      <c r="AE329" s="54">
        <f t="shared" si="60"/>
        <v>70150.184015711318</v>
      </c>
      <c r="AF329" s="54">
        <f t="shared" si="61"/>
        <v>142355.2136051725</v>
      </c>
      <c r="AG329" s="54">
        <f t="shared" si="62"/>
        <v>199396.10915050472</v>
      </c>
      <c r="AH329" s="54">
        <f t="shared" si="63"/>
        <v>310837.86342618807</v>
      </c>
      <c r="AI329" s="54">
        <f t="shared" si="64"/>
        <v>416196.73640090541</v>
      </c>
      <c r="AJ329" s="54">
        <f t="shared" si="65"/>
        <v>572114.89479878265</v>
      </c>
      <c r="AK329" s="54">
        <f t="shared" si="66"/>
        <v>819577.39860465727</v>
      </c>
      <c r="AL329" s="54">
        <f t="shared" si="67"/>
        <v>2163342.9767276323</v>
      </c>
      <c r="AM329" s="54">
        <f t="shared" si="68"/>
        <v>4728324.2696057539</v>
      </c>
    </row>
    <row r="330" spans="3:39" x14ac:dyDescent="0.25">
      <c r="Q330" s="55">
        <v>72</v>
      </c>
      <c r="R330" s="54">
        <v>102571.71993275173</v>
      </c>
      <c r="S330" s="54">
        <v>143289.94513472542</v>
      </c>
      <c r="T330" s="54">
        <v>215064.7192273736</v>
      </c>
      <c r="U330" s="54">
        <v>313276.34241931885</v>
      </c>
      <c r="V330" s="54">
        <v>431678.27638743445</v>
      </c>
      <c r="W330" s="54">
        <v>658107.47112843581</v>
      </c>
      <c r="X330" s="54">
        <v>975833.86453940719</v>
      </c>
      <c r="Y330" s="54">
        <v>1467920.2030606093</v>
      </c>
      <c r="Z330" s="54">
        <v>3772366.4304301953</v>
      </c>
      <c r="AA330" s="54">
        <f t="shared" si="58"/>
        <v>8080108.9722602516</v>
      </c>
      <c r="AC330" s="55">
        <v>72</v>
      </c>
      <c r="AD330" s="54">
        <f t="shared" si="59"/>
        <v>96401.086392751691</v>
      </c>
      <c r="AE330" s="54">
        <f t="shared" si="60"/>
        <v>126091.26765963828</v>
      </c>
      <c r="AF330" s="54">
        <f t="shared" si="61"/>
        <v>176947.29591316427</v>
      </c>
      <c r="AG330" s="54">
        <f t="shared" si="62"/>
        <v>241234.70738298353</v>
      </c>
      <c r="AH330" s="54">
        <f t="shared" si="63"/>
        <v>311489.08202981745</v>
      </c>
      <c r="AI330" s="54">
        <f t="shared" si="64"/>
        <v>445423.46132698091</v>
      </c>
      <c r="AJ330" s="54">
        <f t="shared" si="65"/>
        <v>620046.6960932354</v>
      </c>
      <c r="AK330" s="54">
        <f t="shared" si="66"/>
        <v>875783.29738779436</v>
      </c>
      <c r="AL330" s="54">
        <f t="shared" si="67"/>
        <v>2111898.0531461081</v>
      </c>
      <c r="AM330" s="54">
        <f t="shared" si="68"/>
        <v>5005314.9473324735</v>
      </c>
    </row>
    <row r="331" spans="3:39" x14ac:dyDescent="0.25">
      <c r="Q331" s="55">
        <v>73</v>
      </c>
      <c r="R331" s="54">
        <v>115967.8842156101</v>
      </c>
      <c r="S331" s="54">
        <v>195099.59391629882</v>
      </c>
      <c r="T331" s="54">
        <v>251412.65324151516</v>
      </c>
      <c r="U331" s="54">
        <v>355232.11275367253</v>
      </c>
      <c r="V331" s="54">
        <v>510375.16808610782</v>
      </c>
      <c r="W331" s="54">
        <v>719012.9974571988</v>
      </c>
      <c r="X331" s="54">
        <v>1010132.4531885153</v>
      </c>
      <c r="Y331" s="54">
        <v>1482913.2016009558</v>
      </c>
      <c r="Z331" s="54">
        <v>3956173.2759691868</v>
      </c>
      <c r="AA331" s="54">
        <f t="shared" si="58"/>
        <v>8596319.3404290602</v>
      </c>
      <c r="AC331" s="55">
        <v>73</v>
      </c>
      <c r="AD331" s="54">
        <f t="shared" si="59"/>
        <v>108991.3480283175</v>
      </c>
      <c r="AE331" s="54">
        <f t="shared" si="60"/>
        <v>171682.35422001727</v>
      </c>
      <c r="AF331" s="54">
        <f t="shared" si="61"/>
        <v>206853.03153980928</v>
      </c>
      <c r="AG331" s="54">
        <f t="shared" si="62"/>
        <v>273542.24743364047</v>
      </c>
      <c r="AH331" s="54">
        <f t="shared" si="63"/>
        <v>368274.9429236349</v>
      </c>
      <c r="AI331" s="54">
        <f t="shared" si="64"/>
        <v>486645.83235519967</v>
      </c>
      <c r="AJ331" s="54">
        <f t="shared" si="65"/>
        <v>641840.08464567957</v>
      </c>
      <c r="AK331" s="54">
        <f t="shared" si="66"/>
        <v>884728.34608459531</v>
      </c>
      <c r="AL331" s="54">
        <f t="shared" si="67"/>
        <v>2214799.3291508509</v>
      </c>
      <c r="AM331" s="54">
        <f t="shared" si="68"/>
        <v>5357357.5163817443</v>
      </c>
    </row>
    <row r="332" spans="3:39" x14ac:dyDescent="0.25">
      <c r="Q332" s="55">
        <v>74</v>
      </c>
      <c r="R332" s="54">
        <v>104831.19949585758</v>
      </c>
      <c r="S332" s="54">
        <v>177336.98764947616</v>
      </c>
      <c r="T332" s="54">
        <v>270028.21926119737</v>
      </c>
      <c r="U332" s="54">
        <v>339929.80293735862</v>
      </c>
      <c r="V332" s="54">
        <v>471343.89875057526</v>
      </c>
      <c r="W332" s="54">
        <v>627218.82046624366</v>
      </c>
      <c r="X332" s="54">
        <v>893972.30082565546</v>
      </c>
      <c r="Y332" s="54">
        <v>1457764.9055256406</v>
      </c>
      <c r="Z332" s="54">
        <v>3817238.3499991624</v>
      </c>
      <c r="AA332" s="54">
        <f t="shared" si="58"/>
        <v>8159664.4849111671</v>
      </c>
      <c r="AC332" s="55">
        <v>74</v>
      </c>
      <c r="AD332" s="54">
        <f t="shared" si="59"/>
        <v>98524.637452521667</v>
      </c>
      <c r="AE332" s="54">
        <f t="shared" si="60"/>
        <v>156051.74218358399</v>
      </c>
      <c r="AF332" s="54">
        <f t="shared" si="61"/>
        <v>222169.23068632412</v>
      </c>
      <c r="AG332" s="54">
        <f t="shared" si="62"/>
        <v>261758.88644852897</v>
      </c>
      <c r="AH332" s="54">
        <f t="shared" si="63"/>
        <v>340110.87972933165</v>
      </c>
      <c r="AI332" s="54">
        <f t="shared" si="64"/>
        <v>424517.25634182512</v>
      </c>
      <c r="AJ332" s="54">
        <f t="shared" si="65"/>
        <v>568031.70259667817</v>
      </c>
      <c r="AK332" s="54">
        <f t="shared" si="66"/>
        <v>869724.49395789031</v>
      </c>
      <c r="AL332" s="54">
        <f t="shared" si="67"/>
        <v>2137018.868243549</v>
      </c>
      <c r="AM332" s="54">
        <f t="shared" si="68"/>
        <v>5077907.6976402327</v>
      </c>
    </row>
    <row r="333" spans="3:39" x14ac:dyDescent="0.25">
      <c r="Q333" s="55">
        <v>75</v>
      </c>
      <c r="R333" s="54">
        <v>164238.0798913613</v>
      </c>
      <c r="S333" s="54">
        <v>197468.97483050637</v>
      </c>
      <c r="T333" s="54">
        <v>280318.01075599529</v>
      </c>
      <c r="U333" s="54">
        <v>360335.67772018537</v>
      </c>
      <c r="V333" s="54">
        <v>469756.30616321042</v>
      </c>
      <c r="W333" s="54">
        <v>749292.56584479101</v>
      </c>
      <c r="X333" s="54">
        <v>1023075.1711198175</v>
      </c>
      <c r="Y333" s="54">
        <v>1478315.4726693397</v>
      </c>
      <c r="Z333" s="54">
        <v>3804026.1509777373</v>
      </c>
      <c r="AA333" s="54">
        <f t="shared" si="58"/>
        <v>8526826.4099729434</v>
      </c>
      <c r="AC333" s="55">
        <v>75</v>
      </c>
      <c r="AD333" s="54">
        <f t="shared" si="59"/>
        <v>154357.64691249264</v>
      </c>
      <c r="AE333" s="54">
        <f t="shared" si="60"/>
        <v>173767.34519939186</v>
      </c>
      <c r="AF333" s="54">
        <f t="shared" si="61"/>
        <v>230635.29051731766</v>
      </c>
      <c r="AG333" s="54">
        <f t="shared" si="62"/>
        <v>277472.1867064212</v>
      </c>
      <c r="AH333" s="54">
        <f t="shared" si="63"/>
        <v>338965.30955653061</v>
      </c>
      <c r="AI333" s="54">
        <f t="shared" si="64"/>
        <v>507139.79534814705</v>
      </c>
      <c r="AJ333" s="54">
        <f t="shared" si="65"/>
        <v>650063.91226981976</v>
      </c>
      <c r="AK333" s="54">
        <f t="shared" si="66"/>
        <v>881985.27177045308</v>
      </c>
      <c r="AL333" s="54">
        <f t="shared" si="67"/>
        <v>2129622.2332915347</v>
      </c>
      <c r="AM333" s="54">
        <f t="shared" si="68"/>
        <v>5344008.9915721081</v>
      </c>
    </row>
    <row r="334" spans="3:39" x14ac:dyDescent="0.25">
      <c r="Q334" s="55">
        <v>76</v>
      </c>
      <c r="R334" s="54">
        <v>79565.436301773414</v>
      </c>
      <c r="S334" s="54">
        <v>131608.75128364004</v>
      </c>
      <c r="T334" s="54">
        <v>198423.24512541853</v>
      </c>
      <c r="U334" s="54">
        <v>291053.53126663156</v>
      </c>
      <c r="V334" s="54">
        <v>441897.05164022557</v>
      </c>
      <c r="W334" s="54">
        <v>625891.99325714447</v>
      </c>
      <c r="X334" s="54">
        <v>917199.93296821695</v>
      </c>
      <c r="Y334" s="54">
        <v>1477613.6423948966</v>
      </c>
      <c r="Z334" s="54">
        <v>3953687.5083053317</v>
      </c>
      <c r="AA334" s="54">
        <f t="shared" si="58"/>
        <v>8116941.0925432788</v>
      </c>
      <c r="AC334" s="55">
        <v>76</v>
      </c>
      <c r="AD334" s="54">
        <f t="shared" si="59"/>
        <v>74778.842587732652</v>
      </c>
      <c r="AE334" s="54">
        <f t="shared" si="60"/>
        <v>115812.13370452044</v>
      </c>
      <c r="AF334" s="54">
        <f t="shared" si="61"/>
        <v>163255.30657651855</v>
      </c>
      <c r="AG334" s="54">
        <f t="shared" si="62"/>
        <v>224122.29696524996</v>
      </c>
      <c r="AH334" s="54">
        <f t="shared" si="63"/>
        <v>318862.71442475438</v>
      </c>
      <c r="AI334" s="54">
        <f t="shared" si="64"/>
        <v>423619.22677372675</v>
      </c>
      <c r="AJ334" s="54">
        <f t="shared" si="65"/>
        <v>582790.58429921267</v>
      </c>
      <c r="AK334" s="54">
        <f t="shared" si="66"/>
        <v>881566.54926041688</v>
      </c>
      <c r="AL334" s="54">
        <f t="shared" si="67"/>
        <v>2213407.7125126785</v>
      </c>
      <c r="AM334" s="54">
        <f t="shared" si="68"/>
        <v>4998215.3671048116</v>
      </c>
    </row>
    <row r="335" spans="3:39" x14ac:dyDescent="0.25">
      <c r="Q335" s="55">
        <v>77</v>
      </c>
      <c r="R335" s="54">
        <v>81124.394823500887</v>
      </c>
      <c r="S335" s="54">
        <v>150502.69395354204</v>
      </c>
      <c r="T335" s="54">
        <v>217763.20981130004</v>
      </c>
      <c r="U335" s="54">
        <v>281171.22089378908</v>
      </c>
      <c r="V335" s="54">
        <v>412425.76123392768</v>
      </c>
      <c r="W335" s="54">
        <v>636268.35764216073</v>
      </c>
      <c r="X335" s="54">
        <v>928038.67444774508</v>
      </c>
      <c r="Y335" s="54">
        <v>1341750.7997744642</v>
      </c>
      <c r="Z335" s="54">
        <v>4004816.1371658873</v>
      </c>
      <c r="AA335" s="54">
        <f t="shared" si="58"/>
        <v>8053861.249746317</v>
      </c>
      <c r="AC335" s="55">
        <v>77</v>
      </c>
      <c r="AD335" s="54">
        <f t="shared" si="59"/>
        <v>76244.015397882438</v>
      </c>
      <c r="AE335" s="54">
        <f t="shared" si="60"/>
        <v>132438.29110933002</v>
      </c>
      <c r="AF335" s="54">
        <f t="shared" si="61"/>
        <v>179167.5141506712</v>
      </c>
      <c r="AG335" s="54">
        <f t="shared" si="62"/>
        <v>216512.5418441002</v>
      </c>
      <c r="AH335" s="54">
        <f t="shared" si="63"/>
        <v>297596.91140191985</v>
      </c>
      <c r="AI335" s="54">
        <f t="shared" si="64"/>
        <v>430642.20758328808</v>
      </c>
      <c r="AJ335" s="54">
        <f t="shared" si="65"/>
        <v>589677.54127867997</v>
      </c>
      <c r="AK335" s="54">
        <f t="shared" si="66"/>
        <v>800508.73150267033</v>
      </c>
      <c r="AL335" s="54">
        <f t="shared" si="67"/>
        <v>2242031.2446487984</v>
      </c>
      <c r="AM335" s="54">
        <f t="shared" si="68"/>
        <v>4964818.9989173403</v>
      </c>
    </row>
    <row r="336" spans="3:39" x14ac:dyDescent="0.25">
      <c r="Q336" s="55">
        <v>78</v>
      </c>
      <c r="R336" s="54">
        <v>111115.30066553876</v>
      </c>
      <c r="S336" s="54">
        <v>143596.8320988398</v>
      </c>
      <c r="T336" s="54">
        <v>219084.67830827832</v>
      </c>
      <c r="U336" s="54">
        <v>294629.88153756317</v>
      </c>
      <c r="V336" s="54">
        <v>448559.44821832236</v>
      </c>
      <c r="W336" s="54">
        <v>687905.72166675329</v>
      </c>
      <c r="X336" s="54">
        <v>952379.83105026558</v>
      </c>
      <c r="Y336" s="54">
        <v>1467808.1913079657</v>
      </c>
      <c r="Z336" s="54">
        <v>4037372.3601170452</v>
      </c>
      <c r="AA336" s="54">
        <f t="shared" si="58"/>
        <v>8362452.2449705722</v>
      </c>
      <c r="AC336" s="55">
        <v>78</v>
      </c>
      <c r="AD336" s="54">
        <f t="shared" si="59"/>
        <v>104430.69206637039</v>
      </c>
      <c r="AE336" s="54">
        <f t="shared" si="60"/>
        <v>126361.31986949164</v>
      </c>
      <c r="AF336" s="54">
        <f t="shared" si="61"/>
        <v>180254.76954995183</v>
      </c>
      <c r="AG336" s="54">
        <f t="shared" si="62"/>
        <v>226876.22279458202</v>
      </c>
      <c r="AH336" s="54">
        <f t="shared" si="63"/>
        <v>323670.14604164538</v>
      </c>
      <c r="AI336" s="54">
        <f t="shared" si="64"/>
        <v>465591.65646007581</v>
      </c>
      <c r="AJ336" s="54">
        <f t="shared" si="65"/>
        <v>605143.95854388177</v>
      </c>
      <c r="AK336" s="54">
        <f t="shared" si="66"/>
        <v>875716.4694894714</v>
      </c>
      <c r="AL336" s="54">
        <f t="shared" si="67"/>
        <v>2260257.317098632</v>
      </c>
      <c r="AM336" s="54">
        <f t="shared" si="68"/>
        <v>5168302.5519141024</v>
      </c>
    </row>
    <row r="337" spans="17:39" x14ac:dyDescent="0.25">
      <c r="Q337" s="55">
        <v>79</v>
      </c>
      <c r="R337" s="54">
        <v>104873.19228649698</v>
      </c>
      <c r="S337" s="54">
        <v>156964.28903131187</v>
      </c>
      <c r="T337" s="54">
        <v>228349.78790677525</v>
      </c>
      <c r="U337" s="54">
        <v>291251.25317758787</v>
      </c>
      <c r="V337" s="54">
        <v>452227.59280902985</v>
      </c>
      <c r="W337" s="54">
        <v>709633.8562008366</v>
      </c>
      <c r="X337" s="54">
        <v>930734.19712778367</v>
      </c>
      <c r="Y337" s="54">
        <v>1578213.6077712476</v>
      </c>
      <c r="Z337" s="54">
        <v>4081739.9691603109</v>
      </c>
      <c r="AA337" s="54">
        <f t="shared" si="58"/>
        <v>8533987.7454713807</v>
      </c>
      <c r="AC337" s="55">
        <v>79</v>
      </c>
      <c r="AD337" s="54">
        <f t="shared" si="59"/>
        <v>98564.103990091244</v>
      </c>
      <c r="AE337" s="54">
        <f t="shared" si="60"/>
        <v>138124.31962789231</v>
      </c>
      <c r="AF337" s="54">
        <f t="shared" si="61"/>
        <v>187877.75901880968</v>
      </c>
      <c r="AG337" s="54">
        <f t="shared" si="62"/>
        <v>224274.55036224891</v>
      </c>
      <c r="AH337" s="54">
        <f t="shared" si="63"/>
        <v>326316.99452536809</v>
      </c>
      <c r="AI337" s="54">
        <f t="shared" si="64"/>
        <v>480297.7968960061</v>
      </c>
      <c r="AJ337" s="54">
        <f t="shared" si="65"/>
        <v>591390.28152344609</v>
      </c>
      <c r="AK337" s="54">
        <f t="shared" si="66"/>
        <v>941586.00345874636</v>
      </c>
      <c r="AL337" s="54">
        <f t="shared" si="67"/>
        <v>2285095.8021422322</v>
      </c>
      <c r="AM337" s="54">
        <f t="shared" si="68"/>
        <v>5273527.611544841</v>
      </c>
    </row>
    <row r="338" spans="17:39" x14ac:dyDescent="0.25">
      <c r="Q338" s="55">
        <v>80</v>
      </c>
      <c r="R338" s="54">
        <v>66963.520117718726</v>
      </c>
      <c r="S338" s="54">
        <v>113114.05901690945</v>
      </c>
      <c r="T338" s="54">
        <v>189380.1847569216</v>
      </c>
      <c r="U338" s="54">
        <v>296180.39083216153</v>
      </c>
      <c r="V338" s="54">
        <v>419478.10596453026</v>
      </c>
      <c r="W338" s="54">
        <v>622914.23843634501</v>
      </c>
      <c r="X338" s="54">
        <v>870179.40487152152</v>
      </c>
      <c r="Y338" s="54">
        <v>1383923.2882464528</v>
      </c>
      <c r="Z338" s="54">
        <v>3905832.3869018294</v>
      </c>
      <c r="AA338" s="54">
        <f t="shared" si="58"/>
        <v>7867965.5791443903</v>
      </c>
      <c r="AC338" s="55">
        <v>80</v>
      </c>
      <c r="AD338" s="54">
        <f t="shared" si="59"/>
        <v>62935.047713572923</v>
      </c>
      <c r="AE338" s="54">
        <f t="shared" si="60"/>
        <v>99537.305832304177</v>
      </c>
      <c r="AF338" s="54">
        <f t="shared" si="61"/>
        <v>155815.0110006863</v>
      </c>
      <c r="AG338" s="54">
        <f t="shared" si="62"/>
        <v>228070.17396589767</v>
      </c>
      <c r="AH338" s="54">
        <f t="shared" si="63"/>
        <v>302685.72060648969</v>
      </c>
      <c r="AI338" s="54">
        <f t="shared" si="64"/>
        <v>421603.80844548723</v>
      </c>
      <c r="AJ338" s="54">
        <f t="shared" si="65"/>
        <v>552913.65119167371</v>
      </c>
      <c r="AK338" s="54">
        <f t="shared" si="66"/>
        <v>825669.47316699219</v>
      </c>
      <c r="AL338" s="54">
        <f t="shared" si="67"/>
        <v>2186616.8003388573</v>
      </c>
      <c r="AM338" s="54">
        <f t="shared" si="68"/>
        <v>4835846.9922619611</v>
      </c>
    </row>
    <row r="339" spans="17:39" x14ac:dyDescent="0.25">
      <c r="Q339" s="55">
        <v>81</v>
      </c>
      <c r="R339" s="54">
        <v>116881.04549293406</v>
      </c>
      <c r="S339" s="54">
        <v>206914.33324561082</v>
      </c>
      <c r="T339" s="54">
        <v>241602.36933556665</v>
      </c>
      <c r="U339" s="54">
        <v>325562.13050500676</v>
      </c>
      <c r="V339" s="54">
        <v>488974.23013528623</v>
      </c>
      <c r="W339" s="54">
        <v>711619.36164218374</v>
      </c>
      <c r="X339" s="54">
        <v>954992.22503717896</v>
      </c>
      <c r="Y339" s="54">
        <v>1514546.9456427917</v>
      </c>
      <c r="Z339" s="54">
        <v>3782761.9239048222</v>
      </c>
      <c r="AA339" s="54">
        <f t="shared" si="58"/>
        <v>8343854.5649413811</v>
      </c>
      <c r="AC339" s="55">
        <v>81</v>
      </c>
      <c r="AD339" s="54">
        <f t="shared" si="59"/>
        <v>109849.57424548084</v>
      </c>
      <c r="AE339" s="54">
        <f t="shared" si="60"/>
        <v>182079.00457605196</v>
      </c>
      <c r="AF339" s="54">
        <f t="shared" si="61"/>
        <v>198781.49281632964</v>
      </c>
      <c r="AG339" s="54">
        <f t="shared" si="62"/>
        <v>250695.2318226276</v>
      </c>
      <c r="AH339" s="54">
        <f t="shared" si="63"/>
        <v>352832.51998619805</v>
      </c>
      <c r="AI339" s="54">
        <f t="shared" si="64"/>
        <v>481641.63623071532</v>
      </c>
      <c r="AJ339" s="54">
        <f t="shared" si="65"/>
        <v>606803.87865870993</v>
      </c>
      <c r="AK339" s="54">
        <f t="shared" si="66"/>
        <v>903601.5141273248</v>
      </c>
      <c r="AL339" s="54">
        <f t="shared" si="67"/>
        <v>2117717.8012632215</v>
      </c>
      <c r="AM339" s="54">
        <f t="shared" si="68"/>
        <v>5204002.6537266597</v>
      </c>
    </row>
    <row r="340" spans="17:39" x14ac:dyDescent="0.25">
      <c r="Q340" s="55">
        <v>82</v>
      </c>
      <c r="R340" s="54">
        <v>117544.93581816554</v>
      </c>
      <c r="S340" s="54">
        <v>184982.20353098586</v>
      </c>
      <c r="T340" s="54">
        <v>264121.19571321085</v>
      </c>
      <c r="U340" s="54">
        <v>322329.43566712458</v>
      </c>
      <c r="V340" s="54">
        <v>469606.74706248101</v>
      </c>
      <c r="W340" s="54">
        <v>666907.84558260068</v>
      </c>
      <c r="X340" s="54">
        <v>952232.25448060501</v>
      </c>
      <c r="Y340" s="54">
        <v>1360830.074165659</v>
      </c>
      <c r="Z340" s="54">
        <v>3825964.4212365719</v>
      </c>
      <c r="AA340" s="54">
        <f t="shared" si="58"/>
        <v>8164519.1132574044</v>
      </c>
      <c r="AC340" s="55">
        <v>82</v>
      </c>
      <c r="AD340" s="54">
        <f t="shared" si="59"/>
        <v>110473.52545386372</v>
      </c>
      <c r="AE340" s="54">
        <f t="shared" si="60"/>
        <v>162779.3249258677</v>
      </c>
      <c r="AF340" s="54">
        <f t="shared" si="61"/>
        <v>217309.15020698457</v>
      </c>
      <c r="AG340" s="54">
        <f t="shared" si="62"/>
        <v>248205.93375673285</v>
      </c>
      <c r="AH340" s="54">
        <f t="shared" si="63"/>
        <v>338857.39116094843</v>
      </c>
      <c r="AI340" s="54">
        <f t="shared" si="64"/>
        <v>451379.77305768704</v>
      </c>
      <c r="AJ340" s="54">
        <f t="shared" si="65"/>
        <v>605050.18811044632</v>
      </c>
      <c r="AK340" s="54">
        <f t="shared" si="66"/>
        <v>811891.71390406264</v>
      </c>
      <c r="AL340" s="54">
        <f t="shared" si="67"/>
        <v>2141904.0174457165</v>
      </c>
      <c r="AM340" s="54">
        <f t="shared" si="68"/>
        <v>5087851.01802231</v>
      </c>
    </row>
    <row r="341" spans="17:39" x14ac:dyDescent="0.25">
      <c r="Q341" s="55">
        <v>83</v>
      </c>
      <c r="R341" s="54">
        <v>90025.036528844386</v>
      </c>
      <c r="S341" s="54">
        <v>124970.47509653494</v>
      </c>
      <c r="T341" s="54">
        <v>186381.73814509436</v>
      </c>
      <c r="U341" s="54">
        <v>275578.83102690056</v>
      </c>
      <c r="V341" s="54">
        <v>388430.0507014133</v>
      </c>
      <c r="W341" s="54">
        <v>623271.14646369405</v>
      </c>
      <c r="X341" s="54">
        <v>864998.25540769473</v>
      </c>
      <c r="Y341" s="54">
        <v>1452074.2574761072</v>
      </c>
      <c r="Z341" s="54">
        <v>4252152.3617491741</v>
      </c>
      <c r="AA341" s="54">
        <f t="shared" si="58"/>
        <v>8257882.1525954576</v>
      </c>
      <c r="AC341" s="55">
        <v>83</v>
      </c>
      <c r="AD341" s="54">
        <f t="shared" si="59"/>
        <v>84609.20153837312</v>
      </c>
      <c r="AE341" s="54">
        <f t="shared" si="60"/>
        <v>109970.63059891263</v>
      </c>
      <c r="AF341" s="54">
        <f t="shared" si="61"/>
        <v>153348.00003854942</v>
      </c>
      <c r="AG341" s="54">
        <f t="shared" si="62"/>
        <v>212206.18879269523</v>
      </c>
      <c r="AH341" s="54">
        <f t="shared" si="63"/>
        <v>280282.16045133508</v>
      </c>
      <c r="AI341" s="54">
        <f t="shared" si="64"/>
        <v>421845.37265177805</v>
      </c>
      <c r="AJ341" s="54">
        <f t="shared" si="65"/>
        <v>549621.53895438486</v>
      </c>
      <c r="AK341" s="54">
        <f t="shared" si="66"/>
        <v>866329.36764059972</v>
      </c>
      <c r="AL341" s="54">
        <f t="shared" si="67"/>
        <v>2380498.4112942144</v>
      </c>
      <c r="AM341" s="54">
        <f t="shared" si="68"/>
        <v>5058710.871960843</v>
      </c>
    </row>
    <row r="342" spans="17:39" x14ac:dyDescent="0.25">
      <c r="Q342" s="55">
        <v>84</v>
      </c>
      <c r="R342" s="54">
        <v>57850.372932389379</v>
      </c>
      <c r="S342" s="54">
        <v>140039.53587959893</v>
      </c>
      <c r="T342" s="54">
        <v>204583.80239521526</v>
      </c>
      <c r="U342" s="54">
        <v>311887.01237375289</v>
      </c>
      <c r="V342" s="54">
        <v>410442.20212235115</v>
      </c>
      <c r="W342" s="54">
        <v>592360.32309927884</v>
      </c>
      <c r="X342" s="54">
        <v>982688.06646712124</v>
      </c>
      <c r="Y342" s="54">
        <v>1388469.7480148608</v>
      </c>
      <c r="Z342" s="54">
        <v>3758390.9801883642</v>
      </c>
      <c r="AA342" s="54">
        <f t="shared" si="58"/>
        <v>7846712.0434729327</v>
      </c>
      <c r="AC342" s="55">
        <v>84</v>
      </c>
      <c r="AD342" s="54">
        <f t="shared" si="59"/>
        <v>54370.140254686878</v>
      </c>
      <c r="AE342" s="54">
        <f t="shared" si="60"/>
        <v>123230.99562166542</v>
      </c>
      <c r="AF342" s="54">
        <f t="shared" si="61"/>
        <v>168323.98522415967</v>
      </c>
      <c r="AG342" s="54">
        <f t="shared" si="62"/>
        <v>240164.87036812241</v>
      </c>
      <c r="AH342" s="54">
        <f t="shared" si="63"/>
        <v>296165.62092330813</v>
      </c>
      <c r="AI342" s="54">
        <f t="shared" si="64"/>
        <v>400924.16063174658</v>
      </c>
      <c r="AJ342" s="54">
        <f t="shared" si="65"/>
        <v>624401.86905255972</v>
      </c>
      <c r="AK342" s="54">
        <f t="shared" si="66"/>
        <v>828381.95952634292</v>
      </c>
      <c r="AL342" s="54">
        <f t="shared" si="67"/>
        <v>2104074.1243995582</v>
      </c>
      <c r="AM342" s="54">
        <f t="shared" si="68"/>
        <v>4840037.7260021493</v>
      </c>
    </row>
    <row r="343" spans="17:39" x14ac:dyDescent="0.25">
      <c r="Q343" s="55">
        <v>85</v>
      </c>
      <c r="R343" s="54">
        <v>110754.97265475057</v>
      </c>
      <c r="S343" s="54">
        <v>162682.86233066767</v>
      </c>
      <c r="T343" s="54">
        <v>233110.42832425982</v>
      </c>
      <c r="U343" s="54">
        <v>318919.2351145763</v>
      </c>
      <c r="V343" s="54">
        <v>473874.66355466843</v>
      </c>
      <c r="W343" s="54">
        <v>667644.34669216163</v>
      </c>
      <c r="X343" s="54">
        <v>962483.37172072195</v>
      </c>
      <c r="Y343" s="54">
        <v>1505287.2847056156</v>
      </c>
      <c r="Z343" s="54">
        <v>3904019.4707574267</v>
      </c>
      <c r="AA343" s="54">
        <f t="shared" si="58"/>
        <v>8338776.6358548487</v>
      </c>
      <c r="AC343" s="55">
        <v>85</v>
      </c>
      <c r="AD343" s="54">
        <f t="shared" si="59"/>
        <v>104092.04110370258</v>
      </c>
      <c r="AE343" s="54">
        <f t="shared" si="60"/>
        <v>143156.50912201469</v>
      </c>
      <c r="AF343" s="54">
        <f t="shared" si="61"/>
        <v>191794.63786214156</v>
      </c>
      <c r="AG343" s="54">
        <f t="shared" si="62"/>
        <v>245579.94953443829</v>
      </c>
      <c r="AH343" s="54">
        <f t="shared" si="63"/>
        <v>341937.02120732632</v>
      </c>
      <c r="AI343" s="54">
        <f t="shared" si="64"/>
        <v>451878.25527812028</v>
      </c>
      <c r="AJ343" s="54">
        <f t="shared" si="65"/>
        <v>611563.76752900751</v>
      </c>
      <c r="AK343" s="54">
        <f t="shared" si="66"/>
        <v>898077.06097834243</v>
      </c>
      <c r="AL343" s="54">
        <f t="shared" si="67"/>
        <v>2185601.8686914444</v>
      </c>
      <c r="AM343" s="54">
        <f t="shared" si="68"/>
        <v>5173681.1113065379</v>
      </c>
    </row>
    <row r="344" spans="17:39" x14ac:dyDescent="0.25">
      <c r="Q344" s="55">
        <v>86</v>
      </c>
      <c r="R344" s="54">
        <v>103268.97282437608</v>
      </c>
      <c r="S344" s="54">
        <v>139956.39466118254</v>
      </c>
      <c r="T344" s="54">
        <v>227781.96403460018</v>
      </c>
      <c r="U344" s="54">
        <v>304833.42936373875</v>
      </c>
      <c r="V344" s="54">
        <v>429002.37522655539</v>
      </c>
      <c r="W344" s="54">
        <v>633676.70479766279</v>
      </c>
      <c r="X344" s="54">
        <v>879276.12039723899</v>
      </c>
      <c r="Y344" s="54">
        <v>1418749.6353902426</v>
      </c>
      <c r="Z344" s="54">
        <v>3875561.4692907259</v>
      </c>
      <c r="AA344" s="54">
        <f t="shared" si="58"/>
        <v>8012107.0659863232</v>
      </c>
      <c r="AC344" s="55">
        <v>86</v>
      </c>
      <c r="AD344" s="54">
        <f t="shared" si="59"/>
        <v>97056.393101922047</v>
      </c>
      <c r="AE344" s="54">
        <f t="shared" si="60"/>
        <v>123157.83360310903</v>
      </c>
      <c r="AF344" s="54">
        <f t="shared" si="61"/>
        <v>187410.57454012215</v>
      </c>
      <c r="AG344" s="54">
        <f t="shared" si="62"/>
        <v>234733.34298152899</v>
      </c>
      <c r="AH344" s="54">
        <f t="shared" si="63"/>
        <v>309558.21350620274</v>
      </c>
      <c r="AI344" s="54">
        <f t="shared" si="64"/>
        <v>428888.112650169</v>
      </c>
      <c r="AJ344" s="54">
        <f t="shared" si="65"/>
        <v>558693.72156224179</v>
      </c>
      <c r="AK344" s="54">
        <f t="shared" si="66"/>
        <v>846447.39629521617</v>
      </c>
      <c r="AL344" s="54">
        <f t="shared" si="67"/>
        <v>2169670.1189523027</v>
      </c>
      <c r="AM344" s="54">
        <f t="shared" si="68"/>
        <v>4955615.707192814</v>
      </c>
    </row>
    <row r="345" spans="17:39" x14ac:dyDescent="0.25">
      <c r="Q345" s="55">
        <v>87</v>
      </c>
      <c r="R345" s="54">
        <v>75817.842038173229</v>
      </c>
      <c r="S345" s="54">
        <v>147200.34788336977</v>
      </c>
      <c r="T345" s="54">
        <v>234597.52402718365</v>
      </c>
      <c r="U345" s="54">
        <v>308992.47487626038</v>
      </c>
      <c r="V345" s="54">
        <v>437935.62717606872</v>
      </c>
      <c r="W345" s="54">
        <v>657864.1261949148</v>
      </c>
      <c r="X345" s="54">
        <v>924357.3810972739</v>
      </c>
      <c r="Y345" s="54">
        <v>1431396.3216480687</v>
      </c>
      <c r="Z345" s="54">
        <v>3583181.5093767559</v>
      </c>
      <c r="AA345" s="54">
        <f t="shared" si="58"/>
        <v>7801343.1543180691</v>
      </c>
      <c r="AC345" s="55">
        <v>87</v>
      </c>
      <c r="AD345" s="54">
        <f t="shared" si="59"/>
        <v>71256.700630795982</v>
      </c>
      <c r="AE345" s="54">
        <f t="shared" si="60"/>
        <v>129532.31608193129</v>
      </c>
      <c r="AF345" s="54">
        <f t="shared" si="61"/>
        <v>193018.16520006006</v>
      </c>
      <c r="AG345" s="54">
        <f t="shared" si="62"/>
        <v>237935.96632505217</v>
      </c>
      <c r="AH345" s="54">
        <f t="shared" si="63"/>
        <v>316004.24195262283</v>
      </c>
      <c r="AI345" s="54">
        <f t="shared" si="64"/>
        <v>445258.75943961367</v>
      </c>
      <c r="AJ345" s="54">
        <f t="shared" si="65"/>
        <v>587338.44047243043</v>
      </c>
      <c r="AK345" s="54">
        <f t="shared" si="66"/>
        <v>853992.59975301649</v>
      </c>
      <c r="AL345" s="54">
        <f t="shared" si="67"/>
        <v>2005985.9489468893</v>
      </c>
      <c r="AM345" s="54">
        <f t="shared" si="68"/>
        <v>4840323.138802412</v>
      </c>
    </row>
    <row r="346" spans="17:39" x14ac:dyDescent="0.25">
      <c r="Q346" s="55">
        <v>88</v>
      </c>
      <c r="R346" s="54">
        <v>95192.756249796599</v>
      </c>
      <c r="S346" s="54">
        <v>135341.16441371851</v>
      </c>
      <c r="T346" s="54">
        <v>244807.74045517668</v>
      </c>
      <c r="U346" s="54">
        <v>275294.91031554528</v>
      </c>
      <c r="V346" s="54">
        <v>447561.37849571742</v>
      </c>
      <c r="W346" s="54">
        <v>688983.88154241815</v>
      </c>
      <c r="X346" s="54">
        <v>911302.55529966485</v>
      </c>
      <c r="Y346" s="54">
        <v>1509694.3830169179</v>
      </c>
      <c r="Z346" s="54">
        <v>3913039.7440316714</v>
      </c>
      <c r="AA346" s="54">
        <f t="shared" si="58"/>
        <v>8221218.5138206268</v>
      </c>
      <c r="AC346" s="55">
        <v>88</v>
      </c>
      <c r="AD346" s="54">
        <f t="shared" si="59"/>
        <v>89466.035328424172</v>
      </c>
      <c r="AE346" s="54">
        <f t="shared" si="60"/>
        <v>119096.55608711384</v>
      </c>
      <c r="AF346" s="54">
        <f t="shared" si="61"/>
        <v>201418.7536095028</v>
      </c>
      <c r="AG346" s="54">
        <f t="shared" si="62"/>
        <v>211987.55903854649</v>
      </c>
      <c r="AH346" s="54">
        <f t="shared" si="63"/>
        <v>322949.96196312818</v>
      </c>
      <c r="AI346" s="54">
        <f t="shared" si="64"/>
        <v>466321.38180851936</v>
      </c>
      <c r="AJ346" s="54">
        <f t="shared" si="65"/>
        <v>579043.37929651921</v>
      </c>
      <c r="AK346" s="54">
        <f t="shared" si="66"/>
        <v>900706.40219385072</v>
      </c>
      <c r="AL346" s="54">
        <f t="shared" si="67"/>
        <v>2190651.722123777</v>
      </c>
      <c r="AM346" s="54">
        <f t="shared" si="68"/>
        <v>5081641.7514493819</v>
      </c>
    </row>
    <row r="347" spans="17:39" x14ac:dyDescent="0.25">
      <c r="Q347" s="55">
        <v>89</v>
      </c>
      <c r="R347" s="54">
        <v>96068.218960523605</v>
      </c>
      <c r="S347" s="54">
        <v>148015.7880826313</v>
      </c>
      <c r="T347" s="54">
        <v>213868.02160604671</v>
      </c>
      <c r="U347" s="54">
        <v>282986.24468731508</v>
      </c>
      <c r="V347" s="54">
        <v>447474.433326317</v>
      </c>
      <c r="W347" s="54">
        <v>646544.13327153772</v>
      </c>
      <c r="X347" s="54">
        <v>890373.29581816867</v>
      </c>
      <c r="Y347" s="54">
        <v>1395996.3118369859</v>
      </c>
      <c r="Z347" s="54">
        <v>3880130.3724890826</v>
      </c>
      <c r="AA347" s="54">
        <f t="shared" si="58"/>
        <v>8001456.8200786086</v>
      </c>
      <c r="AC347" s="55">
        <v>89</v>
      </c>
      <c r="AD347" s="54">
        <f t="shared" si="59"/>
        <v>90288.830894938597</v>
      </c>
      <c r="AE347" s="54">
        <f t="shared" si="60"/>
        <v>130249.88135372227</v>
      </c>
      <c r="AF347" s="54">
        <f t="shared" si="61"/>
        <v>175962.69737519749</v>
      </c>
      <c r="AG347" s="54">
        <f t="shared" si="62"/>
        <v>217910.17924736871</v>
      </c>
      <c r="AH347" s="54">
        <f t="shared" si="63"/>
        <v>322887.22433539742</v>
      </c>
      <c r="AI347" s="54">
        <f t="shared" si="64"/>
        <v>437597.10742785054</v>
      </c>
      <c r="AJ347" s="54">
        <f t="shared" si="65"/>
        <v>565744.88796028658</v>
      </c>
      <c r="AK347" s="54">
        <f t="shared" si="66"/>
        <v>832872.42083915602</v>
      </c>
      <c r="AL347" s="54">
        <f t="shared" si="67"/>
        <v>2172227.9451729441</v>
      </c>
      <c r="AM347" s="54">
        <f t="shared" si="68"/>
        <v>4945741.1746068615</v>
      </c>
    </row>
    <row r="348" spans="17:39" x14ac:dyDescent="0.25">
      <c r="Q348" s="55">
        <v>90</v>
      </c>
      <c r="R348" s="54">
        <v>58409.013212470338</v>
      </c>
      <c r="S348" s="54">
        <v>90156.172091701999</v>
      </c>
      <c r="T348" s="54">
        <v>144028.52126377635</v>
      </c>
      <c r="U348" s="54">
        <v>239106.8504531756</v>
      </c>
      <c r="V348" s="54">
        <v>366240.41016638651</v>
      </c>
      <c r="W348" s="54">
        <v>573380.16577459686</v>
      </c>
      <c r="X348" s="54">
        <v>860961.77351847291</v>
      </c>
      <c r="Y348" s="54">
        <v>1401659.5485144742</v>
      </c>
      <c r="Z348" s="54">
        <v>4038889.5495950077</v>
      </c>
      <c r="AA348" s="54">
        <f t="shared" si="58"/>
        <v>7772832.0045900624</v>
      </c>
      <c r="AC348" s="55">
        <v>90</v>
      </c>
      <c r="AD348" s="54">
        <f t="shared" si="59"/>
        <v>54895.17317738587</v>
      </c>
      <c r="AE348" s="54">
        <f t="shared" si="60"/>
        <v>79334.987641280532</v>
      </c>
      <c r="AF348" s="54">
        <f t="shared" si="61"/>
        <v>118501.33979926679</v>
      </c>
      <c r="AG348" s="54">
        <f t="shared" si="62"/>
        <v>184121.37557815667</v>
      </c>
      <c r="AH348" s="54">
        <f t="shared" si="63"/>
        <v>264270.62793070462</v>
      </c>
      <c r="AI348" s="54">
        <f t="shared" si="64"/>
        <v>388077.91933684936</v>
      </c>
      <c r="AJ348" s="54">
        <f t="shared" si="65"/>
        <v>547056.75067412423</v>
      </c>
      <c r="AK348" s="54">
        <f t="shared" si="66"/>
        <v>836251.19311911857</v>
      </c>
      <c r="AL348" s="54">
        <f t="shared" si="67"/>
        <v>2261106.6909767673</v>
      </c>
      <c r="AM348" s="54">
        <f t="shared" si="68"/>
        <v>4733616.0582336541</v>
      </c>
    </row>
    <row r="349" spans="17:39" x14ac:dyDescent="0.25">
      <c r="Q349" s="55">
        <v>91</v>
      </c>
      <c r="R349" s="54">
        <v>52780.580535693094</v>
      </c>
      <c r="S349" s="54">
        <v>122048.52087843418</v>
      </c>
      <c r="T349" s="54">
        <v>183352.85389754735</v>
      </c>
      <c r="U349" s="54">
        <v>269985.15751955099</v>
      </c>
      <c r="V349" s="54">
        <v>399672.13283139467</v>
      </c>
      <c r="W349" s="54">
        <v>597454.37972470466</v>
      </c>
      <c r="X349" s="54">
        <v>889301.74468093272</v>
      </c>
      <c r="Y349" s="54">
        <v>1445843.2532050703</v>
      </c>
      <c r="Z349" s="54">
        <v>3899253.8978225719</v>
      </c>
      <c r="AA349" s="54">
        <f t="shared" si="58"/>
        <v>7859692.5210958999</v>
      </c>
      <c r="AC349" s="55">
        <v>91</v>
      </c>
      <c r="AD349" s="54">
        <f t="shared" si="59"/>
        <v>49605.342558522098</v>
      </c>
      <c r="AE349" s="54">
        <f t="shared" si="60"/>
        <v>107399.39009032467</v>
      </c>
      <c r="AF349" s="54">
        <f t="shared" si="61"/>
        <v>150855.94611560545</v>
      </c>
      <c r="AG349" s="54">
        <f t="shared" si="62"/>
        <v>207898.8472892782</v>
      </c>
      <c r="AH349" s="54">
        <f t="shared" si="63"/>
        <v>288394.18747311836</v>
      </c>
      <c r="AI349" s="54">
        <f t="shared" si="64"/>
        <v>404371.94451786811</v>
      </c>
      <c r="AJ349" s="54">
        <f t="shared" si="65"/>
        <v>565064.02232681972</v>
      </c>
      <c r="AK349" s="54">
        <f t="shared" si="66"/>
        <v>862611.85666476574</v>
      </c>
      <c r="AL349" s="54">
        <f t="shared" si="67"/>
        <v>2182933.9401142895</v>
      </c>
      <c r="AM349" s="54">
        <f t="shared" si="68"/>
        <v>4819135.4771505911</v>
      </c>
    </row>
    <row r="350" spans="17:39" x14ac:dyDescent="0.25">
      <c r="Q350" s="55">
        <v>92</v>
      </c>
      <c r="R350" s="54">
        <v>105234.72535183839</v>
      </c>
      <c r="S350" s="54">
        <v>165068.36078328639</v>
      </c>
      <c r="T350" s="54">
        <v>226132.15347668529</v>
      </c>
      <c r="U350" s="54">
        <v>315907.97648318764</v>
      </c>
      <c r="V350" s="54">
        <v>483722.88744545542</v>
      </c>
      <c r="W350" s="54">
        <v>717248.68125095591</v>
      </c>
      <c r="X350" s="54">
        <v>987857.75609944016</v>
      </c>
      <c r="Y350" s="54">
        <v>1621007.1869229088</v>
      </c>
      <c r="Z350" s="54">
        <v>4136797.3689359492</v>
      </c>
      <c r="AA350" s="54">
        <f t="shared" si="58"/>
        <v>8758977.0967497081</v>
      </c>
      <c r="AC350" s="55">
        <v>92</v>
      </c>
      <c r="AD350" s="54">
        <f t="shared" si="59"/>
        <v>98903.88751218353</v>
      </c>
      <c r="AE350" s="54">
        <f t="shared" si="60"/>
        <v>145255.68309830441</v>
      </c>
      <c r="AF350" s="54">
        <f t="shared" si="61"/>
        <v>186053.17143820567</v>
      </c>
      <c r="AG350" s="54">
        <f t="shared" si="62"/>
        <v>243261.16577570426</v>
      </c>
      <c r="AH350" s="54">
        <f t="shared" si="63"/>
        <v>349043.27229097398</v>
      </c>
      <c r="AI350" s="54">
        <f t="shared" si="64"/>
        <v>485451.69938157988</v>
      </c>
      <c r="AJ350" s="54">
        <f t="shared" si="65"/>
        <v>627686.69969108223</v>
      </c>
      <c r="AK350" s="54">
        <f t="shared" si="66"/>
        <v>967117.29717507097</v>
      </c>
      <c r="AL350" s="54">
        <f t="shared" si="67"/>
        <v>2315918.7928409902</v>
      </c>
      <c r="AM350" s="54">
        <f t="shared" si="68"/>
        <v>5418691.6692040954</v>
      </c>
    </row>
    <row r="351" spans="17:39" x14ac:dyDescent="0.25">
      <c r="Q351" s="55">
        <v>93</v>
      </c>
      <c r="R351" s="54">
        <v>70347.135125080124</v>
      </c>
      <c r="S351" s="54">
        <v>107805.91161166504</v>
      </c>
      <c r="T351" s="54">
        <v>194449.78129738197</v>
      </c>
      <c r="U351" s="54">
        <v>288679.40517639369</v>
      </c>
      <c r="V351" s="54">
        <v>441946.20820673741</v>
      </c>
      <c r="W351" s="54">
        <v>649836.28224390931</v>
      </c>
      <c r="X351" s="54">
        <v>928684.78252227046</v>
      </c>
      <c r="Y351" s="54">
        <v>1541237.7988069225</v>
      </c>
      <c r="Z351" s="54">
        <v>3856345.0256769853</v>
      </c>
      <c r="AA351" s="54">
        <f t="shared" si="58"/>
        <v>8079332.3306673458</v>
      </c>
      <c r="AC351" s="55">
        <v>93</v>
      </c>
      <c r="AD351" s="54">
        <f t="shared" si="59"/>
        <v>66115.107118429456</v>
      </c>
      <c r="AE351" s="54">
        <f t="shared" si="60"/>
        <v>94866.27999987622</v>
      </c>
      <c r="AF351" s="54">
        <f t="shared" si="61"/>
        <v>159986.08751396975</v>
      </c>
      <c r="AG351" s="54">
        <f t="shared" si="62"/>
        <v>222294.12951332581</v>
      </c>
      <c r="AH351" s="54">
        <f t="shared" si="63"/>
        <v>318898.18466872087</v>
      </c>
      <c r="AI351" s="54">
        <f t="shared" si="64"/>
        <v>439825.31551666529</v>
      </c>
      <c r="AJ351" s="54">
        <f t="shared" si="65"/>
        <v>590088.07957980526</v>
      </c>
      <c r="AK351" s="54">
        <f t="shared" si="66"/>
        <v>919525.67904135643</v>
      </c>
      <c r="AL351" s="54">
        <f t="shared" si="67"/>
        <v>2158912.1052214829</v>
      </c>
      <c r="AM351" s="54">
        <f t="shared" si="68"/>
        <v>4970510.9681736324</v>
      </c>
    </row>
    <row r="352" spans="17:39" x14ac:dyDescent="0.25">
      <c r="Q352" s="55">
        <v>94</v>
      </c>
      <c r="R352" s="54">
        <v>82861.394652601331</v>
      </c>
      <c r="S352" s="54">
        <v>133291.71054168232</v>
      </c>
      <c r="T352" s="54">
        <v>175837.41647401266</v>
      </c>
      <c r="U352" s="54">
        <v>264856.59273259901</v>
      </c>
      <c r="V352" s="54">
        <v>399216.39935158566</v>
      </c>
      <c r="W352" s="54">
        <v>574578.67270863708</v>
      </c>
      <c r="X352" s="54">
        <v>818995.4254457606</v>
      </c>
      <c r="Y352" s="54">
        <v>1453954.9868807318</v>
      </c>
      <c r="Z352" s="54">
        <v>3951895.6338459514</v>
      </c>
      <c r="AA352" s="54">
        <f t="shared" si="58"/>
        <v>7855488.2326335618</v>
      </c>
      <c r="AC352" s="55">
        <v>94</v>
      </c>
      <c r="AD352" s="54">
        <f t="shared" si="59"/>
        <v>77876.518691178964</v>
      </c>
      <c r="AE352" s="54">
        <f t="shared" si="60"/>
        <v>117293.09223281461</v>
      </c>
      <c r="AF352" s="54">
        <f t="shared" si="61"/>
        <v>144672.52219337152</v>
      </c>
      <c r="AG352" s="54">
        <f t="shared" si="62"/>
        <v>203949.65720323249</v>
      </c>
      <c r="AH352" s="54">
        <f t="shared" si="63"/>
        <v>288065.34071144223</v>
      </c>
      <c r="AI352" s="54">
        <f t="shared" si="64"/>
        <v>388889.09855970368</v>
      </c>
      <c r="AJ352" s="54">
        <f t="shared" si="65"/>
        <v>520391.25317997241</v>
      </c>
      <c r="AK352" s="54">
        <f t="shared" si="66"/>
        <v>867451.43912380573</v>
      </c>
      <c r="AL352" s="54">
        <f t="shared" si="67"/>
        <v>2212404.5607107431</v>
      </c>
      <c r="AM352" s="54">
        <f t="shared" si="68"/>
        <v>4820993.4826062648</v>
      </c>
    </row>
    <row r="353" spans="17:39" x14ac:dyDescent="0.25">
      <c r="Q353" s="55">
        <v>95</v>
      </c>
      <c r="R353" s="54">
        <v>88623.382559085265</v>
      </c>
      <c r="S353" s="54">
        <v>121115.07855932601</v>
      </c>
      <c r="T353" s="54">
        <v>176727.43596522696</v>
      </c>
      <c r="U353" s="54">
        <v>236879.39200605452</v>
      </c>
      <c r="V353" s="54">
        <v>387590.34365825914</v>
      </c>
      <c r="W353" s="54">
        <v>583721.17134335171</v>
      </c>
      <c r="X353" s="54">
        <v>880010.10219081677</v>
      </c>
      <c r="Y353" s="54">
        <v>1316864.5032929284</v>
      </c>
      <c r="Z353" s="54">
        <v>4046161.097075969</v>
      </c>
      <c r="AA353" s="54">
        <f t="shared" si="58"/>
        <v>7837692.5066510178</v>
      </c>
      <c r="AC353" s="55">
        <v>95</v>
      </c>
      <c r="AD353" s="54">
        <f t="shared" si="59"/>
        <v>83291.869962768455</v>
      </c>
      <c r="AE353" s="54">
        <f t="shared" si="60"/>
        <v>106577.98615166842</v>
      </c>
      <c r="AF353" s="54">
        <f t="shared" si="61"/>
        <v>145404.79730965354</v>
      </c>
      <c r="AG353" s="54">
        <f t="shared" si="62"/>
        <v>182406.14779380074</v>
      </c>
      <c r="AH353" s="54">
        <f t="shared" si="63"/>
        <v>279676.24722763762</v>
      </c>
      <c r="AI353" s="54">
        <f t="shared" si="64"/>
        <v>395076.96842246206</v>
      </c>
      <c r="AJ353" s="54">
        <f t="shared" si="65"/>
        <v>559160.09499181656</v>
      </c>
      <c r="AK353" s="54">
        <f t="shared" si="66"/>
        <v>785661.19227885746</v>
      </c>
      <c r="AL353" s="54">
        <f t="shared" si="67"/>
        <v>2265177.5486868042</v>
      </c>
      <c r="AM353" s="54">
        <f t="shared" si="68"/>
        <v>4802432.8528254684</v>
      </c>
    </row>
    <row r="354" spans="17:39" x14ac:dyDescent="0.25">
      <c r="Q354" s="55">
        <v>96</v>
      </c>
      <c r="R354" s="54">
        <v>95477.219987424091</v>
      </c>
      <c r="S354" s="54">
        <v>133088.87561594695</v>
      </c>
      <c r="T354" s="54">
        <v>209977.01167801581</v>
      </c>
      <c r="U354" s="54">
        <v>286215.85301635414</v>
      </c>
      <c r="V354" s="54">
        <v>407156.20427852124</v>
      </c>
      <c r="W354" s="54">
        <v>626983.87018491887</v>
      </c>
      <c r="X354" s="54">
        <v>939386.10283722728</v>
      </c>
      <c r="Y354" s="54">
        <v>1488855.8065085113</v>
      </c>
      <c r="Z354" s="54">
        <v>4115807.6714003012</v>
      </c>
      <c r="AA354" s="54">
        <f t="shared" si="58"/>
        <v>8302948.6155072208</v>
      </c>
      <c r="AC354" s="55">
        <v>96</v>
      </c>
      <c r="AD354" s="54">
        <f t="shared" si="59"/>
        <v>89733.385952598284</v>
      </c>
      <c r="AE354" s="54">
        <f t="shared" si="60"/>
        <v>117114.60299626997</v>
      </c>
      <c r="AF354" s="54">
        <f t="shared" si="61"/>
        <v>172761.31833167135</v>
      </c>
      <c r="AG354" s="54">
        <f t="shared" si="62"/>
        <v>220397.10058397756</v>
      </c>
      <c r="AH354" s="54">
        <f t="shared" si="63"/>
        <v>293794.52071300271</v>
      </c>
      <c r="AI354" s="54">
        <f t="shared" si="64"/>
        <v>424358.23616330017</v>
      </c>
      <c r="AJ354" s="54">
        <f t="shared" si="65"/>
        <v>596887.71888957266</v>
      </c>
      <c r="AK354" s="54">
        <f t="shared" si="66"/>
        <v>888273.79365739971</v>
      </c>
      <c r="AL354" s="54">
        <f t="shared" si="67"/>
        <v>2304168.0517135952</v>
      </c>
      <c r="AM354" s="54">
        <f t="shared" si="68"/>
        <v>5107488.729001388</v>
      </c>
    </row>
    <row r="355" spans="17:39" x14ac:dyDescent="0.25">
      <c r="Q355" s="55">
        <v>97</v>
      </c>
      <c r="R355" s="54">
        <v>167177.3148314096</v>
      </c>
      <c r="S355" s="54">
        <v>226943.28048196249</v>
      </c>
      <c r="T355" s="54">
        <v>285550.49880627543</v>
      </c>
      <c r="U355" s="54">
        <v>346625.1353725642</v>
      </c>
      <c r="V355" s="54">
        <v>493784.15336572751</v>
      </c>
      <c r="W355" s="54">
        <v>696362.16758254915</v>
      </c>
      <c r="X355" s="54">
        <v>946147.03195842169</v>
      </c>
      <c r="Y355" s="54">
        <v>1489569.7082206253</v>
      </c>
      <c r="Z355" s="54">
        <v>3993549.439579024</v>
      </c>
      <c r="AA355" s="54">
        <f t="shared" si="58"/>
        <v>8645708.7301985584</v>
      </c>
      <c r="AC355" s="55">
        <v>97</v>
      </c>
      <c r="AD355" s="54">
        <f t="shared" si="59"/>
        <v>157120.05980339434</v>
      </c>
      <c r="AE355" s="54">
        <f t="shared" si="60"/>
        <v>199703.93523357343</v>
      </c>
      <c r="AF355" s="54">
        <f t="shared" si="61"/>
        <v>234940.38813965779</v>
      </c>
      <c r="AG355" s="54">
        <f t="shared" si="62"/>
        <v>266914.54725701973</v>
      </c>
      <c r="AH355" s="54">
        <f t="shared" si="63"/>
        <v>356303.24958654371</v>
      </c>
      <c r="AI355" s="54">
        <f t="shared" si="64"/>
        <v>471315.18882459914</v>
      </c>
      <c r="AJ355" s="54">
        <f t="shared" si="65"/>
        <v>601183.62612998788</v>
      </c>
      <c r="AK355" s="54">
        <f t="shared" si="66"/>
        <v>888699.71816892456</v>
      </c>
      <c r="AL355" s="54">
        <f t="shared" si="67"/>
        <v>2235723.7670646631</v>
      </c>
      <c r="AM355" s="54">
        <f t="shared" si="68"/>
        <v>5411904.4802083634</v>
      </c>
    </row>
    <row r="356" spans="17:39" x14ac:dyDescent="0.25">
      <c r="Q356" s="55">
        <v>98</v>
      </c>
      <c r="R356" s="54">
        <v>89807.545076029375</v>
      </c>
      <c r="S356" s="54">
        <v>143442.99167201295</v>
      </c>
      <c r="T356" s="54">
        <v>220906.77235963754</v>
      </c>
      <c r="U356" s="54">
        <v>298921.15608245507</v>
      </c>
      <c r="V356" s="54">
        <v>451835.09280153457</v>
      </c>
      <c r="W356" s="54">
        <v>627253.12521189731</v>
      </c>
      <c r="X356" s="54">
        <v>934483.75257668365</v>
      </c>
      <c r="Y356" s="54">
        <v>1513624.4784132577</v>
      </c>
      <c r="Z356" s="54">
        <v>4123959.4917099616</v>
      </c>
      <c r="AA356" s="54">
        <f t="shared" si="58"/>
        <v>8404234.4059034698</v>
      </c>
      <c r="AC356" s="55">
        <v>98</v>
      </c>
      <c r="AD356" s="54">
        <f t="shared" si="59"/>
        <v>84404.794199330252</v>
      </c>
      <c r="AE356" s="54">
        <f t="shared" si="60"/>
        <v>126225.94446392736</v>
      </c>
      <c r="AF356" s="54">
        <f t="shared" si="61"/>
        <v>181753.92113764954</v>
      </c>
      <c r="AG356" s="54">
        <f t="shared" si="62"/>
        <v>230180.66752584561</v>
      </c>
      <c r="AH356" s="54">
        <f t="shared" si="63"/>
        <v>326033.7755780202</v>
      </c>
      <c r="AI356" s="54">
        <f t="shared" si="64"/>
        <v>424540.47464463935</v>
      </c>
      <c r="AJ356" s="54">
        <f t="shared" si="65"/>
        <v>593772.75619704858</v>
      </c>
      <c r="AK356" s="54">
        <f t="shared" si="66"/>
        <v>903051.15628748515</v>
      </c>
      <c r="AL356" s="54">
        <f t="shared" si="67"/>
        <v>2308731.7158642183</v>
      </c>
      <c r="AM356" s="54">
        <f t="shared" si="68"/>
        <v>5178695.2058981638</v>
      </c>
    </row>
    <row r="357" spans="17:39" x14ac:dyDescent="0.25">
      <c r="Q357" s="55">
        <v>99</v>
      </c>
      <c r="R357" s="54">
        <v>116821.28294549882</v>
      </c>
      <c r="S357" s="54">
        <v>167198.26963436231</v>
      </c>
      <c r="T357" s="54">
        <v>229489.83757263795</v>
      </c>
      <c r="U357" s="54">
        <v>298983.57676430047</v>
      </c>
      <c r="V357" s="54">
        <v>443770.89928811789</v>
      </c>
      <c r="W357" s="54">
        <v>549362.14948485978</v>
      </c>
      <c r="X357" s="54">
        <v>893325.16538256593</v>
      </c>
      <c r="Y357" s="54">
        <v>1420490.8552455204</v>
      </c>
      <c r="Z357" s="54">
        <v>4004130.3263320662</v>
      </c>
      <c r="AA357" s="54">
        <f t="shared" si="58"/>
        <v>8123572.3626499297</v>
      </c>
      <c r="AC357" s="55">
        <v>99</v>
      </c>
      <c r="AD357" s="54">
        <f t="shared" si="59"/>
        <v>109793.40696562892</v>
      </c>
      <c r="AE357" s="54">
        <f t="shared" si="60"/>
        <v>147129.94515332254</v>
      </c>
      <c r="AF357" s="54">
        <f t="shared" si="61"/>
        <v>188815.74971438182</v>
      </c>
      <c r="AG357" s="54">
        <f t="shared" si="62"/>
        <v>230228.73382668188</v>
      </c>
      <c r="AH357" s="54">
        <f t="shared" si="63"/>
        <v>320214.83964307746</v>
      </c>
      <c r="AI357" s="54">
        <f t="shared" si="64"/>
        <v>371821.93012639612</v>
      </c>
      <c r="AJ357" s="54">
        <f t="shared" si="65"/>
        <v>567620.51150361041</v>
      </c>
      <c r="AK357" s="54">
        <f t="shared" si="66"/>
        <v>847486.23428051861</v>
      </c>
      <c r="AL357" s="54">
        <f t="shared" si="67"/>
        <v>2241647.3045964506</v>
      </c>
      <c r="AM357" s="54">
        <f t="shared" si="68"/>
        <v>5024758.6558100684</v>
      </c>
    </row>
    <row r="358" spans="17:39" x14ac:dyDescent="0.25">
      <c r="Q358" s="55">
        <v>100</v>
      </c>
      <c r="R358" s="54">
        <v>66812.824151087552</v>
      </c>
      <c r="S358" s="54">
        <v>123238.68709165044</v>
      </c>
      <c r="T358" s="54">
        <v>203177.03775130957</v>
      </c>
      <c r="U358" s="54">
        <v>283130.53357929923</v>
      </c>
      <c r="V358" s="54">
        <v>424725.7196559906</v>
      </c>
      <c r="W358" s="54">
        <v>636366.05962033942</v>
      </c>
      <c r="X358" s="54">
        <v>872953.8152534496</v>
      </c>
      <c r="Y358" s="54">
        <v>1520497.835346533</v>
      </c>
      <c r="Z358" s="54">
        <v>4127444.9680291135</v>
      </c>
      <c r="AA358" s="54">
        <f t="shared" si="58"/>
        <v>8258347.4804787729</v>
      </c>
      <c r="AC358" s="55">
        <v>100</v>
      </c>
      <c r="AD358" s="54">
        <f t="shared" si="59"/>
        <v>62793.417497098293</v>
      </c>
      <c r="AE358" s="54">
        <f t="shared" si="60"/>
        <v>108446.70409696351</v>
      </c>
      <c r="AF358" s="54">
        <f t="shared" si="61"/>
        <v>167166.55131022146</v>
      </c>
      <c r="AG358" s="54">
        <f t="shared" si="62"/>
        <v>218021.28718602634</v>
      </c>
      <c r="AH358" s="54">
        <f t="shared" si="63"/>
        <v>306472.27754254697</v>
      </c>
      <c r="AI358" s="54">
        <f t="shared" si="64"/>
        <v>430708.33470569289</v>
      </c>
      <c r="AJ358" s="54">
        <f t="shared" si="65"/>
        <v>554676.51683246926</v>
      </c>
      <c r="AK358" s="54">
        <f t="shared" si="66"/>
        <v>907151.90453428787</v>
      </c>
      <c r="AL358" s="54">
        <f t="shared" si="67"/>
        <v>2310683.0031499197</v>
      </c>
      <c r="AM358" s="54">
        <f t="shared" si="68"/>
        <v>5066119.9968552263</v>
      </c>
    </row>
    <row r="359" spans="17:39" x14ac:dyDescent="0.25">
      <c r="Q359" s="53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</row>
  </sheetData>
  <mergeCells count="2">
    <mergeCell ref="R257:AA257"/>
    <mergeCell ref="AD257:AM25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1ACCA-C2F4-480E-AF08-B5CBA33B55A5}">
  <sheetPr codeName="Arkusz11"/>
  <dimension ref="B1:H45"/>
  <sheetViews>
    <sheetView topLeftCell="A15" zoomScale="85" zoomScaleNormal="85" workbookViewId="0">
      <selection activeCell="H45" sqref="H45"/>
    </sheetView>
  </sheetViews>
  <sheetFormatPr defaultRowHeight="15" x14ac:dyDescent="0.25"/>
  <cols>
    <col min="2" max="2" width="24" bestFit="1" customWidth="1"/>
    <col min="3" max="3" width="24.7109375" bestFit="1" customWidth="1"/>
    <col min="4" max="4" width="15.5703125" bestFit="1" customWidth="1"/>
    <col min="5" max="5" width="20" bestFit="1" customWidth="1"/>
    <col min="6" max="6" width="21" bestFit="1" customWidth="1"/>
    <col min="7" max="7" width="15.5703125" bestFit="1" customWidth="1"/>
    <col min="8" max="8" width="15.140625" bestFit="1" customWidth="1"/>
  </cols>
  <sheetData>
    <row r="1" spans="2:8" x14ac:dyDescent="0.25">
      <c r="C1" s="4" t="s">
        <v>106</v>
      </c>
    </row>
    <row r="2" spans="2:8" x14ac:dyDescent="0.25">
      <c r="B2" t="s">
        <v>17</v>
      </c>
    </row>
    <row r="3" spans="2:8" x14ac:dyDescent="0.25">
      <c r="D3" t="s">
        <v>107</v>
      </c>
    </row>
    <row r="4" spans="2:8" x14ac:dyDescent="0.25">
      <c r="B4" s="65" t="s">
        <v>108</v>
      </c>
      <c r="C4" s="65" t="s">
        <v>99</v>
      </c>
      <c r="D4" s="65" t="s">
        <v>109</v>
      </c>
      <c r="E4" s="65" t="s">
        <v>110</v>
      </c>
      <c r="F4" s="65" t="s">
        <v>111</v>
      </c>
      <c r="G4" s="65" t="s">
        <v>112</v>
      </c>
      <c r="H4" s="65" t="s">
        <v>113</v>
      </c>
    </row>
    <row r="5" spans="2:8" x14ac:dyDescent="0.25">
      <c r="B5">
        <v>1</v>
      </c>
      <c r="C5">
        <v>0.93984079097000972</v>
      </c>
      <c r="D5" s="19">
        <f>'Chain-Ladder'!L5*C5</f>
        <v>160086.21674614088</v>
      </c>
      <c r="E5" s="19">
        <f>'Munich Chain-Ladder'!L5*C5</f>
        <v>160124.05442220415</v>
      </c>
      <c r="F5" s="13">
        <f>'Bornhuetter-Ferguson'!X5*C5</f>
        <v>146068.83259303233</v>
      </c>
      <c r="G5" s="7">
        <f>'Cape-Cod'!Z5*C5</f>
        <v>177062.59844267005</v>
      </c>
      <c r="H5" s="6">
        <f>Bootstrap_GTPL!C261</f>
        <v>164594.35326709674</v>
      </c>
    </row>
    <row r="6" spans="2:8" x14ac:dyDescent="0.25">
      <c r="B6">
        <v>2</v>
      </c>
      <c r="C6">
        <v>0.87997289370921006</v>
      </c>
      <c r="D6" s="19">
        <f>'Chain-Ladder'!L6*C6</f>
        <v>333552.41998989903</v>
      </c>
      <c r="E6" s="19">
        <f>'Munich Chain-Ladder'!L6*C6</f>
        <v>363403.34285774792</v>
      </c>
      <c r="F6" s="13">
        <f>'Bornhuetter-Ferguson'!X6*C6</f>
        <v>301377.87381929631</v>
      </c>
      <c r="G6" s="7">
        <f>'Cape-Cod'!Z6*C6</f>
        <v>365326.04871463409</v>
      </c>
      <c r="H6" s="6">
        <f>Bootstrap_GTPL!D261</f>
        <v>345368.15514130908</v>
      </c>
    </row>
    <row r="7" spans="2:8" x14ac:dyDescent="0.25">
      <c r="B7">
        <v>3</v>
      </c>
      <c r="C7">
        <v>0.82276301082228964</v>
      </c>
      <c r="D7" s="19">
        <f>'Chain-Ladder'!L7*C7</f>
        <v>653064.7343693726</v>
      </c>
      <c r="E7" s="19">
        <f>'Munich Chain-Ladder'!L7*C7</f>
        <v>676520.57446914515</v>
      </c>
      <c r="F7" s="13">
        <f>'Bornhuetter-Ferguson'!X7*C7</f>
        <v>457930.21534811688</v>
      </c>
      <c r="G7" s="7">
        <f>'Cape-Cod'!Z7*C7</f>
        <v>555096.61024577019</v>
      </c>
      <c r="H7" s="6">
        <f>Bootstrap_GTPL!E261</f>
        <v>686803.74652895692</v>
      </c>
    </row>
    <row r="8" spans="2:8" x14ac:dyDescent="0.25">
      <c r="B8">
        <v>4</v>
      </c>
      <c r="C8">
        <v>0.77003806134869912</v>
      </c>
      <c r="D8" s="19">
        <f>'Chain-Ladder'!L8*C8</f>
        <v>777362.88846290263</v>
      </c>
      <c r="E8" s="19">
        <f>'Munich Chain-Ladder'!L8*C8</f>
        <v>809336.09149527701</v>
      </c>
      <c r="F8" s="13">
        <f>'Bornhuetter-Ferguson'!X8*C8</f>
        <v>639921.85055553983</v>
      </c>
      <c r="G8" s="7">
        <f>'Cape-Cod'!Z8*C8</f>
        <v>775704.3282141682</v>
      </c>
      <c r="H8" s="6">
        <f>Bootstrap_GTPL!F261</f>
        <v>810499.73384637397</v>
      </c>
    </row>
    <row r="9" spans="2:8" x14ac:dyDescent="0.25">
      <c r="B9">
        <v>5</v>
      </c>
      <c r="C9">
        <v>0.72157692213877744</v>
      </c>
      <c r="D9" s="19">
        <f>'Chain-Ladder'!L9*C9</f>
        <v>1108096.2309519972</v>
      </c>
      <c r="E9" s="19">
        <f>'Munich Chain-Ladder'!L9*C9</f>
        <v>1117659.8034905898</v>
      </c>
      <c r="F9" s="13">
        <f>'Bornhuetter-Ferguson'!X9*C9</f>
        <v>851128.95853727555</v>
      </c>
      <c r="G9" s="7">
        <f>'Cape-Cod'!Z9*C9</f>
        <v>1031726.6341704335</v>
      </c>
      <c r="H9" s="6">
        <f>Bootstrap_GTPL!G261</f>
        <v>1127614.7225078554</v>
      </c>
    </row>
    <row r="10" spans="2:8" x14ac:dyDescent="0.25">
      <c r="B10">
        <v>6</v>
      </c>
      <c r="C10">
        <v>0.67682480577712867</v>
      </c>
      <c r="D10" s="19">
        <f>'Chain-Ladder'!L10*C10</f>
        <v>1511989.500487858</v>
      </c>
      <c r="E10" s="19">
        <f>'Munich Chain-Ladder'!L10*C10</f>
        <v>1510494.4019491889</v>
      </c>
      <c r="F10" s="13">
        <f>'Bornhuetter-Ferguson'!X10*C10</f>
        <v>1148988.3471071955</v>
      </c>
      <c r="G10" s="7">
        <f>'Cape-Cod'!Z10*C10</f>
        <v>1392787.6242152795</v>
      </c>
      <c r="H10" s="6">
        <f>Bootstrap_GTPL!H261</f>
        <v>1521781.2742807376</v>
      </c>
    </row>
    <row r="11" spans="2:8" x14ac:dyDescent="0.25">
      <c r="B11">
        <v>7</v>
      </c>
      <c r="C11">
        <v>0.63540190459151258</v>
      </c>
      <c r="D11" s="19">
        <f>'Chain-Ladder'!L11*C11</f>
        <v>2022139.0818291034</v>
      </c>
      <c r="E11" s="19">
        <f>'Munich Chain-Ladder'!L11*C11</f>
        <v>1980224.6643125671</v>
      </c>
      <c r="F11" s="13">
        <f>'Bornhuetter-Ferguson'!X11*C11</f>
        <v>1595221.9228500798</v>
      </c>
      <c r="G11" s="7">
        <f>'Cape-Cod'!Z11*C11</f>
        <v>1933705.7313212312</v>
      </c>
      <c r="H11" s="6">
        <f>Bootstrap_GTPL!I261</f>
        <v>2056976.673708139</v>
      </c>
    </row>
    <row r="12" spans="2:8" x14ac:dyDescent="0.25">
      <c r="B12">
        <v>8</v>
      </c>
      <c r="C12">
        <v>0.59661505820397376</v>
      </c>
      <c r="D12" s="19">
        <f>'Chain-Ladder'!L12*C12</f>
        <v>2150196.0245112581</v>
      </c>
      <c r="E12" s="19">
        <f>'Munich Chain-Ladder'!L12*C12</f>
        <v>2092926.494197781</v>
      </c>
      <c r="F12" s="13">
        <f>'Bornhuetter-Ferguson'!X12*C12</f>
        <v>1678827.2948289695</v>
      </c>
      <c r="G12" s="7">
        <f>'Cape-Cod'!Z12*C12</f>
        <v>2035050.995355705</v>
      </c>
      <c r="H12" s="6">
        <f>Bootstrap_GTPL!J261</f>
        <v>2194039.7785876528</v>
      </c>
    </row>
    <row r="13" spans="2:8" x14ac:dyDescent="0.25">
      <c r="B13">
        <v>9</v>
      </c>
      <c r="C13">
        <v>0.55983375212711517</v>
      </c>
      <c r="D13" s="19">
        <f>'Chain-Ladder'!L13*C13</f>
        <v>2715906.3930353164</v>
      </c>
      <c r="E13" s="19">
        <f>'Munich Chain-Ladder'!L13*C13</f>
        <v>2508820.7385401232</v>
      </c>
      <c r="F13" s="13">
        <f>'Bornhuetter-Ferguson'!X13*C13</f>
        <v>2213059.4297121461</v>
      </c>
      <c r="G13" s="7">
        <f>'Cape-Cod'!Z13*C13</f>
        <v>2682639.7266050195</v>
      </c>
      <c r="H13" s="6">
        <f>Bootstrap_GTPL!K261</f>
        <v>2742048.6707326989</v>
      </c>
    </row>
    <row r="14" spans="2:8" x14ac:dyDescent="0.25">
      <c r="B14" s="62" t="s">
        <v>114</v>
      </c>
      <c r="C14" s="62"/>
      <c r="D14" s="63">
        <f>SUM(D5:D13)</f>
        <v>11432393.490383849</v>
      </c>
      <c r="E14" s="63">
        <f>SUM(E5:E13)</f>
        <v>11219510.165734623</v>
      </c>
      <c r="F14" s="63">
        <f>SUM(F5:F13)</f>
        <v>9032524.7253516521</v>
      </c>
      <c r="G14" s="63">
        <f>SUM(G5:G13)</f>
        <v>10949100.297284912</v>
      </c>
      <c r="H14" s="63">
        <f>SUM(H5:H13)</f>
        <v>11649727.108600821</v>
      </c>
    </row>
    <row r="15" spans="2:8" x14ac:dyDescent="0.25">
      <c r="D15" s="73"/>
      <c r="E15" s="73"/>
      <c r="F15" s="73"/>
      <c r="G15" s="73"/>
      <c r="H15" s="73"/>
    </row>
    <row r="17" spans="2:8" x14ac:dyDescent="0.25">
      <c r="B17" t="s">
        <v>19</v>
      </c>
    </row>
    <row r="18" spans="2:8" x14ac:dyDescent="0.25">
      <c r="D18" t="s">
        <v>107</v>
      </c>
    </row>
    <row r="19" spans="2:8" x14ac:dyDescent="0.25">
      <c r="B19" s="65" t="s">
        <v>108</v>
      </c>
      <c r="C19" s="65"/>
      <c r="D19" s="65" t="s">
        <v>109</v>
      </c>
      <c r="E19" s="65" t="s">
        <v>110</v>
      </c>
      <c r="F19" s="65" t="s">
        <v>111</v>
      </c>
      <c r="G19" s="65" t="s">
        <v>112</v>
      </c>
      <c r="H19" s="65" t="s">
        <v>113</v>
      </c>
    </row>
    <row r="20" spans="2:8" x14ac:dyDescent="0.25">
      <c r="B20">
        <v>1</v>
      </c>
      <c r="C20">
        <v>0.93984079097000972</v>
      </c>
      <c r="D20" s="19">
        <f>'Chain-Ladder'!L24*C20</f>
        <v>-397.60970395029722</v>
      </c>
      <c r="E20" s="19">
        <f>'Munich Chain-Ladder'!L24*C20</f>
        <v>-362.45767019734672</v>
      </c>
      <c r="F20" s="13">
        <f>'Bornhuetter-Ferguson'!X24*C20</f>
        <v>-1214.8230318334531</v>
      </c>
      <c r="G20" s="7">
        <f>'Cape-Cod'!Z20*C20</f>
        <v>-396.87208779877943</v>
      </c>
      <c r="H20" s="6">
        <f>Bootstrap_MH!C261</f>
        <v>-384.8427443776456</v>
      </c>
    </row>
    <row r="21" spans="2:8" x14ac:dyDescent="0.25">
      <c r="B21">
        <v>2</v>
      </c>
      <c r="C21">
        <v>0.87997289370921006</v>
      </c>
      <c r="D21" s="19">
        <f>'Chain-Ladder'!L25*C21</f>
        <v>-930.99497883704555</v>
      </c>
      <c r="E21" s="19">
        <f>'Munich Chain-Ladder'!L25*C21</f>
        <v>-887.75671270287467</v>
      </c>
      <c r="F21" s="13">
        <f>'Bornhuetter-Ferguson'!X25*C21</f>
        <v>-2867.6373335964745</v>
      </c>
      <c r="G21" s="7">
        <f>'Cape-Cod'!Z21*C21</f>
        <v>-936.83210295819481</v>
      </c>
      <c r="H21" s="6">
        <f>Bootstrap_MH!D261</f>
        <v>-1050.2483493453897</v>
      </c>
    </row>
    <row r="22" spans="2:8" x14ac:dyDescent="0.25">
      <c r="B22">
        <v>3</v>
      </c>
      <c r="C22">
        <v>0.82276301082228964</v>
      </c>
      <c r="D22" s="19">
        <f>'Chain-Ladder'!L26*C22</f>
        <v>-1615.7934168766851</v>
      </c>
      <c r="E22" s="19">
        <f>'Munich Chain-Ladder'!L26*C22</f>
        <v>-1470.5090911272002</v>
      </c>
      <c r="F22" s="13">
        <f>'Bornhuetter-Ferguson'!X26*C22</f>
        <v>-4977.6698924697694</v>
      </c>
      <c r="G22" s="7">
        <f>'Cape-Cod'!Z22*C22</f>
        <v>-1626.1613344760206</v>
      </c>
      <c r="H22" s="6">
        <f>Bootstrap_MH!E261</f>
        <v>-1743.503775218516</v>
      </c>
    </row>
    <row r="23" spans="2:8" x14ac:dyDescent="0.25">
      <c r="B23">
        <v>4</v>
      </c>
      <c r="C23">
        <v>0.77003806134869912</v>
      </c>
      <c r="D23" s="19">
        <f>'Chain-Ladder'!L27*C23</f>
        <v>-2210.6093476173287</v>
      </c>
      <c r="E23" s="19">
        <f>'Munich Chain-Ladder'!L27*C23</f>
        <v>-1896.2493805269182</v>
      </c>
      <c r="F23" s="13">
        <f>'Bornhuetter-Ferguson'!X27*C23</f>
        <v>-6657.4056241984445</v>
      </c>
      <c r="G23" s="7">
        <f>'Cape-Cod'!Z23*C23</f>
        <v>-2174.9163459731676</v>
      </c>
      <c r="H23" s="6">
        <f>Bootstrap_MH!F261</f>
        <v>-2362.7516482343181</v>
      </c>
    </row>
    <row r="24" spans="2:8" x14ac:dyDescent="0.25">
      <c r="B24">
        <v>5</v>
      </c>
      <c r="C24">
        <v>0.72157692213877744</v>
      </c>
      <c r="D24" s="19">
        <f>'Chain-Ladder'!L28*C24</f>
        <v>-3523.3042271314212</v>
      </c>
      <c r="E24" s="19">
        <f>'Munich Chain-Ladder'!L28*C24</f>
        <v>-2810.0768994191476</v>
      </c>
      <c r="F24" s="13">
        <f>'Bornhuetter-Ferguson'!X28*C24</f>
        <v>-10472.143439201283</v>
      </c>
      <c r="G24" s="7">
        <f>'Cape-Cod'!Z24*C24</f>
        <v>-3421.1579148054434</v>
      </c>
      <c r="H24" s="6">
        <f>Bootstrap_MH!G261</f>
        <v>-3668.9243914310609</v>
      </c>
    </row>
    <row r="25" spans="2:8" x14ac:dyDescent="0.25">
      <c r="B25">
        <v>6</v>
      </c>
      <c r="C25">
        <v>0.67682480577712867</v>
      </c>
      <c r="D25" s="19">
        <f>'Chain-Ladder'!L29*C25</f>
        <v>-3647.8727311889265</v>
      </c>
      <c r="E25" s="19">
        <f>'Munich Chain-Ladder'!L29*C25</f>
        <v>-3272.8672253375521</v>
      </c>
      <c r="F25" s="13">
        <f>'Bornhuetter-Ferguson'!X29*C25</f>
        <v>-11043.940335509093</v>
      </c>
      <c r="G25" s="7">
        <f>'Cape-Cod'!Z25*C25</f>
        <v>-3607.9589731392239</v>
      </c>
      <c r="H25" s="6">
        <f>Bootstrap_MH!H261</f>
        <v>-3803.7682630617533</v>
      </c>
    </row>
    <row r="26" spans="2:8" x14ac:dyDescent="0.25">
      <c r="B26">
        <v>7</v>
      </c>
      <c r="C26">
        <v>0.63540190459151258</v>
      </c>
      <c r="D26" s="19">
        <f>'Chain-Ladder'!L30*C26</f>
        <v>3159.3261121620953</v>
      </c>
      <c r="E26" s="19">
        <f>'Munich Chain-Ladder'!L30*C26</f>
        <v>2167.9503498495696</v>
      </c>
      <c r="F26" s="13">
        <f>'Bornhuetter-Ferguson'!X30*C26</f>
        <v>9807.0613029632423</v>
      </c>
      <c r="G26" s="7">
        <f>'Cape-Cod'!Z26*C26</f>
        <v>3203.8813822986431</v>
      </c>
      <c r="H26" s="6">
        <f>Bootstrap_MH!I261</f>
        <v>2894.0917884278042</v>
      </c>
    </row>
    <row r="27" spans="2:8" x14ac:dyDescent="0.25">
      <c r="B27">
        <v>8</v>
      </c>
      <c r="C27">
        <v>0.59661505820397376</v>
      </c>
      <c r="D27" s="19">
        <f>'Chain-Ladder'!L31*C27</f>
        <v>38474.034881208107</v>
      </c>
      <c r="E27" s="19">
        <f>'Munich Chain-Ladder'!L31*C27</f>
        <v>41350.018625589932</v>
      </c>
      <c r="F27" s="13">
        <f>'Bornhuetter-Ferguson'!X31*C27</f>
        <v>120846.40222334389</v>
      </c>
      <c r="G27" s="7">
        <f>'Cape-Cod'!Z27*C27</f>
        <v>39479.465483114313</v>
      </c>
      <c r="H27" s="6">
        <f>Bootstrap_MH!J261</f>
        <v>38807.590385026422</v>
      </c>
    </row>
    <row r="28" spans="2:8" x14ac:dyDescent="0.25">
      <c r="B28">
        <v>9</v>
      </c>
      <c r="C28">
        <v>0.55983375212711517</v>
      </c>
      <c r="D28" s="19">
        <f>'Chain-Ladder'!L32*C28</f>
        <v>809917.74807507452</v>
      </c>
      <c r="E28" s="19">
        <f>'Munich Chain-Ladder'!L32*C28</f>
        <v>772959.8079522585</v>
      </c>
      <c r="F28" s="13">
        <f>'Bornhuetter-Ferguson'!X32*C28</f>
        <v>2479232.7828403837</v>
      </c>
      <c r="G28" s="7">
        <f>'Cape-Cod'!Z28*C28</f>
        <v>809943.72421494813</v>
      </c>
      <c r="H28" s="6">
        <f>Bootstrap_MH!K261</f>
        <v>805357.15968049702</v>
      </c>
    </row>
    <row r="29" spans="2:8" x14ac:dyDescent="0.25">
      <c r="B29" s="62" t="s">
        <v>114</v>
      </c>
      <c r="C29" s="62"/>
      <c r="D29" s="63">
        <f>SUM(D20:D28)</f>
        <v>839224.924662843</v>
      </c>
      <c r="E29" s="63">
        <f>SUM(E20:E28)</f>
        <v>805777.8599483869</v>
      </c>
      <c r="F29" s="64">
        <f>SUM(F20:F28)</f>
        <v>2572652.6267098822</v>
      </c>
      <c r="G29" s="64">
        <f>SUM(G20:G28)</f>
        <v>840463.17232121027</v>
      </c>
      <c r="H29" s="63">
        <f>SUM(H20:H28)</f>
        <v>834044.80268228252</v>
      </c>
    </row>
    <row r="30" spans="2:8" x14ac:dyDescent="0.25">
      <c r="D30" s="73"/>
      <c r="H30" s="73"/>
    </row>
    <row r="32" spans="2:8" x14ac:dyDescent="0.25">
      <c r="B32" t="s">
        <v>18</v>
      </c>
    </row>
    <row r="33" spans="2:8" x14ac:dyDescent="0.25">
      <c r="D33" t="s">
        <v>107</v>
      </c>
    </row>
    <row r="34" spans="2:8" x14ac:dyDescent="0.25">
      <c r="B34" s="65" t="s">
        <v>108</v>
      </c>
      <c r="C34" s="65"/>
      <c r="D34" s="65" t="s">
        <v>109</v>
      </c>
      <c r="E34" s="65" t="s">
        <v>110</v>
      </c>
      <c r="F34" s="65" t="s">
        <v>111</v>
      </c>
      <c r="G34" s="65" t="s">
        <v>112</v>
      </c>
      <c r="H34" s="65" t="s">
        <v>113</v>
      </c>
    </row>
    <row r="35" spans="2:8" x14ac:dyDescent="0.25">
      <c r="B35">
        <v>1</v>
      </c>
      <c r="C35">
        <v>0.93984079097000972</v>
      </c>
      <c r="D35" s="19">
        <f>'Chain-Ladder'!L43*C35</f>
        <v>82539.569987965951</v>
      </c>
      <c r="E35" s="19">
        <f>'Munich Chain-Ladder'!L44*C35</f>
        <v>82457.677139287436</v>
      </c>
      <c r="F35" s="13">
        <f>'Bornhuetter-Ferguson'!X43*C35</f>
        <v>179716.35419776896</v>
      </c>
      <c r="G35" s="7">
        <f>'Cape-Cod'!Z35*C35</f>
        <v>83469.222545054276</v>
      </c>
      <c r="H35" s="6">
        <f>Bootstrap_MTPL!C261</f>
        <v>83826.203253034182</v>
      </c>
    </row>
    <row r="36" spans="2:8" x14ac:dyDescent="0.25">
      <c r="B36">
        <v>2</v>
      </c>
      <c r="C36">
        <v>0.87997289370921006</v>
      </c>
      <c r="D36" s="19">
        <f>'Chain-Ladder'!L44*C36</f>
        <v>129045.89134433308</v>
      </c>
      <c r="E36" s="19">
        <f>'Munich Chain-Ladder'!L45*C36</f>
        <v>132780.68065982489</v>
      </c>
      <c r="F36" s="13">
        <f>'Bornhuetter-Ferguson'!X44*C36</f>
        <v>277549.78581681644</v>
      </c>
      <c r="G36" s="7">
        <f>'Cape-Cod'!Z36*C36</f>
        <v>128907.9390859563</v>
      </c>
      <c r="H36" s="6">
        <f>Bootstrap_MTPL!D261</f>
        <v>128852.60397662973</v>
      </c>
    </row>
    <row r="37" spans="2:8" x14ac:dyDescent="0.25">
      <c r="B37">
        <v>3</v>
      </c>
      <c r="C37">
        <v>0.82276301082228964</v>
      </c>
      <c r="D37" s="19">
        <f>'Chain-Ladder'!L45*C37</f>
        <v>176529.44565695632</v>
      </c>
      <c r="E37" s="19">
        <f>'Munich Chain-Ladder'!L46*C37</f>
        <v>186305.18015949047</v>
      </c>
      <c r="F37" s="13">
        <f>'Bornhuetter-Ferguson'!X45*C37</f>
        <v>370954.04344303324</v>
      </c>
      <c r="G37" s="7">
        <f>'Cape-Cod'!Z37*C37</f>
        <v>172289.52670640528</v>
      </c>
      <c r="H37" s="6">
        <f>Bootstrap_MTPL!E261</f>
        <v>177973.6135473217</v>
      </c>
    </row>
    <row r="38" spans="2:8" x14ac:dyDescent="0.25">
      <c r="B38">
        <v>4</v>
      </c>
      <c r="C38">
        <v>0.77003806134869912</v>
      </c>
      <c r="D38" s="19">
        <f>'Chain-Ladder'!L46*C38</f>
        <v>227164.34534108971</v>
      </c>
      <c r="E38" s="19">
        <f>'Munich Chain-Ladder'!L47*C38</f>
        <v>238800.62966137563</v>
      </c>
      <c r="F38" s="13">
        <f>'Bornhuetter-Ferguson'!X46*C38</f>
        <v>471458.13462920091</v>
      </c>
      <c r="G38" s="7">
        <f>'Cape-Cod'!Z38*C38</f>
        <v>218968.63051615123</v>
      </c>
      <c r="H38" s="6">
        <f>Bootstrap_MTPL!F261</f>
        <v>228236.52224772368</v>
      </c>
    </row>
    <row r="39" spans="2:8" x14ac:dyDescent="0.25">
      <c r="B39">
        <v>5</v>
      </c>
      <c r="C39">
        <v>0.72157692213877744</v>
      </c>
      <c r="D39" s="19">
        <f>'Chain-Ladder'!L47*C39</f>
        <v>311636.35370692576</v>
      </c>
      <c r="E39" s="19">
        <f>'Munich Chain-Ladder'!L48*C39</f>
        <v>327300.69580002461</v>
      </c>
      <c r="F39" s="13">
        <f>'Bornhuetter-Ferguson'!X47*C39</f>
        <v>653276.11156389245</v>
      </c>
      <c r="G39" s="7">
        <f>'Cape-Cod'!Z39*C39</f>
        <v>303413.951295098</v>
      </c>
      <c r="H39" s="6">
        <f>Bootstrap_MTPL!G261</f>
        <v>314696.78072625503</v>
      </c>
    </row>
    <row r="40" spans="2:8" x14ac:dyDescent="0.25">
      <c r="B40">
        <v>6</v>
      </c>
      <c r="C40">
        <v>0.67682480577712867</v>
      </c>
      <c r="D40" s="19">
        <f>'Chain-Ladder'!L48*C40</f>
        <v>431468.66746533278</v>
      </c>
      <c r="E40" s="19">
        <f>'Munich Chain-Ladder'!L49*C40</f>
        <v>435500.68372475338</v>
      </c>
      <c r="F40" s="13">
        <f>'Bornhuetter-Ferguson'!X48*C40</f>
        <v>939821.70632862963</v>
      </c>
      <c r="G40" s="7">
        <f>'Cape-Cod'!Z40*C40</f>
        <v>436499.99193668878</v>
      </c>
      <c r="H40" s="6">
        <f>Bootstrap_MTPL!H261</f>
        <v>434159.04774696118</v>
      </c>
    </row>
    <row r="41" spans="2:8" x14ac:dyDescent="0.25">
      <c r="B41">
        <v>7</v>
      </c>
      <c r="C41">
        <v>0.63540190459151258</v>
      </c>
      <c r="D41" s="19">
        <f>'Chain-Ladder'!L49*C41</f>
        <v>586938.84740672284</v>
      </c>
      <c r="E41" s="19">
        <f>'Munich Chain-Ladder'!L50*C41</f>
        <v>585418.27512287244</v>
      </c>
      <c r="F41" s="13">
        <f>'Bornhuetter-Ferguson'!X49*C41</f>
        <v>1312710.3813665963</v>
      </c>
      <c r="G41" s="7">
        <f>'Cape-Cod'!Z41*C41</f>
        <v>609688.05787654966</v>
      </c>
      <c r="H41" s="6">
        <f>Bootstrap_MTPL!I261</f>
        <v>587068.17378932924</v>
      </c>
    </row>
    <row r="42" spans="2:8" x14ac:dyDescent="0.25">
      <c r="B42">
        <v>8</v>
      </c>
      <c r="C42">
        <v>0.59661505820397376</v>
      </c>
      <c r="D42" s="19">
        <f>'Chain-Ladder'!L50*C42</f>
        <v>867084.75942273822</v>
      </c>
      <c r="E42" s="19">
        <f>'Munich Chain-Ladder'!L51*C42</f>
        <v>866568.63855994656</v>
      </c>
      <c r="F42" s="13">
        <f>'Bornhuetter-Ferguson'!X50*C42</f>
        <v>1954136.3130238459</v>
      </c>
      <c r="G42" s="7">
        <f>'Cape-Cod'!Z42*C42</f>
        <v>907598.19563034875</v>
      </c>
      <c r="H42" s="6">
        <f>Bootstrap_MTPL!J261</f>
        <v>869873.09133404447</v>
      </c>
    </row>
    <row r="43" spans="2:8" x14ac:dyDescent="0.25">
      <c r="B43">
        <v>9</v>
      </c>
      <c r="C43">
        <v>0.55983375212711517</v>
      </c>
      <c r="D43" s="19">
        <f>'Chain-Ladder'!L51*C43</f>
        <v>2195494.3111453629</v>
      </c>
      <c r="E43" s="19">
        <f>'Munich Chain-Ladder'!L52*C43</f>
        <v>2067688.8969530293</v>
      </c>
      <c r="F43" s="13">
        <f>'Bornhuetter-Ferguson'!X51*C43</f>
        <v>4731695.3691806644</v>
      </c>
      <c r="G43" s="7">
        <f>'Cape-Cod'!Z43*C43</f>
        <v>2197634.9094580505</v>
      </c>
      <c r="H43" s="6">
        <f>Bootstrap_MTPL!K261</f>
        <v>2191060.1287146728</v>
      </c>
    </row>
    <row r="44" spans="2:8" x14ac:dyDescent="0.25">
      <c r="B44" s="62" t="s">
        <v>114</v>
      </c>
      <c r="C44" s="62"/>
      <c r="D44" s="63">
        <f>SUM(D35:D43)</f>
        <v>5007902.1914774273</v>
      </c>
      <c r="E44" s="63">
        <f>SUM(E35:E43)</f>
        <v>4922821.3577806046</v>
      </c>
      <c r="F44" s="64">
        <f>SUM(F35:F43)</f>
        <v>10891318.199550448</v>
      </c>
      <c r="G44" s="64">
        <f>SUM(G35:G43)</f>
        <v>5058470.4250503033</v>
      </c>
      <c r="H44" s="63">
        <f>SUM(H35:H43)</f>
        <v>5015746.1653359719</v>
      </c>
    </row>
    <row r="45" spans="2:8" x14ac:dyDescent="0.25">
      <c r="H45" s="73">
        <f>ABS((H44-$D$44)/H44)</f>
        <v>1.5638697812809248E-3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9FED5-D5A7-4FEC-B7C8-04FD9F559327}">
  <sheetPr codeName="Arkusz12"/>
  <dimension ref="B2:C17"/>
  <sheetViews>
    <sheetView topLeftCell="A4" workbookViewId="0">
      <selection activeCell="F14" sqref="F14"/>
    </sheetView>
  </sheetViews>
  <sheetFormatPr defaultRowHeight="15" x14ac:dyDescent="0.25"/>
  <sheetData>
    <row r="2" spans="2:3" x14ac:dyDescent="0.25">
      <c r="B2" t="s">
        <v>97</v>
      </c>
      <c r="C2" t="s">
        <v>98</v>
      </c>
    </row>
    <row r="3" spans="2:3" x14ac:dyDescent="0.25">
      <c r="B3">
        <v>1</v>
      </c>
      <c r="C3" s="15">
        <v>6.4009999999999997E-2</v>
      </c>
    </row>
    <row r="4" spans="2:3" x14ac:dyDescent="0.25">
      <c r="B4">
        <v>2</v>
      </c>
      <c r="C4" s="15">
        <v>6.6019999999999995E-2</v>
      </c>
    </row>
    <row r="5" spans="2:3" x14ac:dyDescent="0.25">
      <c r="B5">
        <v>3</v>
      </c>
      <c r="C5" s="15">
        <v>6.719E-2</v>
      </c>
    </row>
    <row r="6" spans="2:3" x14ac:dyDescent="0.25">
      <c r="B6">
        <v>4</v>
      </c>
      <c r="C6" s="15">
        <v>6.7510000000000001E-2</v>
      </c>
    </row>
    <row r="7" spans="2:3" x14ac:dyDescent="0.25">
      <c r="B7">
        <v>5</v>
      </c>
      <c r="C7" s="16">
        <v>6.744E-2</v>
      </c>
    </row>
    <row r="8" spans="2:3" x14ac:dyDescent="0.25">
      <c r="B8">
        <v>6</v>
      </c>
      <c r="C8" s="15">
        <v>6.7220000000000002E-2</v>
      </c>
    </row>
    <row r="9" spans="2:3" x14ac:dyDescent="0.25">
      <c r="B9">
        <v>7</v>
      </c>
      <c r="C9" s="15">
        <v>6.6930000000000003E-2</v>
      </c>
    </row>
    <row r="10" spans="2:3" x14ac:dyDescent="0.25">
      <c r="B10">
        <v>8</v>
      </c>
      <c r="C10" s="15">
        <v>6.6689999999999999E-2</v>
      </c>
    </row>
    <row r="11" spans="2:3" x14ac:dyDescent="0.25">
      <c r="B11">
        <v>9</v>
      </c>
      <c r="C11" s="15">
        <v>6.658E-2</v>
      </c>
    </row>
    <row r="12" spans="2:3" x14ac:dyDescent="0.25">
      <c r="B12">
        <v>10</v>
      </c>
      <c r="C12" s="16">
        <v>6.6479999999999997E-2</v>
      </c>
    </row>
    <row r="13" spans="2:3" x14ac:dyDescent="0.25">
      <c r="B13">
        <v>11</v>
      </c>
      <c r="C13" s="15">
        <v>6.6210000000000005E-2</v>
      </c>
    </row>
    <row r="14" spans="2:3" x14ac:dyDescent="0.25">
      <c r="B14">
        <v>12</v>
      </c>
      <c r="C14" s="15">
        <v>6.5759999999999999E-2</v>
      </c>
    </row>
    <row r="15" spans="2:3" x14ac:dyDescent="0.25">
      <c r="B15">
        <v>13</v>
      </c>
      <c r="C15" s="15">
        <v>6.5189999999999998E-2</v>
      </c>
    </row>
    <row r="16" spans="2:3" x14ac:dyDescent="0.25">
      <c r="B16">
        <v>14</v>
      </c>
      <c r="C16" s="15">
        <v>6.454E-2</v>
      </c>
    </row>
    <row r="17" spans="2:3" x14ac:dyDescent="0.25">
      <c r="B17">
        <v>15</v>
      </c>
      <c r="C17" s="16">
        <v>6.3850000000000004E-2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303363245F4BF43B9167B200431709F" ma:contentTypeVersion="13" ma:contentTypeDescription="Utwórz nowy dokument." ma:contentTypeScope="" ma:versionID="1bddaed61594d3b27de0eb3297b74a83">
  <xsd:schema xmlns:xsd="http://www.w3.org/2001/XMLSchema" xmlns:xs="http://www.w3.org/2001/XMLSchema" xmlns:p="http://schemas.microsoft.com/office/2006/metadata/properties" xmlns:ns3="da1f87c1-30e8-4105-a098-588aebf08844" xmlns:ns4="70be1211-5dc3-4f26-9032-b0302be2ffcd" targetNamespace="http://schemas.microsoft.com/office/2006/metadata/properties" ma:root="true" ma:fieldsID="a8e8a32981fa1c48fdb269ab87616be6" ns3:_="" ns4:_="">
    <xsd:import namespace="da1f87c1-30e8-4105-a098-588aebf08844"/>
    <xsd:import namespace="70be1211-5dc3-4f26-9032-b0302be2ff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1f87c1-30e8-4105-a098-588aebf088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be1211-5dc3-4f26-9032-b0302be2ffc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463580-D284-44CA-B79F-CEFB867A78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61909E-6F61-4A9E-83AF-026AD2B084E7}">
  <ds:schemaRefs>
    <ds:schemaRef ds:uri="http://schemas.microsoft.com/office/2006/metadata/properties"/>
    <ds:schemaRef ds:uri="70be1211-5dc3-4f26-9032-b0302be2ffcd"/>
    <ds:schemaRef ds:uri="da1f87c1-30e8-4105-a098-588aebf08844"/>
    <ds:schemaRef ds:uri="http://purl.org/dc/terms/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D069523-1587-4C53-A00B-62EDBD61EB9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8D93856-9AE5-4D75-93FF-9CF52EBAC6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1f87c1-30e8-4105-a098-588aebf08844"/>
    <ds:schemaRef ds:uri="70be1211-5dc3-4f26-9032-b0302be2ff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Dane</vt:lpstr>
      <vt:lpstr>Trójkąty wzrostowe</vt:lpstr>
      <vt:lpstr>Trójkąty skumulowane</vt:lpstr>
      <vt:lpstr>Chain-Ladder</vt:lpstr>
      <vt:lpstr>Munich Chain-Ladder</vt:lpstr>
      <vt:lpstr>Bornhuetter-Ferguson</vt:lpstr>
      <vt:lpstr>Cape-Cod</vt:lpstr>
      <vt:lpstr>Bootstrap_GTPL</vt:lpstr>
      <vt:lpstr>Bootstrap_MH</vt:lpstr>
      <vt:lpstr>Bootstrap_MTPL</vt:lpstr>
      <vt:lpstr>Wyniki</vt:lpstr>
      <vt:lpstr>Stopy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Kuba Gontarz</cp:lastModifiedBy>
  <cp:revision/>
  <dcterms:created xsi:type="dcterms:W3CDTF">2022-11-10T11:34:48Z</dcterms:created>
  <dcterms:modified xsi:type="dcterms:W3CDTF">2023-01-27T06:54:22Z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0x010100A303363245F4BF43B9167B200431709F</vt:lpwstr>
  </property>
</Properties>
</file>